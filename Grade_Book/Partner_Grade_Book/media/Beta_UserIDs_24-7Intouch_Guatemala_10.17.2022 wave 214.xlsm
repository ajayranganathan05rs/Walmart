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7A2D7E96-6E34-419A-AE5F-296B3A7E7977}"/>
  <workbookPr codeName="ThisWorkbook"/>
  <mc:AlternateContent xmlns:mc="http://schemas.openxmlformats.org/markup-compatibility/2006">
    <mc:Choice Requires="x15">
      <x15ac:absPath xmlns:x15ac="http://schemas.microsoft.com/office/spreadsheetml/2010/11/ac" url="https://teams.wal-mart.com/sites/CallCenterHelpDesk/Shared Documents/New Hires/"/>
    </mc:Choice>
  </mc:AlternateContent>
  <xr:revisionPtr revIDLastSave="0" documentId="8_{91352938-3868-42A1-8211-5D327F64F5E8}" xr6:coauthVersionLast="47" xr6:coauthVersionMax="47" xr10:uidLastSave="{00000000-0000-0000-0000-000000000000}"/>
  <bookViews>
    <workbookView xWindow="-120" yWindow="-120" windowWidth="29040" windowHeight="15720" tabRatio="930" activeTab="1" xr2:uid="{00000000-000D-0000-FFFF-FFFF00000000}"/>
  </bookViews>
  <sheets>
    <sheet name="Account Creation" sheetId="1" r:id="rId1"/>
    <sheet name="Help Desk" sheetId="2" r:id="rId2"/>
    <sheet name="VCC_Ecomm Step1" sheetId="13" r:id="rId3"/>
    <sheet name="VCC_Ecomm Step2" sheetId="14" r:id="rId4"/>
    <sheet name="RNT_Ecomm" sheetId="5" r:id="rId5"/>
    <sheet name="VCC_Vaccine ONLY" sheetId="4" r:id="rId6"/>
    <sheet name="RNT_Vaccine ONLY" sheetId="18" r:id="rId7"/>
    <sheet name="VCC_Stores ONLY" sheetId="20" r:id="rId8"/>
    <sheet name="RNT_Store Spark" sheetId="16" r:id="rId9"/>
    <sheet name="RNT_Store CRPV_2" sheetId="21" state="hidden" r:id="rId10"/>
    <sheet name="Stella_Stores" sheetId="17" state="hidden" r:id="rId11"/>
    <sheet name="RNT_Store CRPV" sheetId="27" r:id="rId12"/>
    <sheet name="LITMOS" sheetId="11" r:id="rId13"/>
    <sheet name="LOB Change" sheetId="10" r:id="rId14"/>
    <sheet name="Dispatcher" sheetId="25" r:id="rId15"/>
    <sheet name="Roster_Ecomm" sheetId="8" r:id="rId16"/>
    <sheet name="Roster_Vaccine" sheetId="19" r:id="rId17"/>
    <sheet name="Roster_Store Spark" sheetId="22" r:id="rId18"/>
    <sheet name="Roster_Store CRPV" sheetId="23" r:id="rId19"/>
    <sheet name="QA Checks" sheetId="24" r:id="rId20"/>
    <sheet name="Sheet1" sheetId="26" state="hidden" r:id="rId21"/>
  </sheets>
  <externalReferences>
    <externalReference r:id="rId22"/>
    <externalReference r:id="rId23"/>
    <externalReference r:id="rId24"/>
  </externalReferences>
  <definedNames>
    <definedName name="_xlnm._FilterDatabase" localSheetId="0" hidden="1">'Account Creation'!$A$3:$EB$3</definedName>
    <definedName name="_Hlk91708003" localSheetId="0">'Account Creation'!$BN$117</definedName>
    <definedName name="Access">'Account Creation'!$BA$2:$BA$5</definedName>
    <definedName name="Action">'Account Creation'!$AX$2:$AX$4</definedName>
    <definedName name="Agent_Channel">[1]New_Selections!$A$73</definedName>
    <definedName name="Channel">'Account Creation'!$AZ$2:$AZ$6</definedName>
    <definedName name="Choose_One">'Account Creation'!$BB$3:$BB$16</definedName>
    <definedName name="Company">'Account Creation'!$BB$2:$BB$16</definedName>
    <definedName name="Contact_team_range">'[2]Selection Options'!$H$1:$I$17</definedName>
    <definedName name="Default_Channel">[1]New_Selections!$A$67</definedName>
    <definedName name="Location">'Account Creation'!$BC$2:$BC$32</definedName>
    <definedName name="Location_2">'[3]Selection Options'!$F$2:$F$18</definedName>
    <definedName name="Location_Site">'Account Creation'!$BC$2:$BC$32</definedName>
    <definedName name="No_Access_Channel">[1]New_Selections!$A$78</definedName>
    <definedName name="Partner">'Account Creation'!$BB$2:$BB$16</definedName>
    <definedName name="Partners">[1]New_Selections!$A$2:$A$13</definedName>
    <definedName name="Program">'Account Creation'!$AY$2:$AY$8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I176" i="1" l="1"/>
  <c r="BI177" i="1"/>
  <c r="BI178" i="1"/>
  <c r="BI170" i="1" l="1"/>
  <c r="BI171" i="1"/>
  <c r="BI172" i="1"/>
  <c r="BI173" i="1"/>
  <c r="BI174" i="1"/>
  <c r="BI175" i="1"/>
  <c r="BI167" i="1" l="1"/>
  <c r="BI168" i="1"/>
  <c r="BI169" i="1"/>
  <c r="K16" i="16" l="1"/>
  <c r="K15" i="16"/>
  <c r="K14" i="16"/>
  <c r="K13" i="16"/>
  <c r="K12" i="16"/>
  <c r="K11" i="16"/>
  <c r="K10" i="16"/>
  <c r="K9" i="16"/>
  <c r="K8" i="16"/>
  <c r="K7" i="16"/>
  <c r="K6" i="16"/>
  <c r="K5" i="16"/>
  <c r="K4" i="16"/>
  <c r="K3" i="16"/>
  <c r="K2" i="16"/>
  <c r="BI166" i="1" l="1"/>
  <c r="BI165" i="1"/>
  <c r="BI164" i="1"/>
  <c r="BI163" i="1" l="1"/>
  <c r="BI162" i="1"/>
  <c r="BI161" i="1"/>
  <c r="BI160" i="1"/>
  <c r="BI159" i="1"/>
  <c r="BI158" i="1"/>
  <c r="BI157" i="1"/>
  <c r="BI156" i="1"/>
  <c r="AP251" i="14"/>
  <c r="AO251" i="14"/>
  <c r="AN251" i="14"/>
  <c r="AM251" i="14"/>
  <c r="AL251" i="14"/>
  <c r="AK251" i="14"/>
  <c r="AF251" i="14"/>
  <c r="AP16" i="14"/>
  <c r="AO16" i="14"/>
  <c r="AN16" i="14"/>
  <c r="AM16" i="14"/>
  <c r="AL16" i="14"/>
  <c r="AK16" i="14"/>
  <c r="AF16" i="14"/>
  <c r="AP15" i="14"/>
  <c r="AO15" i="14"/>
  <c r="AN15" i="14"/>
  <c r="AM15" i="14"/>
  <c r="AL15" i="14"/>
  <c r="AK15" i="14"/>
  <c r="AF15" i="14"/>
  <c r="AP14" i="14"/>
  <c r="AO14" i="14"/>
  <c r="AN14" i="14"/>
  <c r="AM14" i="14"/>
  <c r="AL14" i="14"/>
  <c r="AK14" i="14"/>
  <c r="AF14" i="14"/>
  <c r="AP13" i="14"/>
  <c r="AO13" i="14"/>
  <c r="AN13" i="14"/>
  <c r="AM13" i="14"/>
  <c r="AL13" i="14"/>
  <c r="AK13" i="14"/>
  <c r="AF13" i="14"/>
  <c r="AP12" i="14"/>
  <c r="AO12" i="14"/>
  <c r="AN12" i="14"/>
  <c r="AM12" i="14"/>
  <c r="AL12" i="14"/>
  <c r="AK12" i="14"/>
  <c r="AF12" i="14"/>
  <c r="AP11" i="14"/>
  <c r="AO11" i="14"/>
  <c r="AN11" i="14"/>
  <c r="AM11" i="14"/>
  <c r="AL11" i="14"/>
  <c r="AK11" i="14"/>
  <c r="AF11" i="14"/>
  <c r="AP10" i="14"/>
  <c r="AO10" i="14"/>
  <c r="AN10" i="14"/>
  <c r="AM10" i="14"/>
  <c r="AL10" i="14"/>
  <c r="AK10" i="14"/>
  <c r="AF10" i="14"/>
  <c r="AP9" i="14"/>
  <c r="AO9" i="14"/>
  <c r="AN9" i="14"/>
  <c r="AM9" i="14"/>
  <c r="AL9" i="14"/>
  <c r="AK9" i="14"/>
  <c r="AF9" i="14"/>
  <c r="AP8" i="14"/>
  <c r="AO8" i="14"/>
  <c r="AN8" i="14"/>
  <c r="AM8" i="14"/>
  <c r="AL8" i="14"/>
  <c r="AK8" i="14"/>
  <c r="AF8" i="14"/>
  <c r="AP7" i="14"/>
  <c r="AO7" i="14"/>
  <c r="AN7" i="14"/>
  <c r="AM7" i="14"/>
  <c r="AL7" i="14"/>
  <c r="AK7" i="14"/>
  <c r="AF7" i="14"/>
  <c r="AP6" i="14"/>
  <c r="AO6" i="14"/>
  <c r="AN6" i="14"/>
  <c r="AM6" i="14"/>
  <c r="AL6" i="14"/>
  <c r="AK6" i="14"/>
  <c r="AF6" i="14"/>
  <c r="AP5" i="14"/>
  <c r="AO5" i="14"/>
  <c r="AN5" i="14"/>
  <c r="AM5" i="14"/>
  <c r="AL5" i="14"/>
  <c r="AK5" i="14"/>
  <c r="AF5" i="14"/>
  <c r="AP4" i="14"/>
  <c r="AO4" i="14"/>
  <c r="AN4" i="14"/>
  <c r="AM4" i="14"/>
  <c r="AL4" i="14"/>
  <c r="AK4" i="14"/>
  <c r="AF4" i="14"/>
  <c r="AP3" i="14"/>
  <c r="AO3" i="14"/>
  <c r="AN3" i="14"/>
  <c r="AM3" i="14"/>
  <c r="AL3" i="14"/>
  <c r="AK3" i="14"/>
  <c r="AF3" i="14"/>
  <c r="AP2" i="14"/>
  <c r="AO2" i="14"/>
  <c r="AN2" i="14"/>
  <c r="AM2" i="14"/>
  <c r="AL2" i="14"/>
  <c r="AK2" i="14"/>
  <c r="AF2" i="14"/>
  <c r="A251" i="14"/>
  <c r="A16" i="14"/>
  <c r="A15" i="14"/>
  <c r="A14" i="14"/>
  <c r="A13" i="14"/>
  <c r="A12" i="14"/>
  <c r="A11" i="14"/>
  <c r="A10" i="14"/>
  <c r="A9" i="14"/>
  <c r="A8" i="14"/>
  <c r="A7" i="14"/>
  <c r="A6" i="14"/>
  <c r="A5" i="14"/>
  <c r="A4" i="14"/>
  <c r="A3" i="14"/>
  <c r="A2" i="14"/>
  <c r="Q251" i="14"/>
  <c r="P251" i="14"/>
  <c r="O251" i="14"/>
  <c r="M251" i="14"/>
  <c r="L251" i="14"/>
  <c r="K251" i="14"/>
  <c r="Q16" i="14"/>
  <c r="P16" i="14"/>
  <c r="O16" i="14"/>
  <c r="M16" i="14"/>
  <c r="L16" i="14"/>
  <c r="K16" i="14"/>
  <c r="Q15" i="14"/>
  <c r="P15" i="14"/>
  <c r="O15" i="14"/>
  <c r="M15" i="14"/>
  <c r="L15" i="14"/>
  <c r="K15" i="14"/>
  <c r="Q14" i="14"/>
  <c r="P14" i="14"/>
  <c r="O14" i="14"/>
  <c r="M14" i="14"/>
  <c r="L14" i="14"/>
  <c r="K14" i="14"/>
  <c r="Q13" i="14"/>
  <c r="P13" i="14"/>
  <c r="O13" i="14"/>
  <c r="M13" i="14"/>
  <c r="L13" i="14"/>
  <c r="K13" i="14"/>
  <c r="Q12" i="14"/>
  <c r="P12" i="14"/>
  <c r="O12" i="14"/>
  <c r="M12" i="14"/>
  <c r="L12" i="14"/>
  <c r="K12" i="14"/>
  <c r="Q11" i="14"/>
  <c r="P11" i="14"/>
  <c r="O11" i="14"/>
  <c r="M11" i="14"/>
  <c r="L11" i="14"/>
  <c r="K11" i="14"/>
  <c r="Q10" i="14"/>
  <c r="P10" i="14"/>
  <c r="O10" i="14"/>
  <c r="M10" i="14"/>
  <c r="L10" i="14"/>
  <c r="K10" i="14"/>
  <c r="Q9" i="14"/>
  <c r="P9" i="14"/>
  <c r="O9" i="14"/>
  <c r="M9" i="14"/>
  <c r="L9" i="14"/>
  <c r="K9" i="14"/>
  <c r="Q8" i="14"/>
  <c r="P8" i="14"/>
  <c r="O8" i="14"/>
  <c r="M8" i="14"/>
  <c r="L8" i="14"/>
  <c r="K8" i="14"/>
  <c r="Q7" i="14"/>
  <c r="P7" i="14"/>
  <c r="O7" i="14"/>
  <c r="M7" i="14"/>
  <c r="L7" i="14"/>
  <c r="K7" i="14"/>
  <c r="Q6" i="14"/>
  <c r="P6" i="14"/>
  <c r="O6" i="14"/>
  <c r="M6" i="14"/>
  <c r="L6" i="14"/>
  <c r="K6" i="14"/>
  <c r="Q5" i="14"/>
  <c r="P5" i="14"/>
  <c r="O5" i="14"/>
  <c r="M5" i="14"/>
  <c r="L5" i="14"/>
  <c r="K5" i="14"/>
  <c r="Q4" i="14"/>
  <c r="P4" i="14"/>
  <c r="O4" i="14"/>
  <c r="M4" i="14"/>
  <c r="L4" i="14"/>
  <c r="K4" i="14"/>
  <c r="Q3" i="14"/>
  <c r="P3" i="14"/>
  <c r="O3" i="14"/>
  <c r="M3" i="14"/>
  <c r="L3" i="14"/>
  <c r="K3" i="14"/>
  <c r="Q2" i="14"/>
  <c r="P2" i="14"/>
  <c r="O2" i="14"/>
  <c r="M2" i="14"/>
  <c r="L2" i="14"/>
  <c r="K2" i="14"/>
  <c r="AW251" i="1"/>
  <c r="AW250" i="1"/>
  <c r="AW249" i="1"/>
  <c r="AW248" i="1"/>
  <c r="AW247" i="1"/>
  <c r="AW246" i="1"/>
  <c r="AW245" i="1"/>
  <c r="AW244" i="1"/>
  <c r="AW243" i="1"/>
  <c r="AW242" i="1"/>
  <c r="AW241" i="1"/>
  <c r="AW240" i="1"/>
  <c r="AW239" i="1"/>
  <c r="AW238" i="1"/>
  <c r="AW237" i="1"/>
  <c r="AW236" i="1"/>
  <c r="AW235" i="1"/>
  <c r="AW234" i="1"/>
  <c r="AW233" i="1"/>
  <c r="AW232" i="1"/>
  <c r="AW231" i="1"/>
  <c r="AW230" i="1"/>
  <c r="AW229" i="1"/>
  <c r="AW228" i="1"/>
  <c r="AW227" i="1"/>
  <c r="AW226" i="1"/>
  <c r="AW225" i="1"/>
  <c r="AW224" i="1"/>
  <c r="AW223" i="1"/>
  <c r="AW222" i="1"/>
  <c r="AW221" i="1"/>
  <c r="AW220" i="1"/>
  <c r="AW219" i="1"/>
  <c r="AW218" i="1"/>
  <c r="AW217" i="1"/>
  <c r="AW216" i="1"/>
  <c r="AW215" i="1"/>
  <c r="AW214" i="1"/>
  <c r="AW213" i="1"/>
  <c r="AW212" i="1"/>
  <c r="AW211" i="1"/>
  <c r="AW210" i="1"/>
  <c r="AW209" i="1"/>
  <c r="AW208" i="1"/>
  <c r="AW207" i="1"/>
  <c r="AW206" i="1"/>
  <c r="AW205" i="1"/>
  <c r="AW204" i="1"/>
  <c r="AW203" i="1"/>
  <c r="AW202" i="1"/>
  <c r="AW201" i="1"/>
  <c r="AW200" i="1"/>
  <c r="AW199" i="1"/>
  <c r="AW198" i="1"/>
  <c r="AW197" i="1"/>
  <c r="AW196" i="1"/>
  <c r="AW195" i="1"/>
  <c r="AW194" i="1"/>
  <c r="AW193" i="1"/>
  <c r="AW192" i="1"/>
  <c r="AW191" i="1"/>
  <c r="AW190" i="1"/>
  <c r="AW189" i="1"/>
  <c r="AW188" i="1"/>
  <c r="AW187" i="1"/>
  <c r="AW186" i="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W158" i="1"/>
  <c r="AW157" i="1"/>
  <c r="AW156" i="1"/>
  <c r="AW155" i="1"/>
  <c r="AW154" i="1"/>
  <c r="AW153" i="1"/>
  <c r="AW152" i="1"/>
  <c r="AW151" i="1"/>
  <c r="AW150" i="1"/>
  <c r="AW149" i="1"/>
  <c r="AW148" i="1"/>
  <c r="AW147" i="1"/>
  <c r="AW146" i="1"/>
  <c r="AW145" i="1"/>
  <c r="AW144" i="1"/>
  <c r="AW143" i="1"/>
  <c r="AW142" i="1"/>
  <c r="AW141" i="1"/>
  <c r="AW140" i="1"/>
  <c r="AW139" i="1"/>
  <c r="AW138" i="1"/>
  <c r="AW137" i="1"/>
  <c r="AW136" i="1"/>
  <c r="AW135" i="1"/>
  <c r="AW134" i="1"/>
  <c r="AW133" i="1"/>
  <c r="AW132" i="1"/>
  <c r="AW131" i="1"/>
  <c r="AW130" i="1"/>
  <c r="AW129" i="1"/>
  <c r="AW128" i="1"/>
  <c r="AW127" i="1"/>
  <c r="AW126" i="1"/>
  <c r="AW125" i="1"/>
  <c r="AW124" i="1"/>
  <c r="AW123" i="1"/>
  <c r="AW122" i="1"/>
  <c r="AW121" i="1"/>
  <c r="AW120" i="1"/>
  <c r="AW119" i="1"/>
  <c r="AW118" i="1"/>
  <c r="AW117" i="1"/>
  <c r="AW116" i="1"/>
  <c r="AW115" i="1"/>
  <c r="AW114" i="1"/>
  <c r="AW113" i="1"/>
  <c r="AW112" i="1"/>
  <c r="AW111" i="1"/>
  <c r="AW110" i="1"/>
  <c r="AW109" i="1"/>
  <c r="AW108" i="1"/>
  <c r="AW107" i="1"/>
  <c r="AW106" i="1"/>
  <c r="AW105" i="1"/>
  <c r="AW104" i="1"/>
  <c r="AW103" i="1"/>
  <c r="AW102" i="1"/>
  <c r="AW101" i="1"/>
  <c r="AW100" i="1"/>
  <c r="AW99" i="1"/>
  <c r="AW98" i="1"/>
  <c r="AW97" i="1"/>
  <c r="AW96" i="1"/>
  <c r="AW95" i="1"/>
  <c r="AW94" i="1"/>
  <c r="AW93" i="1"/>
  <c r="AW92" i="1"/>
  <c r="AW91" i="1"/>
  <c r="AW90" i="1"/>
  <c r="AW89" i="1"/>
  <c r="AW88" i="1"/>
  <c r="AW87" i="1"/>
  <c r="AW86" i="1"/>
  <c r="AW85" i="1"/>
  <c r="AW84" i="1"/>
  <c r="AW83" i="1"/>
  <c r="AW82" i="1"/>
  <c r="AW81" i="1"/>
  <c r="AW80" i="1"/>
  <c r="AW79" i="1"/>
  <c r="AW78" i="1"/>
  <c r="AW77" i="1"/>
  <c r="AW76" i="1"/>
  <c r="AW75" i="1"/>
  <c r="AW74" i="1"/>
  <c r="AW73" i="1"/>
  <c r="AW72" i="1"/>
  <c r="AW71" i="1"/>
  <c r="AW70" i="1"/>
  <c r="AW69" i="1"/>
  <c r="AW68" i="1"/>
  <c r="AW67" i="1"/>
  <c r="AW66" i="1"/>
  <c r="AW65" i="1"/>
  <c r="AW64" i="1"/>
  <c r="AW63" i="1"/>
  <c r="AW62" i="1"/>
  <c r="AW61" i="1"/>
  <c r="AW60" i="1"/>
  <c r="AW59" i="1"/>
  <c r="AW58" i="1"/>
  <c r="AW57" i="1"/>
  <c r="AW56" i="1"/>
  <c r="AW55" i="1"/>
  <c r="AW54" i="1"/>
  <c r="AW53" i="1"/>
  <c r="AW52" i="1"/>
  <c r="AW51" i="1"/>
  <c r="AW50" i="1"/>
  <c r="AW49" i="1"/>
  <c r="AW48" i="1"/>
  <c r="AW47" i="1"/>
  <c r="AW46" i="1"/>
  <c r="AW45" i="1"/>
  <c r="AW44" i="1"/>
  <c r="AW43" i="1"/>
  <c r="AW42" i="1"/>
  <c r="AW41" i="1"/>
  <c r="AW40" i="1"/>
  <c r="AW39" i="1"/>
  <c r="AW38" i="1"/>
  <c r="AW37" i="1"/>
  <c r="AW36" i="1"/>
  <c r="AW35" i="1"/>
  <c r="AW34" i="1"/>
  <c r="AW33" i="1"/>
  <c r="AW32" i="1"/>
  <c r="AW31" i="1"/>
  <c r="AW30" i="1"/>
  <c r="AW29" i="1"/>
  <c r="AW28" i="1"/>
  <c r="AW27" i="1"/>
  <c r="AW26" i="1"/>
  <c r="AW25" i="1"/>
  <c r="AW24" i="1"/>
  <c r="AW23" i="1"/>
  <c r="AW22" i="1"/>
  <c r="AW21" i="1"/>
  <c r="AW20" i="1"/>
  <c r="AW19" i="1"/>
  <c r="AW18" i="1"/>
  <c r="AW17" i="1"/>
  <c r="AW16" i="1"/>
  <c r="AW15" i="1"/>
  <c r="AW14" i="1"/>
  <c r="AW13" i="1"/>
  <c r="AW12" i="1"/>
  <c r="AW11" i="1"/>
  <c r="AW10" i="1"/>
  <c r="AW9" i="1"/>
  <c r="AW8" i="1"/>
  <c r="AW7" i="1"/>
  <c r="AW6" i="1"/>
  <c r="AW5" i="1"/>
  <c r="AW4" i="1"/>
  <c r="AW3" i="1"/>
  <c r="BI155" i="1" l="1"/>
  <c r="BI154" i="1"/>
  <c r="BI153" i="1"/>
  <c r="BI80" i="1"/>
  <c r="BI79" i="1"/>
  <c r="BI78" i="1"/>
  <c r="C16" i="27"/>
  <c r="B16" i="27"/>
  <c r="D16" i="27" s="1"/>
  <c r="A16" i="27"/>
  <c r="J16" i="27" s="1"/>
  <c r="C15" i="27"/>
  <c r="B15" i="27"/>
  <c r="D15" i="27" s="1"/>
  <c r="A15" i="27"/>
  <c r="J15" i="27" s="1"/>
  <c r="G14" i="27"/>
  <c r="C14" i="27"/>
  <c r="B14" i="27"/>
  <c r="D14" i="27" s="1"/>
  <c r="A14" i="27"/>
  <c r="J14" i="27" s="1"/>
  <c r="C13" i="27"/>
  <c r="B13" i="27"/>
  <c r="D13" i="27" s="1"/>
  <c r="A13" i="27"/>
  <c r="J13" i="27" s="1"/>
  <c r="G12" i="27"/>
  <c r="C12" i="27"/>
  <c r="B12" i="27"/>
  <c r="D12" i="27" s="1"/>
  <c r="A12" i="27"/>
  <c r="J12" i="27" s="1"/>
  <c r="C11" i="27"/>
  <c r="B11" i="27"/>
  <c r="D11" i="27" s="1"/>
  <c r="A11" i="27"/>
  <c r="G10" i="27"/>
  <c r="C10" i="27"/>
  <c r="B10" i="27"/>
  <c r="D10" i="27" s="1"/>
  <c r="A10" i="27"/>
  <c r="J10" i="27" s="1"/>
  <c r="C9" i="27"/>
  <c r="B9" i="27"/>
  <c r="D9" i="27" s="1"/>
  <c r="A9" i="27"/>
  <c r="J9" i="27" s="1"/>
  <c r="C8" i="27"/>
  <c r="B8" i="27"/>
  <c r="D8" i="27" s="1"/>
  <c r="A8" i="27"/>
  <c r="J8" i="27" s="1"/>
  <c r="C7" i="27"/>
  <c r="B7" i="27"/>
  <c r="D7" i="27" s="1"/>
  <c r="A7" i="27"/>
  <c r="J7" i="27" s="1"/>
  <c r="C6" i="27"/>
  <c r="B6" i="27"/>
  <c r="D6" i="27" s="1"/>
  <c r="A6" i="27"/>
  <c r="J6" i="27" s="1"/>
  <c r="C5" i="27"/>
  <c r="B5" i="27"/>
  <c r="D5" i="27" s="1"/>
  <c r="A5" i="27"/>
  <c r="J5" i="27" s="1"/>
  <c r="G4" i="27"/>
  <c r="C4" i="27"/>
  <c r="B4" i="27"/>
  <c r="D4" i="27" s="1"/>
  <c r="A4" i="27"/>
  <c r="J4" i="27" s="1"/>
  <c r="C3" i="27"/>
  <c r="B3" i="27"/>
  <c r="D3" i="27" s="1"/>
  <c r="A3" i="27"/>
  <c r="K2" i="27"/>
  <c r="C2" i="27"/>
  <c r="B2" i="27"/>
  <c r="D2" i="27" s="1"/>
  <c r="A2" i="27"/>
  <c r="BI152" i="1"/>
  <c r="BI151" i="1"/>
  <c r="BI150" i="1"/>
  <c r="BI149" i="1"/>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AV16" i="4"/>
  <c r="AV15" i="4"/>
  <c r="AV14" i="4"/>
  <c r="AV13" i="4"/>
  <c r="AV12" i="4"/>
  <c r="AV11" i="4"/>
  <c r="AV10" i="4"/>
  <c r="AV9" i="4"/>
  <c r="AV8" i="4"/>
  <c r="AV7" i="4"/>
  <c r="AV6" i="4"/>
  <c r="AV5" i="4"/>
  <c r="AV4" i="4"/>
  <c r="AV3" i="4"/>
  <c r="AV2" i="4"/>
  <c r="BI148" i="1"/>
  <c r="BI147" i="1"/>
  <c r="BI146" i="1"/>
  <c r="BI145" i="1"/>
  <c r="BI144" i="1"/>
  <c r="BI143" i="1"/>
  <c r="BI142" i="1"/>
  <c r="BI141" i="1"/>
  <c r="BI140" i="1"/>
  <c r="BI139" i="1"/>
  <c r="BI138" i="1"/>
  <c r="A4" i="24"/>
  <c r="B4" i="24"/>
  <c r="C4" i="24"/>
  <c r="A5" i="24"/>
  <c r="B5" i="24"/>
  <c r="C5" i="24"/>
  <c r="A6" i="24"/>
  <c r="B6" i="24"/>
  <c r="C6" i="24"/>
  <c r="A7" i="24"/>
  <c r="B7" i="24"/>
  <c r="C7" i="24"/>
  <c r="A8" i="24"/>
  <c r="B8" i="24"/>
  <c r="C8" i="24"/>
  <c r="A9" i="24"/>
  <c r="B9" i="24"/>
  <c r="C9" i="24"/>
  <c r="A10" i="24"/>
  <c r="B10" i="24"/>
  <c r="C10" i="24"/>
  <c r="A11" i="24"/>
  <c r="B11" i="24"/>
  <c r="C11" i="24"/>
  <c r="A12" i="24"/>
  <c r="B12" i="24"/>
  <c r="C12" i="24"/>
  <c r="A13" i="24"/>
  <c r="B13" i="24"/>
  <c r="C13" i="24"/>
  <c r="A14" i="24"/>
  <c r="B14" i="24"/>
  <c r="C14" i="24"/>
  <c r="A15" i="24"/>
  <c r="B15" i="24"/>
  <c r="C15" i="24"/>
  <c r="A16" i="24"/>
  <c r="B16" i="24"/>
  <c r="C16" i="24"/>
  <c r="A17" i="24"/>
  <c r="B17" i="24"/>
  <c r="C17" i="24"/>
  <c r="A18" i="24"/>
  <c r="B18" i="24"/>
  <c r="C18" i="24"/>
  <c r="A19" i="24"/>
  <c r="B19" i="24"/>
  <c r="C19" i="24"/>
  <c r="A20" i="24"/>
  <c r="B20" i="24"/>
  <c r="C20" i="24"/>
  <c r="A21" i="24"/>
  <c r="B21" i="24"/>
  <c r="C21" i="24"/>
  <c r="A22" i="24"/>
  <c r="B22" i="24"/>
  <c r="C22" i="24"/>
  <c r="A23" i="24"/>
  <c r="B23" i="24"/>
  <c r="C23" i="24"/>
  <c r="A24" i="24"/>
  <c r="B24" i="24"/>
  <c r="C24" i="24"/>
  <c r="A25" i="24"/>
  <c r="B25" i="24"/>
  <c r="C25" i="24"/>
  <c r="A26" i="24"/>
  <c r="B26" i="24"/>
  <c r="C26" i="24"/>
  <c r="A27" i="24"/>
  <c r="B27" i="24"/>
  <c r="C27" i="24"/>
  <c r="A28" i="24"/>
  <c r="B28" i="24"/>
  <c r="C28" i="24"/>
  <c r="A29" i="24"/>
  <c r="B29" i="24"/>
  <c r="C29" i="24"/>
  <c r="A30" i="24"/>
  <c r="B30" i="24"/>
  <c r="C30" i="24"/>
  <c r="A31" i="24"/>
  <c r="B31" i="24"/>
  <c r="C31" i="24"/>
  <c r="A32" i="24"/>
  <c r="B32" i="24"/>
  <c r="C32" i="24"/>
  <c r="A33" i="24"/>
  <c r="B33" i="24"/>
  <c r="C33" i="24"/>
  <c r="A34" i="24"/>
  <c r="B34" i="24"/>
  <c r="C34" i="24"/>
  <c r="A35" i="24"/>
  <c r="B35" i="24"/>
  <c r="C35" i="24"/>
  <c r="A36" i="24"/>
  <c r="B36" i="24"/>
  <c r="C36" i="24"/>
  <c r="A37" i="24"/>
  <c r="B37" i="24"/>
  <c r="C37" i="24"/>
  <c r="A38" i="24"/>
  <c r="B38" i="24"/>
  <c r="C38" i="24"/>
  <c r="A39" i="24"/>
  <c r="B39" i="24"/>
  <c r="C39" i="24"/>
  <c r="A40" i="24"/>
  <c r="B40" i="24"/>
  <c r="C40" i="24"/>
  <c r="A41" i="24"/>
  <c r="B41" i="24"/>
  <c r="C41" i="24"/>
  <c r="A42" i="24"/>
  <c r="B42" i="24"/>
  <c r="C42" i="24"/>
  <c r="A43" i="24"/>
  <c r="B43" i="24"/>
  <c r="C43" i="24"/>
  <c r="A44" i="24"/>
  <c r="B44" i="24"/>
  <c r="C44" i="24"/>
  <c r="A45" i="24"/>
  <c r="B45" i="24"/>
  <c r="C45" i="24"/>
  <c r="A46" i="24"/>
  <c r="B46" i="24"/>
  <c r="C46" i="24"/>
  <c r="A47" i="24"/>
  <c r="B47" i="24"/>
  <c r="C47" i="24"/>
  <c r="A48" i="24"/>
  <c r="B48" i="24"/>
  <c r="C48" i="24"/>
  <c r="A49" i="24"/>
  <c r="B49" i="24"/>
  <c r="C49" i="24"/>
  <c r="A50" i="24"/>
  <c r="B50" i="24"/>
  <c r="C50" i="24"/>
  <c r="A51" i="24"/>
  <c r="B51" i="24"/>
  <c r="C51" i="24"/>
  <c r="A52" i="24"/>
  <c r="B52" i="24"/>
  <c r="C52" i="24"/>
  <c r="A53" i="24"/>
  <c r="B53" i="24"/>
  <c r="C53" i="24"/>
  <c r="A54" i="24"/>
  <c r="B54" i="24"/>
  <c r="C54" i="24"/>
  <c r="A55" i="24"/>
  <c r="B55" i="24"/>
  <c r="C55" i="24"/>
  <c r="A56" i="24"/>
  <c r="B56" i="24"/>
  <c r="C56" i="24"/>
  <c r="A57" i="24"/>
  <c r="B57" i="24"/>
  <c r="C57" i="24"/>
  <c r="A58" i="24"/>
  <c r="B58" i="24"/>
  <c r="C58" i="24"/>
  <c r="A59" i="24"/>
  <c r="B59" i="24"/>
  <c r="C59" i="24"/>
  <c r="A60" i="24"/>
  <c r="B60" i="24"/>
  <c r="C60" i="24"/>
  <c r="A61" i="24"/>
  <c r="B61" i="24"/>
  <c r="C61" i="24"/>
  <c r="A62" i="24"/>
  <c r="B62" i="24"/>
  <c r="C62" i="24"/>
  <c r="A63" i="24"/>
  <c r="B63" i="24"/>
  <c r="C63" i="24"/>
  <c r="A64" i="24"/>
  <c r="B64" i="24"/>
  <c r="C64" i="24"/>
  <c r="A65" i="24"/>
  <c r="B65" i="24"/>
  <c r="C65" i="24"/>
  <c r="A66" i="24"/>
  <c r="B66" i="24"/>
  <c r="C66" i="24"/>
  <c r="A67" i="24"/>
  <c r="B67" i="24"/>
  <c r="C67" i="24"/>
  <c r="A68" i="24"/>
  <c r="B68" i="24"/>
  <c r="C68" i="24"/>
  <c r="A69" i="24"/>
  <c r="B69" i="24"/>
  <c r="C69" i="24"/>
  <c r="A70" i="24"/>
  <c r="B70" i="24"/>
  <c r="C70" i="24"/>
  <c r="A71" i="24"/>
  <c r="B71" i="24"/>
  <c r="C71" i="24"/>
  <c r="A72" i="24"/>
  <c r="B72" i="24"/>
  <c r="C72" i="24"/>
  <c r="A73" i="24"/>
  <c r="B73" i="24"/>
  <c r="C73" i="24"/>
  <c r="A74" i="24"/>
  <c r="B74" i="24"/>
  <c r="C74" i="24"/>
  <c r="A75" i="24"/>
  <c r="B75" i="24"/>
  <c r="C75" i="24"/>
  <c r="A76" i="24"/>
  <c r="B76" i="24"/>
  <c r="C76" i="24"/>
  <c r="A77" i="24"/>
  <c r="B77" i="24"/>
  <c r="C77" i="24"/>
  <c r="A78" i="24"/>
  <c r="B78" i="24"/>
  <c r="C78" i="24"/>
  <c r="A79" i="24"/>
  <c r="B79" i="24"/>
  <c r="C79" i="24"/>
  <c r="A80" i="24"/>
  <c r="B80" i="24"/>
  <c r="C80" i="24"/>
  <c r="A81" i="24"/>
  <c r="B81" i="24"/>
  <c r="C81" i="24"/>
  <c r="A82" i="24"/>
  <c r="B82" i="24"/>
  <c r="C82" i="24"/>
  <c r="A83" i="24"/>
  <c r="B83" i="24"/>
  <c r="C83" i="24"/>
  <c r="A84" i="24"/>
  <c r="B84" i="24"/>
  <c r="C84" i="24"/>
  <c r="A85" i="24"/>
  <c r="B85" i="24"/>
  <c r="C85" i="24"/>
  <c r="A86" i="24"/>
  <c r="B86" i="24"/>
  <c r="C86" i="24"/>
  <c r="A87" i="24"/>
  <c r="B87" i="24"/>
  <c r="C87" i="24"/>
  <c r="A88" i="24"/>
  <c r="B88" i="24"/>
  <c r="C88" i="24"/>
  <c r="A89" i="24"/>
  <c r="B89" i="24"/>
  <c r="C89" i="24"/>
  <c r="A90" i="24"/>
  <c r="B90" i="24"/>
  <c r="C90" i="24"/>
  <c r="A91" i="24"/>
  <c r="B91" i="24"/>
  <c r="C91" i="24"/>
  <c r="A92" i="24"/>
  <c r="B92" i="24"/>
  <c r="C92" i="24"/>
  <c r="A93" i="24"/>
  <c r="B93" i="24"/>
  <c r="C93" i="24"/>
  <c r="A94" i="24"/>
  <c r="B94" i="24"/>
  <c r="C94" i="24"/>
  <c r="A95" i="24"/>
  <c r="B95" i="24"/>
  <c r="C95" i="24"/>
  <c r="A96" i="24"/>
  <c r="B96" i="24"/>
  <c r="C96" i="24"/>
  <c r="A97" i="24"/>
  <c r="B97" i="24"/>
  <c r="C97" i="24"/>
  <c r="A98" i="24"/>
  <c r="B98" i="24"/>
  <c r="C98" i="24"/>
  <c r="A99" i="24"/>
  <c r="B99" i="24"/>
  <c r="C99" i="24"/>
  <c r="A100" i="24"/>
  <c r="B100" i="24"/>
  <c r="C100" i="24"/>
  <c r="A101" i="24"/>
  <c r="B101" i="24"/>
  <c r="C101" i="24"/>
  <c r="A102" i="24"/>
  <c r="B102" i="24"/>
  <c r="C102" i="24"/>
  <c r="A103" i="24"/>
  <c r="B103" i="24"/>
  <c r="C103" i="24"/>
  <c r="A104" i="24"/>
  <c r="B104" i="24"/>
  <c r="C104" i="24"/>
  <c r="A105" i="24"/>
  <c r="B105" i="24"/>
  <c r="C105" i="24"/>
  <c r="A106" i="24"/>
  <c r="B106" i="24"/>
  <c r="C106" i="24"/>
  <c r="A107" i="24"/>
  <c r="B107" i="24"/>
  <c r="C107" i="24"/>
  <c r="A108" i="24"/>
  <c r="B108" i="24"/>
  <c r="C108" i="24"/>
  <c r="A109" i="24"/>
  <c r="B109" i="24"/>
  <c r="C109" i="24"/>
  <c r="A110" i="24"/>
  <c r="B110" i="24"/>
  <c r="C110" i="24"/>
  <c r="A111" i="24"/>
  <c r="B111" i="24"/>
  <c r="C111" i="24"/>
  <c r="A112" i="24"/>
  <c r="B112" i="24"/>
  <c r="C112" i="24"/>
  <c r="A113" i="24"/>
  <c r="B113" i="24"/>
  <c r="C113" i="24"/>
  <c r="A114" i="24"/>
  <c r="B114" i="24"/>
  <c r="C114" i="24"/>
  <c r="A115" i="24"/>
  <c r="B115" i="24"/>
  <c r="C115" i="24"/>
  <c r="A116" i="24"/>
  <c r="B116" i="24"/>
  <c r="C116" i="24"/>
  <c r="A117" i="24"/>
  <c r="B117" i="24"/>
  <c r="C117" i="24"/>
  <c r="A118" i="24"/>
  <c r="B118" i="24"/>
  <c r="C118" i="24"/>
  <c r="A119" i="24"/>
  <c r="B119" i="24"/>
  <c r="C119" i="24"/>
  <c r="A120" i="24"/>
  <c r="B120" i="24"/>
  <c r="C120" i="24"/>
  <c r="A121" i="24"/>
  <c r="B121" i="24"/>
  <c r="C121" i="24"/>
  <c r="A122" i="24"/>
  <c r="B122" i="24"/>
  <c r="C122" i="24"/>
  <c r="A123" i="24"/>
  <c r="B123" i="24"/>
  <c r="C123" i="24"/>
  <c r="A124" i="24"/>
  <c r="B124" i="24"/>
  <c r="C124" i="24"/>
  <c r="A125" i="24"/>
  <c r="B125" i="24"/>
  <c r="C125" i="24"/>
  <c r="A126" i="24"/>
  <c r="B126" i="24"/>
  <c r="C126" i="24"/>
  <c r="A127" i="24"/>
  <c r="B127" i="24"/>
  <c r="C127" i="24"/>
  <c r="A128" i="24"/>
  <c r="B128" i="24"/>
  <c r="C128" i="24"/>
  <c r="A129" i="24"/>
  <c r="B129" i="24"/>
  <c r="C129" i="24"/>
  <c r="A130" i="24"/>
  <c r="B130" i="24"/>
  <c r="C130" i="24"/>
  <c r="A131" i="24"/>
  <c r="B131" i="24"/>
  <c r="C131" i="24"/>
  <c r="A132" i="24"/>
  <c r="B132" i="24"/>
  <c r="C132" i="24"/>
  <c r="A133" i="24"/>
  <c r="B133" i="24"/>
  <c r="C133" i="24"/>
  <c r="A134" i="24"/>
  <c r="B134" i="24"/>
  <c r="C134" i="24"/>
  <c r="A135" i="24"/>
  <c r="B135" i="24"/>
  <c r="C135" i="24"/>
  <c r="A136" i="24"/>
  <c r="B136" i="24"/>
  <c r="C136" i="24"/>
  <c r="A137" i="24"/>
  <c r="B137" i="24"/>
  <c r="C137" i="24"/>
  <c r="A138" i="24"/>
  <c r="B138" i="24"/>
  <c r="C138" i="24"/>
  <c r="A139" i="24"/>
  <c r="B139" i="24"/>
  <c r="C139" i="24"/>
  <c r="A140" i="24"/>
  <c r="B140" i="24"/>
  <c r="C140" i="24"/>
  <c r="A141" i="24"/>
  <c r="B141" i="24"/>
  <c r="C141" i="24"/>
  <c r="A142" i="24"/>
  <c r="B142" i="24"/>
  <c r="C142" i="24"/>
  <c r="A143" i="24"/>
  <c r="B143" i="24"/>
  <c r="C143" i="24"/>
  <c r="A144" i="24"/>
  <c r="B144" i="24"/>
  <c r="C144" i="24"/>
  <c r="A145" i="24"/>
  <c r="B145" i="24"/>
  <c r="C145" i="24"/>
  <c r="A146" i="24"/>
  <c r="B146" i="24"/>
  <c r="C146" i="24"/>
  <c r="A147" i="24"/>
  <c r="B147" i="24"/>
  <c r="C147" i="24"/>
  <c r="A148" i="24"/>
  <c r="B148" i="24"/>
  <c r="C148" i="24"/>
  <c r="A149" i="24"/>
  <c r="B149" i="24"/>
  <c r="C149" i="24"/>
  <c r="A150" i="24"/>
  <c r="B150" i="24"/>
  <c r="C150" i="24"/>
  <c r="A151" i="24"/>
  <c r="B151" i="24"/>
  <c r="C151" i="24"/>
  <c r="A152" i="24"/>
  <c r="B152" i="24"/>
  <c r="C152" i="24"/>
  <c r="A153" i="24"/>
  <c r="B153" i="24"/>
  <c r="C153" i="24"/>
  <c r="A154" i="24"/>
  <c r="B154" i="24"/>
  <c r="C154" i="24"/>
  <c r="A155" i="24"/>
  <c r="B155" i="24"/>
  <c r="C155" i="24"/>
  <c r="A156" i="24"/>
  <c r="B156" i="24"/>
  <c r="C156" i="24"/>
  <c r="A157" i="24"/>
  <c r="B157" i="24"/>
  <c r="C157" i="24"/>
  <c r="A158" i="24"/>
  <c r="B158" i="24"/>
  <c r="C158" i="24"/>
  <c r="A159" i="24"/>
  <c r="B159" i="24"/>
  <c r="C159" i="24"/>
  <c r="A160" i="24"/>
  <c r="B160" i="24"/>
  <c r="C160" i="24"/>
  <c r="A161" i="24"/>
  <c r="B161" i="24"/>
  <c r="C161" i="24"/>
  <c r="A162" i="24"/>
  <c r="B162" i="24"/>
  <c r="C162" i="24"/>
  <c r="A163" i="24"/>
  <c r="B163" i="24"/>
  <c r="C163" i="24"/>
  <c r="A164" i="24"/>
  <c r="B164" i="24"/>
  <c r="C164" i="24"/>
  <c r="A165" i="24"/>
  <c r="B165" i="24"/>
  <c r="C165" i="24"/>
  <c r="A166" i="24"/>
  <c r="B166" i="24"/>
  <c r="C166" i="24"/>
  <c r="A167" i="24"/>
  <c r="B167" i="24"/>
  <c r="C167" i="24"/>
  <c r="A168" i="24"/>
  <c r="B168" i="24"/>
  <c r="C168" i="24"/>
  <c r="A169" i="24"/>
  <c r="B169" i="24"/>
  <c r="C169" i="24"/>
  <c r="A170" i="24"/>
  <c r="B170" i="24"/>
  <c r="C170" i="24"/>
  <c r="A171" i="24"/>
  <c r="B171" i="24"/>
  <c r="C171" i="24"/>
  <c r="A172" i="24"/>
  <c r="B172" i="24"/>
  <c r="C172" i="24"/>
  <c r="A173" i="24"/>
  <c r="B173" i="24"/>
  <c r="C173" i="24"/>
  <c r="A174" i="24"/>
  <c r="B174" i="24"/>
  <c r="C174" i="24"/>
  <c r="A175" i="24"/>
  <c r="B175" i="24"/>
  <c r="C175" i="24"/>
  <c r="A176" i="24"/>
  <c r="B176" i="24"/>
  <c r="C176" i="24"/>
  <c r="A177" i="24"/>
  <c r="B177" i="24"/>
  <c r="C177" i="24"/>
  <c r="A178" i="24"/>
  <c r="B178" i="24"/>
  <c r="C178" i="24"/>
  <c r="A179" i="24"/>
  <c r="B179" i="24"/>
  <c r="C179" i="24"/>
  <c r="A180" i="24"/>
  <c r="B180" i="24"/>
  <c r="C180" i="24"/>
  <c r="A181" i="24"/>
  <c r="B181" i="24"/>
  <c r="C181" i="24"/>
  <c r="A182" i="24"/>
  <c r="B182" i="24"/>
  <c r="C182" i="24"/>
  <c r="A183" i="24"/>
  <c r="B183" i="24"/>
  <c r="C183" i="24"/>
  <c r="A184" i="24"/>
  <c r="B184" i="24"/>
  <c r="C184" i="24"/>
  <c r="A185" i="24"/>
  <c r="B185" i="24"/>
  <c r="C185" i="24"/>
  <c r="A186" i="24"/>
  <c r="B186" i="24"/>
  <c r="C186" i="24"/>
  <c r="A187" i="24"/>
  <c r="B187" i="24"/>
  <c r="C187" i="24"/>
  <c r="A188" i="24"/>
  <c r="B188" i="24"/>
  <c r="C188" i="24"/>
  <c r="A189" i="24"/>
  <c r="B189" i="24"/>
  <c r="C189" i="24"/>
  <c r="A190" i="24"/>
  <c r="B190" i="24"/>
  <c r="C190" i="24"/>
  <c r="A191" i="24"/>
  <c r="B191" i="24"/>
  <c r="C191" i="24"/>
  <c r="A192" i="24"/>
  <c r="B192" i="24"/>
  <c r="C192" i="24"/>
  <c r="A193" i="24"/>
  <c r="B193" i="24"/>
  <c r="C193" i="24"/>
  <c r="A194" i="24"/>
  <c r="B194" i="24"/>
  <c r="C194" i="24"/>
  <c r="A195" i="24"/>
  <c r="B195" i="24"/>
  <c r="C195" i="24"/>
  <c r="A196" i="24"/>
  <c r="B196" i="24"/>
  <c r="C196" i="24"/>
  <c r="A197" i="24"/>
  <c r="B197" i="24"/>
  <c r="C197" i="24"/>
  <c r="A198" i="24"/>
  <c r="B198" i="24"/>
  <c r="C198" i="24"/>
  <c r="A199" i="24"/>
  <c r="B199" i="24"/>
  <c r="C199" i="24"/>
  <c r="A200" i="24"/>
  <c r="B200" i="24"/>
  <c r="C200" i="24"/>
  <c r="A201" i="24"/>
  <c r="B201" i="24"/>
  <c r="C201" i="24"/>
  <c r="A202" i="24"/>
  <c r="B202" i="24"/>
  <c r="C202" i="24"/>
  <c r="A203" i="24"/>
  <c r="B203" i="24"/>
  <c r="C203" i="24"/>
  <c r="A204" i="24"/>
  <c r="B204" i="24"/>
  <c r="C204" i="24"/>
  <c r="A205" i="24"/>
  <c r="B205" i="24"/>
  <c r="C205" i="24"/>
  <c r="A206" i="24"/>
  <c r="B206" i="24"/>
  <c r="C206" i="24"/>
  <c r="A207" i="24"/>
  <c r="B207" i="24"/>
  <c r="C207" i="24"/>
  <c r="A208" i="24"/>
  <c r="B208" i="24"/>
  <c r="C208" i="24"/>
  <c r="A209" i="24"/>
  <c r="B209" i="24"/>
  <c r="C209" i="24"/>
  <c r="A210" i="24"/>
  <c r="B210" i="24"/>
  <c r="C210" i="24"/>
  <c r="A211" i="24"/>
  <c r="B211" i="24"/>
  <c r="C211" i="24"/>
  <c r="A212" i="24"/>
  <c r="B212" i="24"/>
  <c r="C212" i="24"/>
  <c r="A213" i="24"/>
  <c r="B213" i="24"/>
  <c r="C213" i="24"/>
  <c r="A214" i="24"/>
  <c r="B214" i="24"/>
  <c r="C214" i="24"/>
  <c r="A215" i="24"/>
  <c r="B215" i="24"/>
  <c r="C215" i="24"/>
  <c r="A216" i="24"/>
  <c r="B216" i="24"/>
  <c r="C216" i="24"/>
  <c r="A217" i="24"/>
  <c r="B217" i="24"/>
  <c r="C217" i="24"/>
  <c r="A218" i="24"/>
  <c r="B218" i="24"/>
  <c r="C218" i="24"/>
  <c r="A219" i="24"/>
  <c r="B219" i="24"/>
  <c r="C219" i="24"/>
  <c r="A220" i="24"/>
  <c r="B220" i="24"/>
  <c r="C220" i="24"/>
  <c r="A221" i="24"/>
  <c r="B221" i="24"/>
  <c r="C221" i="24"/>
  <c r="A222" i="24"/>
  <c r="B222" i="24"/>
  <c r="C222" i="24"/>
  <c r="A223" i="24"/>
  <c r="B223" i="24"/>
  <c r="C223" i="24"/>
  <c r="A224" i="24"/>
  <c r="B224" i="24"/>
  <c r="C224" i="24"/>
  <c r="A225" i="24"/>
  <c r="B225" i="24"/>
  <c r="C225" i="24"/>
  <c r="A226" i="24"/>
  <c r="B226" i="24"/>
  <c r="C226" i="24"/>
  <c r="A227" i="24"/>
  <c r="B227" i="24"/>
  <c r="C227" i="24"/>
  <c r="A228" i="24"/>
  <c r="B228" i="24"/>
  <c r="C228" i="24"/>
  <c r="A229" i="24"/>
  <c r="B229" i="24"/>
  <c r="C229" i="24"/>
  <c r="A230" i="24"/>
  <c r="B230" i="24"/>
  <c r="C230" i="24"/>
  <c r="A231" i="24"/>
  <c r="B231" i="24"/>
  <c r="C231" i="24"/>
  <c r="A232" i="24"/>
  <c r="B232" i="24"/>
  <c r="C232" i="24"/>
  <c r="A233" i="24"/>
  <c r="B233" i="24"/>
  <c r="C233" i="24"/>
  <c r="A234" i="24"/>
  <c r="B234" i="24"/>
  <c r="C234" i="24"/>
  <c r="A235" i="24"/>
  <c r="B235" i="24"/>
  <c r="C235" i="24"/>
  <c r="A236" i="24"/>
  <c r="B236" i="24"/>
  <c r="C236" i="24"/>
  <c r="A237" i="24"/>
  <c r="B237" i="24"/>
  <c r="C237" i="24"/>
  <c r="A238" i="24"/>
  <c r="B238" i="24"/>
  <c r="C238" i="24"/>
  <c r="A239" i="24"/>
  <c r="B239" i="24"/>
  <c r="C239" i="24"/>
  <c r="A240" i="24"/>
  <c r="B240" i="24"/>
  <c r="C240" i="24"/>
  <c r="A241" i="24"/>
  <c r="B241" i="24"/>
  <c r="C241" i="24"/>
  <c r="A242" i="24"/>
  <c r="B242" i="24"/>
  <c r="C242" i="24"/>
  <c r="A243" i="24"/>
  <c r="B243" i="24"/>
  <c r="C243" i="24"/>
  <c r="A244" i="24"/>
  <c r="B244" i="24"/>
  <c r="C244" i="24"/>
  <c r="A245" i="24"/>
  <c r="B245" i="24"/>
  <c r="C245" i="24"/>
  <c r="A246" i="24"/>
  <c r="B246" i="24"/>
  <c r="C246" i="24"/>
  <c r="A247" i="24"/>
  <c r="B247" i="24"/>
  <c r="C247" i="24"/>
  <c r="A248" i="24"/>
  <c r="B248" i="24"/>
  <c r="C248" i="24"/>
  <c r="A249" i="24"/>
  <c r="B249" i="24"/>
  <c r="C249" i="24"/>
  <c r="A250" i="24"/>
  <c r="B250" i="24"/>
  <c r="C250" i="24"/>
  <c r="A251" i="24"/>
  <c r="B251" i="24"/>
  <c r="C251" i="24"/>
  <c r="A252" i="24"/>
  <c r="B252" i="24"/>
  <c r="C252" i="24"/>
  <c r="C3" i="24"/>
  <c r="B3" i="24"/>
  <c r="A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3" i="24"/>
  <c r="G16" i="27" l="1"/>
  <c r="G15" i="27"/>
  <c r="G13" i="27"/>
  <c r="G11" i="27"/>
  <c r="J11" i="27"/>
  <c r="G9" i="27"/>
  <c r="G8" i="27"/>
  <c r="G7" i="27"/>
  <c r="G6" i="27"/>
  <c r="G5" i="27"/>
  <c r="G3" i="27"/>
  <c r="J3" i="27"/>
  <c r="G2" i="27"/>
  <c r="J2" i="27"/>
  <c r="X4" i="1"/>
  <c r="Y7" i="1"/>
  <c r="Y4" i="1"/>
  <c r="Z7" i="1"/>
  <c r="Z4" i="1"/>
  <c r="V5" i="1"/>
  <c r="V2" i="1"/>
  <c r="W5" i="1"/>
  <c r="W2" i="1"/>
  <c r="X5" i="1"/>
  <c r="X2" i="1"/>
  <c r="Y5" i="1"/>
  <c r="Y2" i="1"/>
  <c r="Z5" i="1"/>
  <c r="F5" i="14" s="1"/>
  <c r="Z2" i="1"/>
  <c r="V6" i="1"/>
  <c r="V3" i="1"/>
  <c r="W6" i="1"/>
  <c r="W3" i="1"/>
  <c r="X6" i="1"/>
  <c r="Z6" i="1"/>
  <c r="X3" i="1"/>
  <c r="Y6" i="1"/>
  <c r="Y3" i="1"/>
  <c r="Z3" i="1"/>
  <c r="V7" i="1"/>
  <c r="V4" i="1"/>
  <c r="W7" i="1"/>
  <c r="W4" i="1"/>
  <c r="X7" i="1"/>
  <c r="AM251" i="1"/>
  <c r="W251" i="1"/>
  <c r="AI250" i="1"/>
  <c r="AU249" i="1"/>
  <c r="AE249" i="1"/>
  <c r="AQ248" i="1"/>
  <c r="AA248" i="1"/>
  <c r="AM247" i="1"/>
  <c r="W247" i="1"/>
  <c r="AI246" i="1"/>
  <c r="AU245" i="1"/>
  <c r="AE245" i="1"/>
  <c r="AQ244" i="1"/>
  <c r="AA244" i="1"/>
  <c r="AM243" i="1"/>
  <c r="W243" i="1"/>
  <c r="AI242" i="1"/>
  <c r="AU241" i="1"/>
  <c r="AE241" i="1"/>
  <c r="AQ240" i="1"/>
  <c r="AA240" i="1"/>
  <c r="AM239" i="1"/>
  <c r="W239" i="1"/>
  <c r="AI238" i="1"/>
  <c r="AU237" i="1"/>
  <c r="AE237" i="1"/>
  <c r="AQ236" i="1"/>
  <c r="AA236" i="1"/>
  <c r="AM235" i="1"/>
  <c r="W235" i="1"/>
  <c r="AI234" i="1"/>
  <c r="AU233" i="1"/>
  <c r="AE233" i="1"/>
  <c r="AQ232" i="1"/>
  <c r="AA232" i="1"/>
  <c r="AM231" i="1"/>
  <c r="W231" i="1"/>
  <c r="AI230" i="1"/>
  <c r="AU229" i="1"/>
  <c r="AE229" i="1"/>
  <c r="AQ228" i="1"/>
  <c r="AA228" i="1"/>
  <c r="AM227" i="1"/>
  <c r="W227" i="1"/>
  <c r="AI226" i="1"/>
  <c r="AU225" i="1"/>
  <c r="AE225" i="1"/>
  <c r="AQ224" i="1"/>
  <c r="AA224" i="1"/>
  <c r="AM223" i="1"/>
  <c r="W223" i="1"/>
  <c r="AI222" i="1"/>
  <c r="AU221" i="1"/>
  <c r="AE221" i="1"/>
  <c r="AQ220" i="1"/>
  <c r="AA220" i="1"/>
  <c r="AM219" i="1"/>
  <c r="W219" i="1"/>
  <c r="AI218" i="1"/>
  <c r="AU217" i="1"/>
  <c r="AE217" i="1"/>
  <c r="AQ216" i="1"/>
  <c r="AA216" i="1"/>
  <c r="AM215" i="1"/>
  <c r="W215" i="1"/>
  <c r="AI214" i="1"/>
  <c r="AU213" i="1"/>
  <c r="AE213" i="1"/>
  <c r="AL251" i="1"/>
  <c r="V251" i="1"/>
  <c r="AH250" i="1"/>
  <c r="AT249" i="1"/>
  <c r="AD249" i="1"/>
  <c r="AP248" i="1"/>
  <c r="Z248" i="1"/>
  <c r="AL247" i="1"/>
  <c r="V247" i="1"/>
  <c r="AH246" i="1"/>
  <c r="AT245" i="1"/>
  <c r="AD245" i="1"/>
  <c r="AP244" i="1"/>
  <c r="Z244" i="1"/>
  <c r="AL243" i="1"/>
  <c r="V243" i="1"/>
  <c r="AH242" i="1"/>
  <c r="AT241" i="1"/>
  <c r="AD241" i="1"/>
  <c r="AP240" i="1"/>
  <c r="Z240" i="1"/>
  <c r="AL239" i="1"/>
  <c r="V239" i="1"/>
  <c r="AH238" i="1"/>
  <c r="AT237" i="1"/>
  <c r="AD237" i="1"/>
  <c r="AP236" i="1"/>
  <c r="Z236" i="1"/>
  <c r="AL235" i="1"/>
  <c r="V235" i="1"/>
  <c r="AH234" i="1"/>
  <c r="AT233" i="1"/>
  <c r="AD233" i="1"/>
  <c r="AP232" i="1"/>
  <c r="Z232" i="1"/>
  <c r="AL231" i="1"/>
  <c r="V231" i="1"/>
  <c r="AH230" i="1"/>
  <c r="AT229" i="1"/>
  <c r="AD229" i="1"/>
  <c r="AP228" i="1"/>
  <c r="Z228" i="1"/>
  <c r="AL227" i="1"/>
  <c r="V227" i="1"/>
  <c r="AH226" i="1"/>
  <c r="AT225" i="1"/>
  <c r="AD225" i="1"/>
  <c r="AP224" i="1"/>
  <c r="Z224" i="1"/>
  <c r="AL223" i="1"/>
  <c r="V223" i="1"/>
  <c r="AH222" i="1"/>
  <c r="AT221" i="1"/>
  <c r="AD221" i="1"/>
  <c r="AP220" i="1"/>
  <c r="Z220" i="1"/>
  <c r="AL219" i="1"/>
  <c r="V219" i="1"/>
  <c r="AH218" i="1"/>
  <c r="AT217" i="1"/>
  <c r="AD217" i="1"/>
  <c r="AP216" i="1"/>
  <c r="Z216" i="1"/>
  <c r="AL215" i="1"/>
  <c r="V215" i="1"/>
  <c r="AH214" i="1"/>
  <c r="AT213" i="1"/>
  <c r="AD213" i="1"/>
  <c r="AP212" i="1"/>
  <c r="Z212" i="1"/>
  <c r="AL211" i="1"/>
  <c r="V211" i="1"/>
  <c r="AH210" i="1"/>
  <c r="AT209" i="1"/>
  <c r="AD209" i="1"/>
  <c r="AP208" i="1"/>
  <c r="Z208" i="1"/>
  <c r="AL207" i="1"/>
  <c r="V207" i="1"/>
  <c r="AH206" i="1"/>
  <c r="AT205" i="1"/>
  <c r="AD205" i="1"/>
  <c r="AP204" i="1"/>
  <c r="Z204" i="1"/>
  <c r="AL203" i="1"/>
  <c r="AK251" i="1"/>
  <c r="AG250" i="1"/>
  <c r="AS249" i="1"/>
  <c r="AC249" i="1"/>
  <c r="AO248" i="1"/>
  <c r="Y248" i="1"/>
  <c r="AK247" i="1"/>
  <c r="AG246" i="1"/>
  <c r="AS245" i="1"/>
  <c r="AC245" i="1"/>
  <c r="AO244" i="1"/>
  <c r="Y244" i="1"/>
  <c r="AK243" i="1"/>
  <c r="AG242" i="1"/>
  <c r="AS241" i="1"/>
  <c r="AC241" i="1"/>
  <c r="AO240" i="1"/>
  <c r="Y240" i="1"/>
  <c r="AK239" i="1"/>
  <c r="AG238" i="1"/>
  <c r="AS237" i="1"/>
  <c r="AC237" i="1"/>
  <c r="AO236" i="1"/>
  <c r="Y236" i="1"/>
  <c r="AK235" i="1"/>
  <c r="AG234" i="1"/>
  <c r="AS233" i="1"/>
  <c r="AC233" i="1"/>
  <c r="AO232" i="1"/>
  <c r="Y232" i="1"/>
  <c r="AK231" i="1"/>
  <c r="AG230" i="1"/>
  <c r="AS229" i="1"/>
  <c r="AC229" i="1"/>
  <c r="AO228" i="1"/>
  <c r="Y228" i="1"/>
  <c r="AK227" i="1"/>
  <c r="AG226" i="1"/>
  <c r="AS225" i="1"/>
  <c r="AC225" i="1"/>
  <c r="AO224" i="1"/>
  <c r="Y224" i="1"/>
  <c r="AK223" i="1"/>
  <c r="AG222" i="1"/>
  <c r="AS221" i="1"/>
  <c r="AC221" i="1"/>
  <c r="AO220" i="1"/>
  <c r="Y220" i="1"/>
  <c r="AK219" i="1"/>
  <c r="AG218" i="1"/>
  <c r="AS217" i="1"/>
  <c r="AC217" i="1"/>
  <c r="AO216" i="1"/>
  <c r="Y216" i="1"/>
  <c r="AK215" i="1"/>
  <c r="AG214" i="1"/>
  <c r="AS213" i="1"/>
  <c r="AC213" i="1"/>
  <c r="AO212" i="1"/>
  <c r="Y212" i="1"/>
  <c r="AK211" i="1"/>
  <c r="AG210" i="1"/>
  <c r="AS209" i="1"/>
  <c r="AJ251" i="1"/>
  <c r="AV250" i="1"/>
  <c r="AF250" i="1"/>
  <c r="AR249" i="1"/>
  <c r="AB249" i="1"/>
  <c r="AN248" i="1"/>
  <c r="X248" i="1"/>
  <c r="AJ247" i="1"/>
  <c r="AV246" i="1"/>
  <c r="AF246" i="1"/>
  <c r="AR245" i="1"/>
  <c r="AB245" i="1"/>
  <c r="AN244" i="1"/>
  <c r="X244" i="1"/>
  <c r="AJ243" i="1"/>
  <c r="AV242" i="1"/>
  <c r="AF242" i="1"/>
  <c r="AR241" i="1"/>
  <c r="AB241" i="1"/>
  <c r="AN240" i="1"/>
  <c r="X240" i="1"/>
  <c r="AJ239" i="1"/>
  <c r="AV238" i="1"/>
  <c r="AF238" i="1"/>
  <c r="AR237" i="1"/>
  <c r="AB237" i="1"/>
  <c r="AN236" i="1"/>
  <c r="X236" i="1"/>
  <c r="AJ235" i="1"/>
  <c r="AV234" i="1"/>
  <c r="AF234" i="1"/>
  <c r="AR233" i="1"/>
  <c r="AB233" i="1"/>
  <c r="AN232" i="1"/>
  <c r="X232" i="1"/>
  <c r="AJ231" i="1"/>
  <c r="AV230" i="1"/>
  <c r="AF230" i="1"/>
  <c r="AR229" i="1"/>
  <c r="AB229" i="1"/>
  <c r="AN228" i="1"/>
  <c r="X228" i="1"/>
  <c r="AJ227" i="1"/>
  <c r="AV226" i="1"/>
  <c r="AF226" i="1"/>
  <c r="AR225" i="1"/>
  <c r="AB225" i="1"/>
  <c r="AN224" i="1"/>
  <c r="X224" i="1"/>
  <c r="AJ223" i="1"/>
  <c r="AV222" i="1"/>
  <c r="AF222" i="1"/>
  <c r="AR221" i="1"/>
  <c r="AB221" i="1"/>
  <c r="AN220" i="1"/>
  <c r="X220" i="1"/>
  <c r="AJ219" i="1"/>
  <c r="AV218" i="1"/>
  <c r="AF218" i="1"/>
  <c r="AR217" i="1"/>
  <c r="AB217" i="1"/>
  <c r="AN216" i="1"/>
  <c r="X216" i="1"/>
  <c r="AJ215" i="1"/>
  <c r="AV214" i="1"/>
  <c r="AF214" i="1"/>
  <c r="AR213" i="1"/>
  <c r="AB213" i="1"/>
  <c r="AN212" i="1"/>
  <c r="X212" i="1"/>
  <c r="AJ211" i="1"/>
  <c r="AV210" i="1"/>
  <c r="AF210" i="1"/>
  <c r="AR209" i="1"/>
  <c r="AB209" i="1"/>
  <c r="AN208" i="1"/>
  <c r="X208" i="1"/>
  <c r="AJ207" i="1"/>
  <c r="AV206" i="1"/>
  <c r="AF206" i="1"/>
  <c r="AR205" i="1"/>
  <c r="AB205" i="1"/>
  <c r="AN204" i="1"/>
  <c r="X204" i="1"/>
  <c r="AI251" i="1"/>
  <c r="AU250" i="1"/>
  <c r="AE250" i="1"/>
  <c r="AQ249" i="1"/>
  <c r="AA249" i="1"/>
  <c r="AM248" i="1"/>
  <c r="W248" i="1"/>
  <c r="AI247" i="1"/>
  <c r="AU246" i="1"/>
  <c r="AE246" i="1"/>
  <c r="AQ245" i="1"/>
  <c r="AA245" i="1"/>
  <c r="AM244" i="1"/>
  <c r="W244" i="1"/>
  <c r="AI243" i="1"/>
  <c r="AU242" i="1"/>
  <c r="AE242" i="1"/>
  <c r="AQ241" i="1"/>
  <c r="AA241" i="1"/>
  <c r="AM240" i="1"/>
  <c r="W240" i="1"/>
  <c r="AI239" i="1"/>
  <c r="AU238" i="1"/>
  <c r="AE238" i="1"/>
  <c r="AQ237" i="1"/>
  <c r="AA237" i="1"/>
  <c r="AM236" i="1"/>
  <c r="W236" i="1"/>
  <c r="AI235" i="1"/>
  <c r="AU234" i="1"/>
  <c r="AE234" i="1"/>
  <c r="AQ233" i="1"/>
  <c r="AA233" i="1"/>
  <c r="AM232" i="1"/>
  <c r="W232" i="1"/>
  <c r="AI231" i="1"/>
  <c r="AU230" i="1"/>
  <c r="AE230" i="1"/>
  <c r="AQ229" i="1"/>
  <c r="AA229" i="1"/>
  <c r="AM228" i="1"/>
  <c r="W228" i="1"/>
  <c r="AI227" i="1"/>
  <c r="AU226" i="1"/>
  <c r="AE226" i="1"/>
  <c r="AQ225" i="1"/>
  <c r="AA225" i="1"/>
  <c r="AM224" i="1"/>
  <c r="W224" i="1"/>
  <c r="AI223" i="1"/>
  <c r="AU222" i="1"/>
  <c r="AE222" i="1"/>
  <c r="AQ221" i="1"/>
  <c r="AA221" i="1"/>
  <c r="AM220" i="1"/>
  <c r="W220" i="1"/>
  <c r="AI219" i="1"/>
  <c r="AU218" i="1"/>
  <c r="AE218" i="1"/>
  <c r="AQ217" i="1"/>
  <c r="AA217" i="1"/>
  <c r="AM216" i="1"/>
  <c r="W216" i="1"/>
  <c r="AI215" i="1"/>
  <c r="AU214" i="1"/>
  <c r="AH251" i="1"/>
  <c r="AT250" i="1"/>
  <c r="AD250" i="1"/>
  <c r="AP249" i="1"/>
  <c r="Z249" i="1"/>
  <c r="AL248" i="1"/>
  <c r="V248" i="1"/>
  <c r="AH247" i="1"/>
  <c r="AT246" i="1"/>
  <c r="AD246" i="1"/>
  <c r="AP245" i="1"/>
  <c r="Z245" i="1"/>
  <c r="AL244" i="1"/>
  <c r="V244" i="1"/>
  <c r="AH243" i="1"/>
  <c r="AT242" i="1"/>
  <c r="AD242" i="1"/>
  <c r="AP241" i="1"/>
  <c r="Z241" i="1"/>
  <c r="AL240" i="1"/>
  <c r="V240" i="1"/>
  <c r="AH239" i="1"/>
  <c r="AT238" i="1"/>
  <c r="AD238" i="1"/>
  <c r="AP237" i="1"/>
  <c r="Z237" i="1"/>
  <c r="AL236" i="1"/>
  <c r="V236" i="1"/>
  <c r="AH235" i="1"/>
  <c r="AT234" i="1"/>
  <c r="AD234" i="1"/>
  <c r="AP233" i="1"/>
  <c r="Z233" i="1"/>
  <c r="AL232" i="1"/>
  <c r="V232" i="1"/>
  <c r="AH231" i="1"/>
  <c r="AT230" i="1"/>
  <c r="AD230" i="1"/>
  <c r="AP229" i="1"/>
  <c r="Z229" i="1"/>
  <c r="AL228" i="1"/>
  <c r="V228" i="1"/>
  <c r="AH227" i="1"/>
  <c r="AT226" i="1"/>
  <c r="AD226" i="1"/>
  <c r="AP225" i="1"/>
  <c r="Z225" i="1"/>
  <c r="AL224" i="1"/>
  <c r="V224" i="1"/>
  <c r="AH223" i="1"/>
  <c r="AT222" i="1"/>
  <c r="AD222" i="1"/>
  <c r="AP221" i="1"/>
  <c r="Z221" i="1"/>
  <c r="AL220" i="1"/>
  <c r="V220" i="1"/>
  <c r="AH219" i="1"/>
  <c r="AT218" i="1"/>
  <c r="AD218" i="1"/>
  <c r="AP217" i="1"/>
  <c r="Z217" i="1"/>
  <c r="AG251" i="1"/>
  <c r="AS250" i="1"/>
  <c r="AC250" i="1"/>
  <c r="AO249" i="1"/>
  <c r="Y249" i="1"/>
  <c r="AK248" i="1"/>
  <c r="AG247" i="1"/>
  <c r="AS246" i="1"/>
  <c r="AC246" i="1"/>
  <c r="AO245" i="1"/>
  <c r="Y245" i="1"/>
  <c r="AK244" i="1"/>
  <c r="AG243" i="1"/>
  <c r="AS242" i="1"/>
  <c r="AC242" i="1"/>
  <c r="AO241" i="1"/>
  <c r="Y241" i="1"/>
  <c r="AK240" i="1"/>
  <c r="AG239" i="1"/>
  <c r="AS238" i="1"/>
  <c r="AC238" i="1"/>
  <c r="AO237" i="1"/>
  <c r="Y237" i="1"/>
  <c r="AK236" i="1"/>
  <c r="AG235" i="1"/>
  <c r="AS234" i="1"/>
  <c r="AC234" i="1"/>
  <c r="AO233" i="1"/>
  <c r="Y233" i="1"/>
  <c r="AK232" i="1"/>
  <c r="AG231" i="1"/>
  <c r="AS230" i="1"/>
  <c r="AC230" i="1"/>
  <c r="AO229" i="1"/>
  <c r="Y229" i="1"/>
  <c r="AK228" i="1"/>
  <c r="AG227" i="1"/>
  <c r="AS226" i="1"/>
  <c r="AC226" i="1"/>
  <c r="AO225" i="1"/>
  <c r="Y225" i="1"/>
  <c r="AK224" i="1"/>
  <c r="AG223" i="1"/>
  <c r="AS222" i="1"/>
  <c r="AC222" i="1"/>
  <c r="AO221" i="1"/>
  <c r="Y221" i="1"/>
  <c r="AK220" i="1"/>
  <c r="AG219" i="1"/>
  <c r="AS218" i="1"/>
  <c r="AC218" i="1"/>
  <c r="AO217" i="1"/>
  <c r="Y217" i="1"/>
  <c r="AK216" i="1"/>
  <c r="AG215" i="1"/>
  <c r="AS214" i="1"/>
  <c r="AC214" i="1"/>
  <c r="AO213" i="1"/>
  <c r="AV251" i="1"/>
  <c r="AU251" i="1"/>
  <c r="AE251" i="1"/>
  <c r="AQ250" i="1"/>
  <c r="AA250" i="1"/>
  <c r="AM249" i="1"/>
  <c r="W249" i="1"/>
  <c r="AI248" i="1"/>
  <c r="AU247" i="1"/>
  <c r="AE247" i="1"/>
  <c r="AQ246" i="1"/>
  <c r="AA246" i="1"/>
  <c r="AM245" i="1"/>
  <c r="W245" i="1"/>
  <c r="AI244" i="1"/>
  <c r="AU243" i="1"/>
  <c r="AE243" i="1"/>
  <c r="AQ242" i="1"/>
  <c r="AA242" i="1"/>
  <c r="AM241" i="1"/>
  <c r="W241" i="1"/>
  <c r="AI240" i="1"/>
  <c r="AU239" i="1"/>
  <c r="AE239" i="1"/>
  <c r="AQ238" i="1"/>
  <c r="AA238" i="1"/>
  <c r="AM237" i="1"/>
  <c r="W237" i="1"/>
  <c r="AI236" i="1"/>
  <c r="AU235" i="1"/>
  <c r="AE235" i="1"/>
  <c r="AQ234" i="1"/>
  <c r="AA234" i="1"/>
  <c r="AM233" i="1"/>
  <c r="W233" i="1"/>
  <c r="AI232" i="1"/>
  <c r="AU231" i="1"/>
  <c r="AE231" i="1"/>
  <c r="AQ230" i="1"/>
  <c r="AA230" i="1"/>
  <c r="AM229" i="1"/>
  <c r="W229" i="1"/>
  <c r="AI228" i="1"/>
  <c r="AU227" i="1"/>
  <c r="AE227" i="1"/>
  <c r="AQ226" i="1"/>
  <c r="AA226" i="1"/>
  <c r="AM225" i="1"/>
  <c r="W225" i="1"/>
  <c r="AI224" i="1"/>
  <c r="AU223" i="1"/>
  <c r="AE223" i="1"/>
  <c r="AQ222" i="1"/>
  <c r="AA222" i="1"/>
  <c r="AM221" i="1"/>
  <c r="W221" i="1"/>
  <c r="AI220" i="1"/>
  <c r="AU219" i="1"/>
  <c r="AE219" i="1"/>
  <c r="AQ218" i="1"/>
  <c r="AA218" i="1"/>
  <c r="AM217" i="1"/>
  <c r="W217" i="1"/>
  <c r="AI216" i="1"/>
  <c r="AU215" i="1"/>
  <c r="AE215" i="1"/>
  <c r="AT251" i="1"/>
  <c r="AD251" i="1"/>
  <c r="AP250" i="1"/>
  <c r="Z250" i="1"/>
  <c r="AL249" i="1"/>
  <c r="V249" i="1"/>
  <c r="AH248" i="1"/>
  <c r="AT247" i="1"/>
  <c r="AD247" i="1"/>
  <c r="AP246" i="1"/>
  <c r="Z246" i="1"/>
  <c r="AL245" i="1"/>
  <c r="V245" i="1"/>
  <c r="AH244" i="1"/>
  <c r="AT243" i="1"/>
  <c r="AD243" i="1"/>
  <c r="AP242" i="1"/>
  <c r="Z242" i="1"/>
  <c r="AL241" i="1"/>
  <c r="V241" i="1"/>
  <c r="AH240" i="1"/>
  <c r="AT239" i="1"/>
  <c r="AD239" i="1"/>
  <c r="AP238" i="1"/>
  <c r="Z238" i="1"/>
  <c r="AL237" i="1"/>
  <c r="V237" i="1"/>
  <c r="AH236" i="1"/>
  <c r="AT235" i="1"/>
  <c r="AD235" i="1"/>
  <c r="AP234" i="1"/>
  <c r="Z234" i="1"/>
  <c r="AL233" i="1"/>
  <c r="V233" i="1"/>
  <c r="AH232" i="1"/>
  <c r="AT231" i="1"/>
  <c r="AD231" i="1"/>
  <c r="AP230" i="1"/>
  <c r="Z230" i="1"/>
  <c r="AL229" i="1"/>
  <c r="V229" i="1"/>
  <c r="AH228" i="1"/>
  <c r="AT227" i="1"/>
  <c r="AD227" i="1"/>
  <c r="AP226" i="1"/>
  <c r="Z226" i="1"/>
  <c r="AL225" i="1"/>
  <c r="V225" i="1"/>
  <c r="AH224" i="1"/>
  <c r="AT223" i="1"/>
  <c r="AD223" i="1"/>
  <c r="AP222" i="1"/>
  <c r="Z222" i="1"/>
  <c r="AL221" i="1"/>
  <c r="V221" i="1"/>
  <c r="AH220" i="1"/>
  <c r="AT219" i="1"/>
  <c r="AD219" i="1"/>
  <c r="AP218" i="1"/>
  <c r="Z218" i="1"/>
  <c r="AL217" i="1"/>
  <c r="V217" i="1"/>
  <c r="AH216" i="1"/>
  <c r="AT215" i="1"/>
  <c r="AD215" i="1"/>
  <c r="AP214" i="1"/>
  <c r="Z214" i="1"/>
  <c r="AL213" i="1"/>
  <c r="AS251" i="1"/>
  <c r="AC251" i="1"/>
  <c r="AO250" i="1"/>
  <c r="Y250" i="1"/>
  <c r="AK249" i="1"/>
  <c r="AG248" i="1"/>
  <c r="AS247" i="1"/>
  <c r="AC247" i="1"/>
  <c r="AO246" i="1"/>
  <c r="Y246" i="1"/>
  <c r="AK245" i="1"/>
  <c r="AG244" i="1"/>
  <c r="AS243" i="1"/>
  <c r="AC243" i="1"/>
  <c r="AO242" i="1"/>
  <c r="Y242" i="1"/>
  <c r="AK241" i="1"/>
  <c r="AG240" i="1"/>
  <c r="AS239" i="1"/>
  <c r="AC239" i="1"/>
  <c r="AO238" i="1"/>
  <c r="Y238" i="1"/>
  <c r="AK237" i="1"/>
  <c r="AG236" i="1"/>
  <c r="AS235" i="1"/>
  <c r="AC235" i="1"/>
  <c r="AO234" i="1"/>
  <c r="Y234" i="1"/>
  <c r="AK233" i="1"/>
  <c r="AG232" i="1"/>
  <c r="AS231" i="1"/>
  <c r="AC231" i="1"/>
  <c r="AO230" i="1"/>
  <c r="Y230" i="1"/>
  <c r="AK229" i="1"/>
  <c r="AG228" i="1"/>
  <c r="AS227" i="1"/>
  <c r="AC227" i="1"/>
  <c r="AO226" i="1"/>
  <c r="Y226" i="1"/>
  <c r="AK225" i="1"/>
  <c r="AG224" i="1"/>
  <c r="AS223" i="1"/>
  <c r="AC223" i="1"/>
  <c r="AO222" i="1"/>
  <c r="Y222" i="1"/>
  <c r="AK221" i="1"/>
  <c r="AG220" i="1"/>
  <c r="AS219" i="1"/>
  <c r="AC219" i="1"/>
  <c r="AO218" i="1"/>
  <c r="Y218" i="1"/>
  <c r="AK217" i="1"/>
  <c r="AG216" i="1"/>
  <c r="AS215" i="1"/>
  <c r="AC215" i="1"/>
  <c r="AO214" i="1"/>
  <c r="Y214" i="1"/>
  <c r="AK213" i="1"/>
  <c r="AR251" i="1"/>
  <c r="AB251" i="1"/>
  <c r="AN250" i="1"/>
  <c r="X250" i="1"/>
  <c r="AJ249" i="1"/>
  <c r="AV248" i="1"/>
  <c r="AF248" i="1"/>
  <c r="AR247" i="1"/>
  <c r="AB247" i="1"/>
  <c r="AN246" i="1"/>
  <c r="X246" i="1"/>
  <c r="AJ245" i="1"/>
  <c r="AV244" i="1"/>
  <c r="AF244" i="1"/>
  <c r="AR243" i="1"/>
  <c r="AB243" i="1"/>
  <c r="AN242" i="1"/>
  <c r="X242" i="1"/>
  <c r="AJ241" i="1"/>
  <c r="AV240" i="1"/>
  <c r="AF240" i="1"/>
  <c r="AR239" i="1"/>
  <c r="AB239" i="1"/>
  <c r="AN238" i="1"/>
  <c r="X238" i="1"/>
  <c r="AJ237" i="1"/>
  <c r="AV236" i="1"/>
  <c r="AF236" i="1"/>
  <c r="AR235" i="1"/>
  <c r="AB235" i="1"/>
  <c r="AN234" i="1"/>
  <c r="X234" i="1"/>
  <c r="AJ233" i="1"/>
  <c r="AV232" i="1"/>
  <c r="AF232" i="1"/>
  <c r="AR231" i="1"/>
  <c r="AB231" i="1"/>
  <c r="AN230" i="1"/>
  <c r="X230" i="1"/>
  <c r="AJ229" i="1"/>
  <c r="AV228" i="1"/>
  <c r="AF228" i="1"/>
  <c r="AR227" i="1"/>
  <c r="AB227" i="1"/>
  <c r="AN226" i="1"/>
  <c r="X226" i="1"/>
  <c r="AJ225" i="1"/>
  <c r="AV224" i="1"/>
  <c r="AF224" i="1"/>
  <c r="AR223" i="1"/>
  <c r="AB223" i="1"/>
  <c r="AN222" i="1"/>
  <c r="X222" i="1"/>
  <c r="AJ221" i="1"/>
  <c r="AV220" i="1"/>
  <c r="AF220" i="1"/>
  <c r="AR219" i="1"/>
  <c r="AB219" i="1"/>
  <c r="AN218" i="1"/>
  <c r="X218" i="1"/>
  <c r="AJ217" i="1"/>
  <c r="AV216" i="1"/>
  <c r="AF216" i="1"/>
  <c r="AR215" i="1"/>
  <c r="AB215" i="1"/>
  <c r="AN214" i="1"/>
  <c r="X214" i="1"/>
  <c r="AJ213" i="1"/>
  <c r="AV212" i="1"/>
  <c r="AF212" i="1"/>
  <c r="AR211" i="1"/>
  <c r="AB211" i="1"/>
  <c r="AN210" i="1"/>
  <c r="X210" i="1"/>
  <c r="AJ209" i="1"/>
  <c r="AV208" i="1"/>
  <c r="AF208" i="1"/>
  <c r="AR207" i="1"/>
  <c r="AB207" i="1"/>
  <c r="AN206" i="1"/>
  <c r="X206" i="1"/>
  <c r="AJ205" i="1"/>
  <c r="AV204" i="1"/>
  <c r="AQ251" i="1"/>
  <c r="AP251" i="1"/>
  <c r="Z251" i="1"/>
  <c r="F251" i="14" s="1"/>
  <c r="AL250" i="1"/>
  <c r="V250" i="1"/>
  <c r="AH249" i="1"/>
  <c r="AT248" i="1"/>
  <c r="AD248" i="1"/>
  <c r="AP247" i="1"/>
  <c r="Z247" i="1"/>
  <c r="AL246" i="1"/>
  <c r="V246" i="1"/>
  <c r="AH245" i="1"/>
  <c r="AT244" i="1"/>
  <c r="AD244" i="1"/>
  <c r="AP243" i="1"/>
  <c r="Z243" i="1"/>
  <c r="AL242" i="1"/>
  <c r="V242" i="1"/>
  <c r="AH241" i="1"/>
  <c r="AT240" i="1"/>
  <c r="AD240" i="1"/>
  <c r="AP239" i="1"/>
  <c r="Z239" i="1"/>
  <c r="AL238" i="1"/>
  <c r="V238" i="1"/>
  <c r="AH237" i="1"/>
  <c r="AT236" i="1"/>
  <c r="AD236" i="1"/>
  <c r="AP235" i="1"/>
  <c r="Z235" i="1"/>
  <c r="AL234" i="1"/>
  <c r="V234" i="1"/>
  <c r="AH233" i="1"/>
  <c r="AT232" i="1"/>
  <c r="AD232" i="1"/>
  <c r="AP231" i="1"/>
  <c r="Z231" i="1"/>
  <c r="AL230" i="1"/>
  <c r="V230" i="1"/>
  <c r="AH229" i="1"/>
  <c r="AT228" i="1"/>
  <c r="AD228" i="1"/>
  <c r="AP227" i="1"/>
  <c r="Z227" i="1"/>
  <c r="AL226" i="1"/>
  <c r="V226" i="1"/>
  <c r="AH225" i="1"/>
  <c r="AT224" i="1"/>
  <c r="AD224" i="1"/>
  <c r="AP223" i="1"/>
  <c r="Z223" i="1"/>
  <c r="AL222" i="1"/>
  <c r="V222" i="1"/>
  <c r="AH221" i="1"/>
  <c r="AT220" i="1"/>
  <c r="AD220" i="1"/>
  <c r="AP219" i="1"/>
  <c r="Z219" i="1"/>
  <c r="AL218" i="1"/>
  <c r="V218" i="1"/>
  <c r="AO251" i="1"/>
  <c r="Y251" i="1"/>
  <c r="AK250" i="1"/>
  <c r="AG249" i="1"/>
  <c r="AS248" i="1"/>
  <c r="AC248" i="1"/>
  <c r="AO247" i="1"/>
  <c r="Y247" i="1"/>
  <c r="AK246" i="1"/>
  <c r="AG245" i="1"/>
  <c r="AS244" i="1"/>
  <c r="AC244" i="1"/>
  <c r="AO243" i="1"/>
  <c r="Y243" i="1"/>
  <c r="AK242" i="1"/>
  <c r="AG241" i="1"/>
  <c r="AS240" i="1"/>
  <c r="AC240" i="1"/>
  <c r="AO239" i="1"/>
  <c r="Y239" i="1"/>
  <c r="AK238" i="1"/>
  <c r="AG237" i="1"/>
  <c r="AS236" i="1"/>
  <c r="AC236" i="1"/>
  <c r="AO235" i="1"/>
  <c r="Y235" i="1"/>
  <c r="AK234" i="1"/>
  <c r="AG233" i="1"/>
  <c r="AS232" i="1"/>
  <c r="AC232" i="1"/>
  <c r="AO231" i="1"/>
  <c r="Y231" i="1"/>
  <c r="AK230" i="1"/>
  <c r="AG229" i="1"/>
  <c r="AS228" i="1"/>
  <c r="AC228" i="1"/>
  <c r="AO227" i="1"/>
  <c r="Y227" i="1"/>
  <c r="AK226" i="1"/>
  <c r="AG225" i="1"/>
  <c r="AS224" i="1"/>
  <c r="AC224" i="1"/>
  <c r="AN251" i="1"/>
  <c r="X251" i="1"/>
  <c r="AJ250" i="1"/>
  <c r="AV249" i="1"/>
  <c r="AF249" i="1"/>
  <c r="AR248" i="1"/>
  <c r="AB248" i="1"/>
  <c r="AN247" i="1"/>
  <c r="X247" i="1"/>
  <c r="AJ246" i="1"/>
  <c r="AV245" i="1"/>
  <c r="AF245" i="1"/>
  <c r="AR244" i="1"/>
  <c r="AB244" i="1"/>
  <c r="AN243" i="1"/>
  <c r="X243" i="1"/>
  <c r="AJ242" i="1"/>
  <c r="AV241" i="1"/>
  <c r="AF241" i="1"/>
  <c r="AR240" i="1"/>
  <c r="AB240" i="1"/>
  <c r="AN239" i="1"/>
  <c r="X239" i="1"/>
  <c r="AJ238" i="1"/>
  <c r="AV237" i="1"/>
  <c r="AF237" i="1"/>
  <c r="AR236" i="1"/>
  <c r="AB236" i="1"/>
  <c r="AN235" i="1"/>
  <c r="X235" i="1"/>
  <c r="AJ234" i="1"/>
  <c r="AV233" i="1"/>
  <c r="AF233" i="1"/>
  <c r="AR232" i="1"/>
  <c r="AB232" i="1"/>
  <c r="AN231" i="1"/>
  <c r="X231" i="1"/>
  <c r="AJ230" i="1"/>
  <c r="AV229" i="1"/>
  <c r="AF229" i="1"/>
  <c r="AR228" i="1"/>
  <c r="AB228" i="1"/>
  <c r="AN227" i="1"/>
  <c r="X227" i="1"/>
  <c r="AJ226" i="1"/>
  <c r="AV225" i="1"/>
  <c r="AF225" i="1"/>
  <c r="AR224" i="1"/>
  <c r="AB224" i="1"/>
  <c r="AN223" i="1"/>
  <c r="X223" i="1"/>
  <c r="AJ222" i="1"/>
  <c r="AV221" i="1"/>
  <c r="AF221" i="1"/>
  <c r="AR220" i="1"/>
  <c r="AB220" i="1"/>
  <c r="AN219" i="1"/>
  <c r="X219" i="1"/>
  <c r="AJ218" i="1"/>
  <c r="AV217" i="1"/>
  <c r="AF217" i="1"/>
  <c r="AR216" i="1"/>
  <c r="AB216" i="1"/>
  <c r="AN215" i="1"/>
  <c r="X215" i="1"/>
  <c r="AJ214" i="1"/>
  <c r="AV213" i="1"/>
  <c r="AF213" i="1"/>
  <c r="AI249" i="1"/>
  <c r="AB242" i="1"/>
  <c r="AR238" i="1"/>
  <c r="AA235" i="1"/>
  <c r="AQ231" i="1"/>
  <c r="AJ224" i="1"/>
  <c r="AN221" i="1"/>
  <c r="Y219" i="1"/>
  <c r="AS216" i="1"/>
  <c r="Y215" i="1"/>
  <c r="AP213" i="1"/>
  <c r="AR212" i="1"/>
  <c r="AC211" i="1"/>
  <c r="AK210" i="1"/>
  <c r="AP209" i="1"/>
  <c r="W209" i="1"/>
  <c r="AE208" i="1"/>
  <c r="AN207" i="1"/>
  <c r="AU206" i="1"/>
  <c r="AB206" i="1"/>
  <c r="AK205" i="1"/>
  <c r="AS204" i="1"/>
  <c r="AA204" i="1"/>
  <c r="AJ203" i="1"/>
  <c r="AV202" i="1"/>
  <c r="AF202" i="1"/>
  <c r="AR201" i="1"/>
  <c r="AB201" i="1"/>
  <c r="AN200" i="1"/>
  <c r="X200" i="1"/>
  <c r="AJ199" i="1"/>
  <c r="AV198" i="1"/>
  <c r="AF198" i="1"/>
  <c r="AR197" i="1"/>
  <c r="AB197" i="1"/>
  <c r="AN196" i="1"/>
  <c r="X196" i="1"/>
  <c r="AJ195" i="1"/>
  <c r="AV194" i="1"/>
  <c r="AF194" i="1"/>
  <c r="AR193" i="1"/>
  <c r="AB193" i="1"/>
  <c r="AN192" i="1"/>
  <c r="X192" i="1"/>
  <c r="AJ191" i="1"/>
  <c r="AV190" i="1"/>
  <c r="AF190" i="1"/>
  <c r="AR189" i="1"/>
  <c r="AB189" i="1"/>
  <c r="AN188" i="1"/>
  <c r="X188" i="1"/>
  <c r="AJ187" i="1"/>
  <c r="AV186" i="1"/>
  <c r="AF186" i="1"/>
  <c r="AR185" i="1"/>
  <c r="AB185" i="1"/>
  <c r="AN184" i="1"/>
  <c r="X184" i="1"/>
  <c r="AJ183" i="1"/>
  <c r="AV182" i="1"/>
  <c r="AF182" i="1"/>
  <c r="AR181" i="1"/>
  <c r="AB181" i="1"/>
  <c r="AN180" i="1"/>
  <c r="X180" i="1"/>
  <c r="AJ179" i="1"/>
  <c r="AV178" i="1"/>
  <c r="AF178" i="1"/>
  <c r="AR177" i="1"/>
  <c r="AB177" i="1"/>
  <c r="AN176" i="1"/>
  <c r="X176" i="1"/>
  <c r="AJ175" i="1"/>
  <c r="AV174" i="1"/>
  <c r="AF174" i="1"/>
  <c r="AR173" i="1"/>
  <c r="AB173" i="1"/>
  <c r="AN172" i="1"/>
  <c r="X172" i="1"/>
  <c r="AJ171" i="1"/>
  <c r="AV170" i="1"/>
  <c r="X249" i="1"/>
  <c r="AN245" i="1"/>
  <c r="W242" i="1"/>
  <c r="AM238" i="1"/>
  <c r="AF231" i="1"/>
  <c r="AV227" i="1"/>
  <c r="AE224" i="1"/>
  <c r="AI221" i="1"/>
  <c r="AL216" i="1"/>
  <c r="AN213" i="1"/>
  <c r="AQ212" i="1"/>
  <c r="AV211" i="1"/>
  <c r="AA211" i="1"/>
  <c r="AJ210" i="1"/>
  <c r="AO209" i="1"/>
  <c r="V209" i="1"/>
  <c r="AD208" i="1"/>
  <c r="AM207" i="1"/>
  <c r="AT206" i="1"/>
  <c r="AA206" i="1"/>
  <c r="AI205" i="1"/>
  <c r="AR204" i="1"/>
  <c r="Y204" i="1"/>
  <c r="AI203" i="1"/>
  <c r="AU202" i="1"/>
  <c r="AE202" i="1"/>
  <c r="AQ201" i="1"/>
  <c r="AA201" i="1"/>
  <c r="AM200" i="1"/>
  <c r="W200" i="1"/>
  <c r="AI199" i="1"/>
  <c r="AU198" i="1"/>
  <c r="AE198" i="1"/>
  <c r="AQ197" i="1"/>
  <c r="AA197" i="1"/>
  <c r="AM196" i="1"/>
  <c r="W196" i="1"/>
  <c r="AI195" i="1"/>
  <c r="AU194" i="1"/>
  <c r="AE194" i="1"/>
  <c r="AQ193" i="1"/>
  <c r="AA193" i="1"/>
  <c r="AM192" i="1"/>
  <c r="W192" i="1"/>
  <c r="AI191" i="1"/>
  <c r="AU190" i="1"/>
  <c r="AE190" i="1"/>
  <c r="AQ189" i="1"/>
  <c r="AA189" i="1"/>
  <c r="AM188" i="1"/>
  <c r="W188" i="1"/>
  <c r="AI187" i="1"/>
  <c r="AU186" i="1"/>
  <c r="AE186" i="1"/>
  <c r="AQ185" i="1"/>
  <c r="AA185" i="1"/>
  <c r="AM184" i="1"/>
  <c r="W184" i="1"/>
  <c r="AI183" i="1"/>
  <c r="AU182" i="1"/>
  <c r="AE182" i="1"/>
  <c r="AQ181" i="1"/>
  <c r="AA181" i="1"/>
  <c r="AM180" i="1"/>
  <c r="W180" i="1"/>
  <c r="AI179" i="1"/>
  <c r="AU178" i="1"/>
  <c r="AE178" i="1"/>
  <c r="AQ177" i="1"/>
  <c r="AA177" i="1"/>
  <c r="AM176" i="1"/>
  <c r="W176" i="1"/>
  <c r="AI175" i="1"/>
  <c r="AU174" i="1"/>
  <c r="AE174" i="1"/>
  <c r="AQ173" i="1"/>
  <c r="AA173" i="1"/>
  <c r="AM172" i="1"/>
  <c r="W172" i="1"/>
  <c r="AI171" i="1"/>
  <c r="AU170" i="1"/>
  <c r="AE170" i="1"/>
  <c r="AQ169" i="1"/>
  <c r="AI245" i="1"/>
  <c r="AB238" i="1"/>
  <c r="AR234" i="1"/>
  <c r="AA231" i="1"/>
  <c r="AQ227" i="1"/>
  <c r="AG221" i="1"/>
  <c r="AR218" i="1"/>
  <c r="AJ216" i="1"/>
  <c r="AT214" i="1"/>
  <c r="AM213" i="1"/>
  <c r="AM212" i="1"/>
  <c r="AU211" i="1"/>
  <c r="Z211" i="1"/>
  <c r="AI210" i="1"/>
  <c r="AN209" i="1"/>
  <c r="AC208" i="1"/>
  <c r="AK207" i="1"/>
  <c r="AS206" i="1"/>
  <c r="Z206" i="1"/>
  <c r="AH205" i="1"/>
  <c r="AQ204" i="1"/>
  <c r="W204" i="1"/>
  <c r="AH203" i="1"/>
  <c r="AT202" i="1"/>
  <c r="AD202" i="1"/>
  <c r="AP201" i="1"/>
  <c r="Z201" i="1"/>
  <c r="AL200" i="1"/>
  <c r="V200" i="1"/>
  <c r="AH199" i="1"/>
  <c r="AT198" i="1"/>
  <c r="AD198" i="1"/>
  <c r="AP197" i="1"/>
  <c r="Z197" i="1"/>
  <c r="AL196" i="1"/>
  <c r="V196" i="1"/>
  <c r="AH195" i="1"/>
  <c r="AT194" i="1"/>
  <c r="AD194" i="1"/>
  <c r="AP193" i="1"/>
  <c r="Z193" i="1"/>
  <c r="AL192" i="1"/>
  <c r="V192" i="1"/>
  <c r="AH191" i="1"/>
  <c r="AT190" i="1"/>
  <c r="AD190" i="1"/>
  <c r="AP189" i="1"/>
  <c r="Z189" i="1"/>
  <c r="AL188" i="1"/>
  <c r="V188" i="1"/>
  <c r="AH187" i="1"/>
  <c r="AT186" i="1"/>
  <c r="AD186" i="1"/>
  <c r="AP185" i="1"/>
  <c r="Z185" i="1"/>
  <c r="AL184" i="1"/>
  <c r="V184" i="1"/>
  <c r="AH183" i="1"/>
  <c r="AT182" i="1"/>
  <c r="AD182" i="1"/>
  <c r="AP181" i="1"/>
  <c r="Z181" i="1"/>
  <c r="AL180" i="1"/>
  <c r="V180" i="1"/>
  <c r="AH179" i="1"/>
  <c r="AT178" i="1"/>
  <c r="AD178" i="1"/>
  <c r="AP177" i="1"/>
  <c r="Z177" i="1"/>
  <c r="AL176" i="1"/>
  <c r="V176" i="1"/>
  <c r="AJ248" i="1"/>
  <c r="AI241" i="1"/>
  <c r="AB234" i="1"/>
  <c r="AR230" i="1"/>
  <c r="AA227" i="1"/>
  <c r="AQ223" i="1"/>
  <c r="AK218" i="1"/>
  <c r="AD216" i="1"/>
  <c r="AQ214" i="1"/>
  <c r="AH213" i="1"/>
  <c r="AK212" i="1"/>
  <c r="AS211" i="1"/>
  <c r="X211" i="1"/>
  <c r="AD210" i="1"/>
  <c r="AL209" i="1"/>
  <c r="AT208" i="1"/>
  <c r="AA208" i="1"/>
  <c r="AH207" i="1"/>
  <c r="AQ206" i="1"/>
  <c r="W206" i="1"/>
  <c r="AF205" i="1"/>
  <c r="AM204" i="1"/>
  <c r="AF203" i="1"/>
  <c r="AR202" i="1"/>
  <c r="AB202" i="1"/>
  <c r="AN201" i="1"/>
  <c r="X201" i="1"/>
  <c r="AJ200" i="1"/>
  <c r="AV199" i="1"/>
  <c r="AF199" i="1"/>
  <c r="AR198" i="1"/>
  <c r="AB198" i="1"/>
  <c r="AN197" i="1"/>
  <c r="X197" i="1"/>
  <c r="AJ196" i="1"/>
  <c r="AV195" i="1"/>
  <c r="AF195" i="1"/>
  <c r="AR194" i="1"/>
  <c r="AB194" i="1"/>
  <c r="AN193" i="1"/>
  <c r="X193" i="1"/>
  <c r="AJ192" i="1"/>
  <c r="AV191" i="1"/>
  <c r="AF191" i="1"/>
  <c r="AR190" i="1"/>
  <c r="AB190" i="1"/>
  <c r="AN189" i="1"/>
  <c r="X189" i="1"/>
  <c r="AJ188" i="1"/>
  <c r="AV187" i="1"/>
  <c r="AF187" i="1"/>
  <c r="AR186" i="1"/>
  <c r="AB186" i="1"/>
  <c r="AN185" i="1"/>
  <c r="X185" i="1"/>
  <c r="AJ184" i="1"/>
  <c r="AV183" i="1"/>
  <c r="AF183" i="1"/>
  <c r="AR182" i="1"/>
  <c r="AB182" i="1"/>
  <c r="AN181" i="1"/>
  <c r="X181" i="1"/>
  <c r="AJ180" i="1"/>
  <c r="AV179" i="1"/>
  <c r="AF179" i="1"/>
  <c r="AR178" i="1"/>
  <c r="AB178" i="1"/>
  <c r="AN177" i="1"/>
  <c r="X177" i="1"/>
  <c r="AJ176" i="1"/>
  <c r="AV175" i="1"/>
  <c r="AF175" i="1"/>
  <c r="AR174" i="1"/>
  <c r="AB174" i="1"/>
  <c r="AN173" i="1"/>
  <c r="X173" i="1"/>
  <c r="AJ172" i="1"/>
  <c r="AV171" i="1"/>
  <c r="AF171" i="1"/>
  <c r="AR170" i="1"/>
  <c r="AB170" i="1"/>
  <c r="AN169" i="1"/>
  <c r="AE248" i="1"/>
  <c r="AU244" i="1"/>
  <c r="X241" i="1"/>
  <c r="AN237" i="1"/>
  <c r="W234" i="1"/>
  <c r="AM230" i="1"/>
  <c r="AO223" i="1"/>
  <c r="AU220" i="1"/>
  <c r="AB218" i="1"/>
  <c r="AC216" i="1"/>
  <c r="AM214" i="1"/>
  <c r="AG213" i="1"/>
  <c r="AJ212" i="1"/>
  <c r="AQ211" i="1"/>
  <c r="W211" i="1"/>
  <c r="AC210" i="1"/>
  <c r="AK209" i="1"/>
  <c r="AS208" i="1"/>
  <c r="Y208" i="1"/>
  <c r="AG207" i="1"/>
  <c r="AP206" i="1"/>
  <c r="V206" i="1"/>
  <c r="AE205" i="1"/>
  <c r="AL204" i="1"/>
  <c r="AV203" i="1"/>
  <c r="AE203" i="1"/>
  <c r="AQ202" i="1"/>
  <c r="AA202" i="1"/>
  <c r="AM201" i="1"/>
  <c r="W201" i="1"/>
  <c r="AI200" i="1"/>
  <c r="AU199" i="1"/>
  <c r="AE199" i="1"/>
  <c r="AQ198" i="1"/>
  <c r="AA198" i="1"/>
  <c r="AM197" i="1"/>
  <c r="W197" i="1"/>
  <c r="AI196" i="1"/>
  <c r="AU195" i="1"/>
  <c r="AE195" i="1"/>
  <c r="AQ194" i="1"/>
  <c r="AA194" i="1"/>
  <c r="AM193" i="1"/>
  <c r="W193" i="1"/>
  <c r="AI192" i="1"/>
  <c r="AU191" i="1"/>
  <c r="AE191" i="1"/>
  <c r="AQ190" i="1"/>
  <c r="AA190" i="1"/>
  <c r="AM189" i="1"/>
  <c r="W189" i="1"/>
  <c r="AI188" i="1"/>
  <c r="AU187" i="1"/>
  <c r="AE187" i="1"/>
  <c r="AQ186" i="1"/>
  <c r="AA186" i="1"/>
  <c r="AM185" i="1"/>
  <c r="W185" i="1"/>
  <c r="AI184" i="1"/>
  <c r="AU183" i="1"/>
  <c r="AE183" i="1"/>
  <c r="AQ182" i="1"/>
  <c r="AA182" i="1"/>
  <c r="AM181" i="1"/>
  <c r="W181" i="1"/>
  <c r="AI180" i="1"/>
  <c r="AU179" i="1"/>
  <c r="AE179" i="1"/>
  <c r="AQ178" i="1"/>
  <c r="AA178" i="1"/>
  <c r="AM177" i="1"/>
  <c r="W177" i="1"/>
  <c r="AI176" i="1"/>
  <c r="AU175" i="1"/>
  <c r="AE175" i="1"/>
  <c r="AQ174" i="1"/>
  <c r="AA174" i="1"/>
  <c r="AM173" i="1"/>
  <c r="W173" i="1"/>
  <c r="AI172" i="1"/>
  <c r="AU171" i="1"/>
  <c r="AE171" i="1"/>
  <c r="AQ170" i="1"/>
  <c r="AA170" i="1"/>
  <c r="AJ244" i="1"/>
  <c r="AI237" i="1"/>
  <c r="AB230" i="1"/>
  <c r="AR226" i="1"/>
  <c r="AF223" i="1"/>
  <c r="AS220" i="1"/>
  <c r="W218" i="1"/>
  <c r="V216" i="1"/>
  <c r="AL214" i="1"/>
  <c r="AA213" i="1"/>
  <c r="AI212" i="1"/>
  <c r="AP211" i="1"/>
  <c r="AB210" i="1"/>
  <c r="AI209" i="1"/>
  <c r="AR208" i="1"/>
  <c r="W208" i="1"/>
  <c r="AF207" i="1"/>
  <c r="AO206" i="1"/>
  <c r="AC205" i="1"/>
  <c r="AK204" i="1"/>
  <c r="AU203" i="1"/>
  <c r="AD203" i="1"/>
  <c r="AP202" i="1"/>
  <c r="Z202" i="1"/>
  <c r="AL201" i="1"/>
  <c r="V201" i="1"/>
  <c r="AH200" i="1"/>
  <c r="AT199" i="1"/>
  <c r="AD199" i="1"/>
  <c r="AP198" i="1"/>
  <c r="Z198" i="1"/>
  <c r="AL197" i="1"/>
  <c r="V197" i="1"/>
  <c r="AH196" i="1"/>
  <c r="AT195" i="1"/>
  <c r="AD195" i="1"/>
  <c r="AP194" i="1"/>
  <c r="Z194" i="1"/>
  <c r="AL193" i="1"/>
  <c r="V193" i="1"/>
  <c r="AH192" i="1"/>
  <c r="AT191" i="1"/>
  <c r="AD191" i="1"/>
  <c r="AP190" i="1"/>
  <c r="Z190" i="1"/>
  <c r="AL189" i="1"/>
  <c r="V189" i="1"/>
  <c r="AH188" i="1"/>
  <c r="AT187" i="1"/>
  <c r="AD187" i="1"/>
  <c r="AP186" i="1"/>
  <c r="Z186" i="1"/>
  <c r="AL185" i="1"/>
  <c r="V185" i="1"/>
  <c r="AH184" i="1"/>
  <c r="AT183" i="1"/>
  <c r="AD183" i="1"/>
  <c r="AP182" i="1"/>
  <c r="Z182" i="1"/>
  <c r="AL181" i="1"/>
  <c r="V181" i="1"/>
  <c r="AH180" i="1"/>
  <c r="AT179" i="1"/>
  <c r="AD179" i="1"/>
  <c r="AP178" i="1"/>
  <c r="Z178" i="1"/>
  <c r="AL177" i="1"/>
  <c r="V177" i="1"/>
  <c r="AH176" i="1"/>
  <c r="AT175" i="1"/>
  <c r="AD175" i="1"/>
  <c r="AP174" i="1"/>
  <c r="Z174" i="1"/>
  <c r="AL173" i="1"/>
  <c r="V173" i="1"/>
  <c r="AH172" i="1"/>
  <c r="AT171" i="1"/>
  <c r="AD171" i="1"/>
  <c r="AP170" i="1"/>
  <c r="Z170" i="1"/>
  <c r="AF251" i="1"/>
  <c r="AV247" i="1"/>
  <c r="AE244" i="1"/>
  <c r="AU240" i="1"/>
  <c r="X237" i="1"/>
  <c r="AN233" i="1"/>
  <c r="W230" i="1"/>
  <c r="AM226" i="1"/>
  <c r="AA223" i="1"/>
  <c r="AJ220" i="1"/>
  <c r="AK214" i="1"/>
  <c r="Z213" i="1"/>
  <c r="AH212" i="1"/>
  <c r="AO211" i="1"/>
  <c r="AU210" i="1"/>
  <c r="AA210" i="1"/>
  <c r="AH209" i="1"/>
  <c r="AQ208" i="1"/>
  <c r="V208" i="1"/>
  <c r="AE207" i="1"/>
  <c r="AM206" i="1"/>
  <c r="AV205" i="1"/>
  <c r="AA205" i="1"/>
  <c r="AJ204" i="1"/>
  <c r="AT203" i="1"/>
  <c r="AC203" i="1"/>
  <c r="AO202" i="1"/>
  <c r="Y202" i="1"/>
  <c r="AK201" i="1"/>
  <c r="AG200" i="1"/>
  <c r="AS199" i="1"/>
  <c r="AC199" i="1"/>
  <c r="AO198" i="1"/>
  <c r="Y198" i="1"/>
  <c r="AK197" i="1"/>
  <c r="AG196" i="1"/>
  <c r="AS195" i="1"/>
  <c r="AC195" i="1"/>
  <c r="AO194" i="1"/>
  <c r="Y194" i="1"/>
  <c r="AK193" i="1"/>
  <c r="AG192" i="1"/>
  <c r="AS191" i="1"/>
  <c r="AC191" i="1"/>
  <c r="AO190" i="1"/>
  <c r="Y190" i="1"/>
  <c r="AK189" i="1"/>
  <c r="AG188" i="1"/>
  <c r="AS187" i="1"/>
  <c r="AC187" i="1"/>
  <c r="AO186" i="1"/>
  <c r="Y186" i="1"/>
  <c r="AK185" i="1"/>
  <c r="AG184" i="1"/>
  <c r="AS183" i="1"/>
  <c r="AC183" i="1"/>
  <c r="AO182" i="1"/>
  <c r="Y182" i="1"/>
  <c r="AK181" i="1"/>
  <c r="AG180" i="1"/>
  <c r="AS179" i="1"/>
  <c r="AC179" i="1"/>
  <c r="AO178" i="1"/>
  <c r="Y178" i="1"/>
  <c r="AK177" i="1"/>
  <c r="AG176" i="1"/>
  <c r="AS175" i="1"/>
  <c r="AC175" i="1"/>
  <c r="AO174" i="1"/>
  <c r="Y174" i="1"/>
  <c r="AK173" i="1"/>
  <c r="AG172" i="1"/>
  <c r="AS171" i="1"/>
  <c r="AC171" i="1"/>
  <c r="AO170" i="1"/>
  <c r="Y170" i="1"/>
  <c r="AK169" i="1"/>
  <c r="AA251" i="1"/>
  <c r="AQ247" i="1"/>
  <c r="AJ240" i="1"/>
  <c r="AI233" i="1"/>
  <c r="AB226" i="1"/>
  <c r="Y223" i="1"/>
  <c r="AE220" i="1"/>
  <c r="AN217" i="1"/>
  <c r="AV215" i="1"/>
  <c r="AE214" i="1"/>
  <c r="Y213" i="1"/>
  <c r="AG212" i="1"/>
  <c r="AN211" i="1"/>
  <c r="AT210" i="1"/>
  <c r="Z210" i="1"/>
  <c r="AG209" i="1"/>
  <c r="AO208" i="1"/>
  <c r="AD207" i="1"/>
  <c r="AL206" i="1"/>
  <c r="AU205" i="1"/>
  <c r="Z205" i="1"/>
  <c r="AI204" i="1"/>
  <c r="AS203" i="1"/>
  <c r="AB203" i="1"/>
  <c r="AN202" i="1"/>
  <c r="X202" i="1"/>
  <c r="AJ201" i="1"/>
  <c r="AV200" i="1"/>
  <c r="AF200" i="1"/>
  <c r="AR199" i="1"/>
  <c r="AB199" i="1"/>
  <c r="AN198" i="1"/>
  <c r="X198" i="1"/>
  <c r="AJ197" i="1"/>
  <c r="AV196" i="1"/>
  <c r="AF196" i="1"/>
  <c r="AR195" i="1"/>
  <c r="AB195" i="1"/>
  <c r="AN194" i="1"/>
  <c r="X194" i="1"/>
  <c r="AJ193" i="1"/>
  <c r="AV192" i="1"/>
  <c r="AF192" i="1"/>
  <c r="AR191" i="1"/>
  <c r="AB191" i="1"/>
  <c r="AN190" i="1"/>
  <c r="X190" i="1"/>
  <c r="AJ189" i="1"/>
  <c r="AV188" i="1"/>
  <c r="AF188" i="1"/>
  <c r="AR187" i="1"/>
  <c r="AB187" i="1"/>
  <c r="AN186" i="1"/>
  <c r="X186" i="1"/>
  <c r="AJ185" i="1"/>
  <c r="AV184" i="1"/>
  <c r="AF184" i="1"/>
  <c r="AR183" i="1"/>
  <c r="AB183" i="1"/>
  <c r="AN182" i="1"/>
  <c r="X182" i="1"/>
  <c r="AJ181" i="1"/>
  <c r="AV180" i="1"/>
  <c r="AF180" i="1"/>
  <c r="AR179" i="1"/>
  <c r="AB179" i="1"/>
  <c r="AN178" i="1"/>
  <c r="X178" i="1"/>
  <c r="AJ177" i="1"/>
  <c r="AV176" i="1"/>
  <c r="AF176" i="1"/>
  <c r="AR175" i="1"/>
  <c r="AB175" i="1"/>
  <c r="AN174" i="1"/>
  <c r="X174" i="1"/>
  <c r="AJ173" i="1"/>
  <c r="AV172" i="1"/>
  <c r="AF172" i="1"/>
  <c r="AR171" i="1"/>
  <c r="AB171" i="1"/>
  <c r="AN170" i="1"/>
  <c r="X170" i="1"/>
  <c r="AJ169" i="1"/>
  <c r="AF247" i="1"/>
  <c r="AV243" i="1"/>
  <c r="AE240" i="1"/>
  <c r="AU236" i="1"/>
  <c r="X233" i="1"/>
  <c r="AN229" i="1"/>
  <c r="W226" i="1"/>
  <c r="AC220" i="1"/>
  <c r="AI217" i="1"/>
  <c r="AQ215" i="1"/>
  <c r="AD214" i="1"/>
  <c r="X213" i="1"/>
  <c r="AE212" i="1"/>
  <c r="AM211" i="1"/>
  <c r="AS210" i="1"/>
  <c r="Y210" i="1"/>
  <c r="AF209" i="1"/>
  <c r="AM208" i="1"/>
  <c r="AV207" i="1"/>
  <c r="AC207" i="1"/>
  <c r="AK206" i="1"/>
  <c r="AS205" i="1"/>
  <c r="Y205" i="1"/>
  <c r="AH204" i="1"/>
  <c r="AR203" i="1"/>
  <c r="AA203" i="1"/>
  <c r="AM202" i="1"/>
  <c r="W202" i="1"/>
  <c r="AI201" i="1"/>
  <c r="AU200" i="1"/>
  <c r="AE200" i="1"/>
  <c r="AQ199" i="1"/>
  <c r="AA199" i="1"/>
  <c r="AM198" i="1"/>
  <c r="W198" i="1"/>
  <c r="AI197" i="1"/>
  <c r="AU196" i="1"/>
  <c r="AE196" i="1"/>
  <c r="AQ195" i="1"/>
  <c r="AA195" i="1"/>
  <c r="AM194" i="1"/>
  <c r="W194" i="1"/>
  <c r="AI193" i="1"/>
  <c r="AU192" i="1"/>
  <c r="AE192" i="1"/>
  <c r="AQ191" i="1"/>
  <c r="AA191" i="1"/>
  <c r="AM190" i="1"/>
  <c r="W190" i="1"/>
  <c r="AI189" i="1"/>
  <c r="AU188" i="1"/>
  <c r="AE188" i="1"/>
  <c r="AQ187" i="1"/>
  <c r="AA187" i="1"/>
  <c r="AM186" i="1"/>
  <c r="W186" i="1"/>
  <c r="AI185" i="1"/>
  <c r="AU184" i="1"/>
  <c r="AE184" i="1"/>
  <c r="AQ183" i="1"/>
  <c r="AA183" i="1"/>
  <c r="AM182" i="1"/>
  <c r="W182" i="1"/>
  <c r="AI181" i="1"/>
  <c r="AU180" i="1"/>
  <c r="AE180" i="1"/>
  <c r="AQ179" i="1"/>
  <c r="AA179" i="1"/>
  <c r="AM178" i="1"/>
  <c r="W178" i="1"/>
  <c r="AI177" i="1"/>
  <c r="AU176" i="1"/>
  <c r="AE176" i="1"/>
  <c r="AQ175" i="1"/>
  <c r="AA175" i="1"/>
  <c r="AM174" i="1"/>
  <c r="W174" i="1"/>
  <c r="AI173" i="1"/>
  <c r="AU172" i="1"/>
  <c r="AE172" i="1"/>
  <c r="AQ171" i="1"/>
  <c r="AA171" i="1"/>
  <c r="AM170" i="1"/>
  <c r="W170" i="1"/>
  <c r="AI169" i="1"/>
  <c r="AR250" i="1"/>
  <c r="AA247" i="1"/>
  <c r="AQ243" i="1"/>
  <c r="AJ236" i="1"/>
  <c r="AI229" i="1"/>
  <c r="AR222" i="1"/>
  <c r="AH217" i="1"/>
  <c r="AP215" i="1"/>
  <c r="AB214" i="1"/>
  <c r="W213" i="1"/>
  <c r="AD212" i="1"/>
  <c r="AI211" i="1"/>
  <c r="AR210" i="1"/>
  <c r="W210" i="1"/>
  <c r="AE209" i="1"/>
  <c r="AL208" i="1"/>
  <c r="AU207" i="1"/>
  <c r="AA207" i="1"/>
  <c r="AJ206" i="1"/>
  <c r="AQ205" i="1"/>
  <c r="X205" i="1"/>
  <c r="AG204" i="1"/>
  <c r="AQ203" i="1"/>
  <c r="Z203" i="1"/>
  <c r="AL202" i="1"/>
  <c r="V202" i="1"/>
  <c r="AH201" i="1"/>
  <c r="AT200" i="1"/>
  <c r="AD200" i="1"/>
  <c r="AP199" i="1"/>
  <c r="Z199" i="1"/>
  <c r="AL198" i="1"/>
  <c r="V198" i="1"/>
  <c r="AH197" i="1"/>
  <c r="AT196" i="1"/>
  <c r="AD196" i="1"/>
  <c r="AP195" i="1"/>
  <c r="Z195" i="1"/>
  <c r="AL194" i="1"/>
  <c r="V194" i="1"/>
  <c r="AH193" i="1"/>
  <c r="AT192" i="1"/>
  <c r="AD192" i="1"/>
  <c r="AP191" i="1"/>
  <c r="Z191" i="1"/>
  <c r="AL190" i="1"/>
  <c r="V190" i="1"/>
  <c r="AH189" i="1"/>
  <c r="AT188" i="1"/>
  <c r="AD188" i="1"/>
  <c r="AP187" i="1"/>
  <c r="Z187" i="1"/>
  <c r="AL186" i="1"/>
  <c r="V186" i="1"/>
  <c r="AH185" i="1"/>
  <c r="AT184" i="1"/>
  <c r="AD184" i="1"/>
  <c r="AP183" i="1"/>
  <c r="Z183" i="1"/>
  <c r="AL182" i="1"/>
  <c r="V182" i="1"/>
  <c r="AH181" i="1"/>
  <c r="AT180" i="1"/>
  <c r="AD180" i="1"/>
  <c r="AP179" i="1"/>
  <c r="Z179" i="1"/>
  <c r="AL178" i="1"/>
  <c r="V178" i="1"/>
  <c r="AH177" i="1"/>
  <c r="AT176" i="1"/>
  <c r="AD176" i="1"/>
  <c r="AP175" i="1"/>
  <c r="Z175" i="1"/>
  <c r="AL174" i="1"/>
  <c r="V174" i="1"/>
  <c r="AH173" i="1"/>
  <c r="AT172" i="1"/>
  <c r="AD172" i="1"/>
  <c r="AP171" i="1"/>
  <c r="Z171" i="1"/>
  <c r="AL170" i="1"/>
  <c r="AM250" i="1"/>
  <c r="AF243" i="1"/>
  <c r="AV239" i="1"/>
  <c r="AE236" i="1"/>
  <c r="AU232" i="1"/>
  <c r="X229" i="1"/>
  <c r="AN225" i="1"/>
  <c r="AM222" i="1"/>
  <c r="AV219" i="1"/>
  <c r="AG217" i="1"/>
  <c r="AO215" i="1"/>
  <c r="AA214" i="1"/>
  <c r="V213" i="1"/>
  <c r="AC212" i="1"/>
  <c r="AH211" i="1"/>
  <c r="AQ210" i="1"/>
  <c r="V210" i="1"/>
  <c r="AC209" i="1"/>
  <c r="AK208" i="1"/>
  <c r="AT207" i="1"/>
  <c r="Z207" i="1"/>
  <c r="AI206" i="1"/>
  <c r="AP205" i="1"/>
  <c r="W205" i="1"/>
  <c r="AF204" i="1"/>
  <c r="AP203" i="1"/>
  <c r="Y203" i="1"/>
  <c r="AK202" i="1"/>
  <c r="AG201" i="1"/>
  <c r="AS200" i="1"/>
  <c r="AC200" i="1"/>
  <c r="AO199" i="1"/>
  <c r="Y199" i="1"/>
  <c r="AK198" i="1"/>
  <c r="AG197" i="1"/>
  <c r="AS196" i="1"/>
  <c r="AC196" i="1"/>
  <c r="AO195" i="1"/>
  <c r="Y195" i="1"/>
  <c r="AK194" i="1"/>
  <c r="AB250" i="1"/>
  <c r="AR246" i="1"/>
  <c r="AA243" i="1"/>
  <c r="AQ239" i="1"/>
  <c r="AJ232" i="1"/>
  <c r="AI225" i="1"/>
  <c r="AK222" i="1"/>
  <c r="AQ219" i="1"/>
  <c r="X217" i="1"/>
  <c r="AH215" i="1"/>
  <c r="W214" i="1"/>
  <c r="AB212" i="1"/>
  <c r="AG211" i="1"/>
  <c r="AP210" i="1"/>
  <c r="AA209" i="1"/>
  <c r="AJ208" i="1"/>
  <c r="AS207" i="1"/>
  <c r="Y207" i="1"/>
  <c r="AG206" i="1"/>
  <c r="AO205" i="1"/>
  <c r="V205" i="1"/>
  <c r="AE204" i="1"/>
  <c r="AO203" i="1"/>
  <c r="X203" i="1"/>
  <c r="AJ202" i="1"/>
  <c r="AV201" i="1"/>
  <c r="AF201" i="1"/>
  <c r="AR200" i="1"/>
  <c r="AB200" i="1"/>
  <c r="AN199" i="1"/>
  <c r="X199" i="1"/>
  <c r="AJ198" i="1"/>
  <c r="AV197" i="1"/>
  <c r="AF197" i="1"/>
  <c r="AR196" i="1"/>
  <c r="AB196" i="1"/>
  <c r="AN195" i="1"/>
  <c r="X195" i="1"/>
  <c r="AJ194" i="1"/>
  <c r="AV193" i="1"/>
  <c r="AF193" i="1"/>
  <c r="AR192" i="1"/>
  <c r="AB192" i="1"/>
  <c r="AN191" i="1"/>
  <c r="X191" i="1"/>
  <c r="AJ190" i="1"/>
  <c r="AV189" i="1"/>
  <c r="AF189" i="1"/>
  <c r="AR188" i="1"/>
  <c r="AB188" i="1"/>
  <c r="AN187" i="1"/>
  <c r="X187" i="1"/>
  <c r="AJ186" i="1"/>
  <c r="AV185" i="1"/>
  <c r="AF185" i="1"/>
  <c r="AR184" i="1"/>
  <c r="AB184" i="1"/>
  <c r="AN183" i="1"/>
  <c r="X183" i="1"/>
  <c r="AJ182" i="1"/>
  <c r="AV181" i="1"/>
  <c r="AF181" i="1"/>
  <c r="AR180" i="1"/>
  <c r="AB180" i="1"/>
  <c r="AN179" i="1"/>
  <c r="X179" i="1"/>
  <c r="AJ178" i="1"/>
  <c r="AV177" i="1"/>
  <c r="AF177" i="1"/>
  <c r="AR176" i="1"/>
  <c r="AB176" i="1"/>
  <c r="AN175" i="1"/>
  <c r="X175" i="1"/>
  <c r="AJ174" i="1"/>
  <c r="AV173" i="1"/>
  <c r="AF173" i="1"/>
  <c r="AR172" i="1"/>
  <c r="AB172" i="1"/>
  <c r="AN171" i="1"/>
  <c r="X171" i="1"/>
  <c r="AJ170" i="1"/>
  <c r="AV169" i="1"/>
  <c r="W250" i="1"/>
  <c r="AM246" i="1"/>
  <c r="AF239" i="1"/>
  <c r="AV235" i="1"/>
  <c r="AE232" i="1"/>
  <c r="AU228" i="1"/>
  <c r="X225" i="1"/>
  <c r="AB222" i="1"/>
  <c r="AO219" i="1"/>
  <c r="AF215" i="1"/>
  <c r="V214" i="1"/>
  <c r="AU212" i="1"/>
  <c r="AA212" i="1"/>
  <c r="AF211" i="1"/>
  <c r="AO210" i="1"/>
  <c r="AV209" i="1"/>
  <c r="Z209" i="1"/>
  <c r="AI208" i="1"/>
  <c r="AQ207" i="1"/>
  <c r="X207" i="1"/>
  <c r="AE206" i="1"/>
  <c r="AN205" i="1"/>
  <c r="AD204" i="1"/>
  <c r="AN203" i="1"/>
  <c r="W203" i="1"/>
  <c r="AI202" i="1"/>
  <c r="AU201" i="1"/>
  <c r="AE201" i="1"/>
  <c r="AQ200" i="1"/>
  <c r="AA200" i="1"/>
  <c r="AM199" i="1"/>
  <c r="W199" i="1"/>
  <c r="AI198" i="1"/>
  <c r="AU197" i="1"/>
  <c r="AE197" i="1"/>
  <c r="AQ196" i="1"/>
  <c r="AA196" i="1"/>
  <c r="AM195" i="1"/>
  <c r="W195" i="1"/>
  <c r="AI194" i="1"/>
  <c r="AU193" i="1"/>
  <c r="AE193" i="1"/>
  <c r="AQ192" i="1"/>
  <c r="AA192" i="1"/>
  <c r="AM191" i="1"/>
  <c r="W191" i="1"/>
  <c r="AI190" i="1"/>
  <c r="AU189" i="1"/>
  <c r="AE189" i="1"/>
  <c r="AQ188" i="1"/>
  <c r="AA188" i="1"/>
  <c r="AM187" i="1"/>
  <c r="W187" i="1"/>
  <c r="AI186" i="1"/>
  <c r="AU185" i="1"/>
  <c r="AE185" i="1"/>
  <c r="AQ184" i="1"/>
  <c r="AA184" i="1"/>
  <c r="AM183" i="1"/>
  <c r="W183" i="1"/>
  <c r="AI182" i="1"/>
  <c r="AU181" i="1"/>
  <c r="AE181" i="1"/>
  <c r="AQ180" i="1"/>
  <c r="AA180" i="1"/>
  <c r="AM179" i="1"/>
  <c r="W179" i="1"/>
  <c r="AI178" i="1"/>
  <c r="AU177" i="1"/>
  <c r="AE177" i="1"/>
  <c r="AQ176" i="1"/>
  <c r="AA176" i="1"/>
  <c r="AM175" i="1"/>
  <c r="W175" i="1"/>
  <c r="AI174" i="1"/>
  <c r="AU173" i="1"/>
  <c r="AE173" i="1"/>
  <c r="AQ172" i="1"/>
  <c r="AA172" i="1"/>
  <c r="AM171" i="1"/>
  <c r="W171" i="1"/>
  <c r="AI170" i="1"/>
  <c r="AU169" i="1"/>
  <c r="AB246" i="1"/>
  <c r="AR242" i="1"/>
  <c r="AA239" i="1"/>
  <c r="AQ235" i="1"/>
  <c r="AJ228" i="1"/>
  <c r="W222" i="1"/>
  <c r="AF219" i="1"/>
  <c r="AU216" i="1"/>
  <c r="AA215" i="1"/>
  <c r="AT212" i="1"/>
  <c r="W212" i="1"/>
  <c r="AE211" i="1"/>
  <c r="AM210" i="1"/>
  <c r="AU209" i="1"/>
  <c r="Y209" i="1"/>
  <c r="AH208" i="1"/>
  <c r="AP207" i="1"/>
  <c r="W207" i="1"/>
  <c r="AD206" i="1"/>
  <c r="AM205" i="1"/>
  <c r="AU204" i="1"/>
  <c r="AC204" i="1"/>
  <c r="AM203" i="1"/>
  <c r="V203" i="1"/>
  <c r="AH202" i="1"/>
  <c r="AT201" i="1"/>
  <c r="AD201" i="1"/>
  <c r="AP200" i="1"/>
  <c r="Z200" i="1"/>
  <c r="AL199" i="1"/>
  <c r="V199" i="1"/>
  <c r="AH198" i="1"/>
  <c r="AT197" i="1"/>
  <c r="AD197" i="1"/>
  <c r="AP196" i="1"/>
  <c r="Z196" i="1"/>
  <c r="AL195" i="1"/>
  <c r="V195" i="1"/>
  <c r="AH194" i="1"/>
  <c r="AT193" i="1"/>
  <c r="AD193" i="1"/>
  <c r="AP192" i="1"/>
  <c r="Z192" i="1"/>
  <c r="AL191" i="1"/>
  <c r="V191" i="1"/>
  <c r="AH190" i="1"/>
  <c r="AT189" i="1"/>
  <c r="AD189" i="1"/>
  <c r="AP188" i="1"/>
  <c r="Z188" i="1"/>
  <c r="AL187" i="1"/>
  <c r="V187" i="1"/>
  <c r="AH186" i="1"/>
  <c r="AT185" i="1"/>
  <c r="AD185" i="1"/>
  <c r="AP184" i="1"/>
  <c r="Z184" i="1"/>
  <c r="AL183" i="1"/>
  <c r="V183" i="1"/>
  <c r="AH182" i="1"/>
  <c r="AT181" i="1"/>
  <c r="AD181" i="1"/>
  <c r="AP180" i="1"/>
  <c r="Z180" i="1"/>
  <c r="AL179" i="1"/>
  <c r="V179" i="1"/>
  <c r="AH178" i="1"/>
  <c r="AT177" i="1"/>
  <c r="AD177" i="1"/>
  <c r="AP176" i="1"/>
  <c r="Z176" i="1"/>
  <c r="AL175" i="1"/>
  <c r="V175" i="1"/>
  <c r="AH174" i="1"/>
  <c r="AT173" i="1"/>
  <c r="AD173" i="1"/>
  <c r="AP172" i="1"/>
  <c r="Z172" i="1"/>
  <c r="AL171" i="1"/>
  <c r="V171" i="1"/>
  <c r="AH170" i="1"/>
  <c r="X245" i="1"/>
  <c r="AM234" i="1"/>
  <c r="AV223" i="1"/>
  <c r="AR214" i="1"/>
  <c r="AQ209" i="1"/>
  <c r="AG205" i="1"/>
  <c r="AC201" i="1"/>
  <c r="AC197" i="1"/>
  <c r="AG193" i="1"/>
  <c r="AK190" i="1"/>
  <c r="AO187" i="1"/>
  <c r="AS184" i="1"/>
  <c r="AS181" i="1"/>
  <c r="Y176" i="1"/>
  <c r="AP173" i="1"/>
  <c r="AK171" i="1"/>
  <c r="AR169" i="1"/>
  <c r="W169" i="1"/>
  <c r="AI168" i="1"/>
  <c r="AU167" i="1"/>
  <c r="AE167" i="1"/>
  <c r="AQ166" i="1"/>
  <c r="AA166" i="1"/>
  <c r="AM165" i="1"/>
  <c r="W165" i="1"/>
  <c r="AI164" i="1"/>
  <c r="AU163" i="1"/>
  <c r="AE163" i="1"/>
  <c r="AQ162" i="1"/>
  <c r="AA162" i="1"/>
  <c r="AM161" i="1"/>
  <c r="W161" i="1"/>
  <c r="AI160" i="1"/>
  <c r="AU159" i="1"/>
  <c r="AE159" i="1"/>
  <c r="AQ158" i="1"/>
  <c r="AA158" i="1"/>
  <c r="AM157" i="1"/>
  <c r="W157" i="1"/>
  <c r="AI156" i="1"/>
  <c r="AU155" i="1"/>
  <c r="AE155" i="1"/>
  <c r="AQ154" i="1"/>
  <c r="AA154" i="1"/>
  <c r="AM153" i="1"/>
  <c r="W153" i="1"/>
  <c r="AI152" i="1"/>
  <c r="AU151" i="1"/>
  <c r="AE151" i="1"/>
  <c r="AQ150" i="1"/>
  <c r="AA150" i="1"/>
  <c r="AM149" i="1"/>
  <c r="W149" i="1"/>
  <c r="AI148" i="1"/>
  <c r="AU147" i="1"/>
  <c r="AE147" i="1"/>
  <c r="AQ146" i="1"/>
  <c r="AA146" i="1"/>
  <c r="AM145" i="1"/>
  <c r="W145" i="1"/>
  <c r="AI144" i="1"/>
  <c r="AU143" i="1"/>
  <c r="AE143" i="1"/>
  <c r="AQ142" i="1"/>
  <c r="AA142" i="1"/>
  <c r="AM141" i="1"/>
  <c r="W141" i="1"/>
  <c r="AI140" i="1"/>
  <c r="AU139" i="1"/>
  <c r="AE139" i="1"/>
  <c r="AQ138" i="1"/>
  <c r="AA138" i="1"/>
  <c r="AM137" i="1"/>
  <c r="W137" i="1"/>
  <c r="AI136" i="1"/>
  <c r="AU135" i="1"/>
  <c r="AE135" i="1"/>
  <c r="AQ134" i="1"/>
  <c r="AA134" i="1"/>
  <c r="AM133" i="1"/>
  <c r="W133" i="1"/>
  <c r="AI132" i="1"/>
  <c r="AU131" i="1"/>
  <c r="AE131" i="1"/>
  <c r="AQ130" i="1"/>
  <c r="AM209" i="1"/>
  <c r="Y201" i="1"/>
  <c r="Y197" i="1"/>
  <c r="AC193" i="1"/>
  <c r="AG190" i="1"/>
  <c r="AK187" i="1"/>
  <c r="AO184" i="1"/>
  <c r="AO181" i="1"/>
  <c r="AS178" i="1"/>
  <c r="AO173" i="1"/>
  <c r="AH171" i="1"/>
  <c r="AP169" i="1"/>
  <c r="V169" i="1"/>
  <c r="AH168" i="1"/>
  <c r="AT167" i="1"/>
  <c r="AD167" i="1"/>
  <c r="AP166" i="1"/>
  <c r="Z166" i="1"/>
  <c r="AL165" i="1"/>
  <c r="V165" i="1"/>
  <c r="AH164" i="1"/>
  <c r="AT163" i="1"/>
  <c r="AD163" i="1"/>
  <c r="AP162" i="1"/>
  <c r="Z162" i="1"/>
  <c r="AL161" i="1"/>
  <c r="V161" i="1"/>
  <c r="AH160" i="1"/>
  <c r="AT159" i="1"/>
  <c r="AD159" i="1"/>
  <c r="AP158" i="1"/>
  <c r="Z158" i="1"/>
  <c r="AL157" i="1"/>
  <c r="V157" i="1"/>
  <c r="AH156" i="1"/>
  <c r="AT155" i="1"/>
  <c r="AD155" i="1"/>
  <c r="AP154" i="1"/>
  <c r="Z154" i="1"/>
  <c r="AL153" i="1"/>
  <c r="V153" i="1"/>
  <c r="AH152" i="1"/>
  <c r="AT151" i="1"/>
  <c r="AD151" i="1"/>
  <c r="AP150" i="1"/>
  <c r="Z150" i="1"/>
  <c r="AL149" i="1"/>
  <c r="V149" i="1"/>
  <c r="AH148" i="1"/>
  <c r="AT147" i="1"/>
  <c r="AD147" i="1"/>
  <c r="AP146" i="1"/>
  <c r="Z146" i="1"/>
  <c r="AL145" i="1"/>
  <c r="V145" i="1"/>
  <c r="AH144" i="1"/>
  <c r="AT143" i="1"/>
  <c r="AD143" i="1"/>
  <c r="AP142" i="1"/>
  <c r="Z142" i="1"/>
  <c r="AL141" i="1"/>
  <c r="V141" i="1"/>
  <c r="AH140" i="1"/>
  <c r="AT139" i="1"/>
  <c r="AD139" i="1"/>
  <c r="AP138" i="1"/>
  <c r="Z138" i="1"/>
  <c r="AL137" i="1"/>
  <c r="V137" i="1"/>
  <c r="AH136" i="1"/>
  <c r="AT135" i="1"/>
  <c r="AD135" i="1"/>
  <c r="AP134" i="1"/>
  <c r="Z134" i="1"/>
  <c r="AL133" i="1"/>
  <c r="V133" i="1"/>
  <c r="AH132" i="1"/>
  <c r="AT131" i="1"/>
  <c r="AD131" i="1"/>
  <c r="AQ213" i="1"/>
  <c r="X209" i="1"/>
  <c r="AT204" i="1"/>
  <c r="Y193" i="1"/>
  <c r="AC190" i="1"/>
  <c r="AG187" i="1"/>
  <c r="AK184" i="1"/>
  <c r="AG181" i="1"/>
  <c r="AK178" i="1"/>
  <c r="AO175" i="1"/>
  <c r="AG173" i="1"/>
  <c r="AG171" i="1"/>
  <c r="AO169" i="1"/>
  <c r="AG168" i="1"/>
  <c r="AS167" i="1"/>
  <c r="AC167" i="1"/>
  <c r="AO166" i="1"/>
  <c r="Y166" i="1"/>
  <c r="AK165" i="1"/>
  <c r="AG164" i="1"/>
  <c r="AS163" i="1"/>
  <c r="AC163" i="1"/>
  <c r="AO162" i="1"/>
  <c r="Y162" i="1"/>
  <c r="AK161" i="1"/>
  <c r="AG160" i="1"/>
  <c r="AS159" i="1"/>
  <c r="AC159" i="1"/>
  <c r="AO158" i="1"/>
  <c r="Y158" i="1"/>
  <c r="AK157" i="1"/>
  <c r="AG156" i="1"/>
  <c r="AS155" i="1"/>
  <c r="AC155" i="1"/>
  <c r="AO154" i="1"/>
  <c r="Y154" i="1"/>
  <c r="AK153" i="1"/>
  <c r="AG152" i="1"/>
  <c r="AS151" i="1"/>
  <c r="AC151" i="1"/>
  <c r="AO150" i="1"/>
  <c r="Y150" i="1"/>
  <c r="AK149" i="1"/>
  <c r="AG148" i="1"/>
  <c r="AS147" i="1"/>
  <c r="AC147" i="1"/>
  <c r="AO146" i="1"/>
  <c r="Y146" i="1"/>
  <c r="AK145" i="1"/>
  <c r="AG144" i="1"/>
  <c r="AS143" i="1"/>
  <c r="AC143" i="1"/>
  <c r="AO142" i="1"/>
  <c r="Y142" i="1"/>
  <c r="AK141" i="1"/>
  <c r="AG140" i="1"/>
  <c r="AS139" i="1"/>
  <c r="AC139" i="1"/>
  <c r="AO138" i="1"/>
  <c r="Y138" i="1"/>
  <c r="AK137" i="1"/>
  <c r="AG136" i="1"/>
  <c r="AS135" i="1"/>
  <c r="AC135" i="1"/>
  <c r="AO134" i="1"/>
  <c r="Y134" i="1"/>
  <c r="AK133" i="1"/>
  <c r="AG132" i="1"/>
  <c r="AS131" i="1"/>
  <c r="AC131" i="1"/>
  <c r="AO130" i="1"/>
  <c r="Y130" i="1"/>
  <c r="AK129" i="1"/>
  <c r="AG128" i="1"/>
  <c r="AS127" i="1"/>
  <c r="AC127" i="1"/>
  <c r="AO126" i="1"/>
  <c r="Y126" i="1"/>
  <c r="AK125" i="1"/>
  <c r="AG124" i="1"/>
  <c r="AS123" i="1"/>
  <c r="AC123" i="1"/>
  <c r="AO122" i="1"/>
  <c r="Y122" i="1"/>
  <c r="X221" i="1"/>
  <c r="AI213" i="1"/>
  <c r="AO204" i="1"/>
  <c r="AO200" i="1"/>
  <c r="AO196" i="1"/>
  <c r="Y187" i="1"/>
  <c r="AC184" i="1"/>
  <c r="AC181" i="1"/>
  <c r="AG178" i="1"/>
  <c r="AK175" i="1"/>
  <c r="AC173" i="1"/>
  <c r="Y171" i="1"/>
  <c r="AM169" i="1"/>
  <c r="AV168" i="1"/>
  <c r="AF168" i="1"/>
  <c r="AR167" i="1"/>
  <c r="AB167" i="1"/>
  <c r="AN166" i="1"/>
  <c r="X166" i="1"/>
  <c r="AJ165" i="1"/>
  <c r="AV164" i="1"/>
  <c r="AF164" i="1"/>
  <c r="AR163" i="1"/>
  <c r="AB163" i="1"/>
  <c r="AN162" i="1"/>
  <c r="X162" i="1"/>
  <c r="AJ161" i="1"/>
  <c r="AV160" i="1"/>
  <c r="AF160" i="1"/>
  <c r="AR159" i="1"/>
  <c r="AB159" i="1"/>
  <c r="AN158" i="1"/>
  <c r="X158" i="1"/>
  <c r="AJ157" i="1"/>
  <c r="AV156" i="1"/>
  <c r="AF156" i="1"/>
  <c r="AR155" i="1"/>
  <c r="AB155" i="1"/>
  <c r="AN154" i="1"/>
  <c r="X154" i="1"/>
  <c r="AJ153" i="1"/>
  <c r="AV152" i="1"/>
  <c r="AF152" i="1"/>
  <c r="AR151" i="1"/>
  <c r="AB151" i="1"/>
  <c r="AN150" i="1"/>
  <c r="X150" i="1"/>
  <c r="AJ149" i="1"/>
  <c r="AV148" i="1"/>
  <c r="AF148" i="1"/>
  <c r="AR147" i="1"/>
  <c r="AB147" i="1"/>
  <c r="AN146" i="1"/>
  <c r="X146" i="1"/>
  <c r="AJ145" i="1"/>
  <c r="AV144" i="1"/>
  <c r="AF144" i="1"/>
  <c r="AR143" i="1"/>
  <c r="AB143" i="1"/>
  <c r="AN142" i="1"/>
  <c r="X142" i="1"/>
  <c r="AJ141" i="1"/>
  <c r="AV140" i="1"/>
  <c r="AF140" i="1"/>
  <c r="AR139" i="1"/>
  <c r="AB139" i="1"/>
  <c r="AN138" i="1"/>
  <c r="X138" i="1"/>
  <c r="AJ137" i="1"/>
  <c r="AV136" i="1"/>
  <c r="AF136" i="1"/>
  <c r="AR135" i="1"/>
  <c r="AB135" i="1"/>
  <c r="AN134" i="1"/>
  <c r="X134" i="1"/>
  <c r="AJ133" i="1"/>
  <c r="AV132" i="1"/>
  <c r="AF132" i="1"/>
  <c r="AR131" i="1"/>
  <c r="AB131" i="1"/>
  <c r="AN130" i="1"/>
  <c r="X130" i="1"/>
  <c r="AJ129" i="1"/>
  <c r="AM242" i="1"/>
  <c r="AV231" i="1"/>
  <c r="AU208" i="1"/>
  <c r="AB204" i="1"/>
  <c r="AK200" i="1"/>
  <c r="AK196" i="1"/>
  <c r="AS192" i="1"/>
  <c r="AS189" i="1"/>
  <c r="Y184" i="1"/>
  <c r="Y181" i="1"/>
  <c r="AC178" i="1"/>
  <c r="AH175" i="1"/>
  <c r="Z173" i="1"/>
  <c r="AL169" i="1"/>
  <c r="AU168" i="1"/>
  <c r="AE168" i="1"/>
  <c r="AQ167" i="1"/>
  <c r="AA167" i="1"/>
  <c r="AM166" i="1"/>
  <c r="W166" i="1"/>
  <c r="AI165" i="1"/>
  <c r="AU164" i="1"/>
  <c r="AE164" i="1"/>
  <c r="AQ163" i="1"/>
  <c r="AA163" i="1"/>
  <c r="AM162" i="1"/>
  <c r="W162" i="1"/>
  <c r="AI161" i="1"/>
  <c r="AU160" i="1"/>
  <c r="AE160" i="1"/>
  <c r="AQ159" i="1"/>
  <c r="AA159" i="1"/>
  <c r="AM158" i="1"/>
  <c r="W158" i="1"/>
  <c r="AI157" i="1"/>
  <c r="AU156" i="1"/>
  <c r="AE156" i="1"/>
  <c r="AQ155" i="1"/>
  <c r="AA155" i="1"/>
  <c r="AM154" i="1"/>
  <c r="W154" i="1"/>
  <c r="AI153" i="1"/>
  <c r="AU152" i="1"/>
  <c r="AE152" i="1"/>
  <c r="AQ151" i="1"/>
  <c r="AA151" i="1"/>
  <c r="AM150" i="1"/>
  <c r="W150" i="1"/>
  <c r="AI149" i="1"/>
  <c r="AU148" i="1"/>
  <c r="AE148" i="1"/>
  <c r="AQ147" i="1"/>
  <c r="AA147" i="1"/>
  <c r="AM146" i="1"/>
  <c r="W146" i="1"/>
  <c r="AI145" i="1"/>
  <c r="AU144" i="1"/>
  <c r="AE144" i="1"/>
  <c r="AQ143" i="1"/>
  <c r="AA143" i="1"/>
  <c r="AM142" i="1"/>
  <c r="W142" i="1"/>
  <c r="AI141" i="1"/>
  <c r="AU140" i="1"/>
  <c r="AE140" i="1"/>
  <c r="AQ139" i="1"/>
  <c r="AA139" i="1"/>
  <c r="AM138" i="1"/>
  <c r="W138" i="1"/>
  <c r="AI137" i="1"/>
  <c r="AU136" i="1"/>
  <c r="AE136" i="1"/>
  <c r="AQ135" i="1"/>
  <c r="AA135" i="1"/>
  <c r="AM134" i="1"/>
  <c r="W134" i="1"/>
  <c r="AI133" i="1"/>
  <c r="AU132" i="1"/>
  <c r="AE132" i="1"/>
  <c r="AQ131" i="1"/>
  <c r="AA131" i="1"/>
  <c r="AM130" i="1"/>
  <c r="AS212" i="1"/>
  <c r="AG208" i="1"/>
  <c r="V204" i="1"/>
  <c r="Y200" i="1"/>
  <c r="Y196" i="1"/>
  <c r="AO192" i="1"/>
  <c r="AO189" i="1"/>
  <c r="AS186" i="1"/>
  <c r="AG175" i="1"/>
  <c r="Y173" i="1"/>
  <c r="AT170" i="1"/>
  <c r="AH169" i="1"/>
  <c r="AT168" i="1"/>
  <c r="AD168" i="1"/>
  <c r="AP167" i="1"/>
  <c r="Z167" i="1"/>
  <c r="AL166" i="1"/>
  <c r="V166" i="1"/>
  <c r="AH165" i="1"/>
  <c r="AT164" i="1"/>
  <c r="AD164" i="1"/>
  <c r="AP163" i="1"/>
  <c r="Z163" i="1"/>
  <c r="AL162" i="1"/>
  <c r="V162" i="1"/>
  <c r="AH161" i="1"/>
  <c r="AT160" i="1"/>
  <c r="AD160" i="1"/>
  <c r="AP159" i="1"/>
  <c r="Z159" i="1"/>
  <c r="AL158" i="1"/>
  <c r="V158" i="1"/>
  <c r="AH157" i="1"/>
  <c r="AT156" i="1"/>
  <c r="AD156" i="1"/>
  <c r="AP155" i="1"/>
  <c r="Z155" i="1"/>
  <c r="AL154" i="1"/>
  <c r="V154" i="1"/>
  <c r="AH153" i="1"/>
  <c r="AT152" i="1"/>
  <c r="AD152" i="1"/>
  <c r="AP151" i="1"/>
  <c r="Z151" i="1"/>
  <c r="AL150" i="1"/>
  <c r="V150" i="1"/>
  <c r="AH149" i="1"/>
  <c r="AT148" i="1"/>
  <c r="AD148" i="1"/>
  <c r="AP147" i="1"/>
  <c r="Z147" i="1"/>
  <c r="AL146" i="1"/>
  <c r="V146" i="1"/>
  <c r="AH145" i="1"/>
  <c r="AT144" i="1"/>
  <c r="AD144" i="1"/>
  <c r="AP143" i="1"/>
  <c r="Z143" i="1"/>
  <c r="AL142" i="1"/>
  <c r="V142" i="1"/>
  <c r="AH141" i="1"/>
  <c r="AT140" i="1"/>
  <c r="AD140" i="1"/>
  <c r="AP139" i="1"/>
  <c r="Z139" i="1"/>
  <c r="AL138" i="1"/>
  <c r="V138" i="1"/>
  <c r="AH137" i="1"/>
  <c r="AT136" i="1"/>
  <c r="AD136" i="1"/>
  <c r="AP135" i="1"/>
  <c r="Z135" i="1"/>
  <c r="AL134" i="1"/>
  <c r="V134" i="1"/>
  <c r="AH133" i="1"/>
  <c r="AT132" i="1"/>
  <c r="AD132" i="1"/>
  <c r="AP131" i="1"/>
  <c r="Z131" i="1"/>
  <c r="AL130" i="1"/>
  <c r="V130" i="1"/>
  <c r="AH129" i="1"/>
  <c r="AT128" i="1"/>
  <c r="AD128" i="1"/>
  <c r="AN241" i="1"/>
  <c r="AA219" i="1"/>
  <c r="AL212" i="1"/>
  <c r="AB208" i="1"/>
  <c r="AK192" i="1"/>
  <c r="AG189" i="1"/>
  <c r="AK186" i="1"/>
  <c r="AO183" i="1"/>
  <c r="AS180" i="1"/>
  <c r="AS177" i="1"/>
  <c r="Y175" i="1"/>
  <c r="AS170" i="1"/>
  <c r="AG169" i="1"/>
  <c r="AS168" i="1"/>
  <c r="AC168" i="1"/>
  <c r="AO167" i="1"/>
  <c r="Y167" i="1"/>
  <c r="AK166" i="1"/>
  <c r="AG165" i="1"/>
  <c r="AS164" i="1"/>
  <c r="AC164" i="1"/>
  <c r="AO163" i="1"/>
  <c r="Y163" i="1"/>
  <c r="AK162" i="1"/>
  <c r="AG161" i="1"/>
  <c r="AS160" i="1"/>
  <c r="AC160" i="1"/>
  <c r="AO159" i="1"/>
  <c r="Y159" i="1"/>
  <c r="AK158" i="1"/>
  <c r="AG157" i="1"/>
  <c r="AS156" i="1"/>
  <c r="AC156" i="1"/>
  <c r="AO155" i="1"/>
  <c r="Y155" i="1"/>
  <c r="AK154" i="1"/>
  <c r="AG153" i="1"/>
  <c r="AS152" i="1"/>
  <c r="AC152" i="1"/>
  <c r="AO151" i="1"/>
  <c r="Y151" i="1"/>
  <c r="AK150" i="1"/>
  <c r="AG149" i="1"/>
  <c r="AS148" i="1"/>
  <c r="AC148" i="1"/>
  <c r="AO147" i="1"/>
  <c r="Y147" i="1"/>
  <c r="AK146" i="1"/>
  <c r="AG145" i="1"/>
  <c r="AS144" i="1"/>
  <c r="AC144" i="1"/>
  <c r="AO143" i="1"/>
  <c r="Y143" i="1"/>
  <c r="AK142" i="1"/>
  <c r="AG141" i="1"/>
  <c r="AS140" i="1"/>
  <c r="AC140" i="1"/>
  <c r="AO139" i="1"/>
  <c r="Y139" i="1"/>
  <c r="AK138" i="1"/>
  <c r="AG137" i="1"/>
  <c r="AS136" i="1"/>
  <c r="AC136" i="1"/>
  <c r="AO135" i="1"/>
  <c r="Y135" i="1"/>
  <c r="AK134" i="1"/>
  <c r="AG133" i="1"/>
  <c r="AS132" i="1"/>
  <c r="AC132" i="1"/>
  <c r="AO131" i="1"/>
  <c r="Y131" i="1"/>
  <c r="AK130" i="1"/>
  <c r="AG129" i="1"/>
  <c r="AS128" i="1"/>
  <c r="AC128" i="1"/>
  <c r="AO127" i="1"/>
  <c r="V212" i="1"/>
  <c r="AK203" i="1"/>
  <c r="AK199" i="1"/>
  <c r="AK195" i="1"/>
  <c r="AC192" i="1"/>
  <c r="AC189" i="1"/>
  <c r="AG186" i="1"/>
  <c r="AK183" i="1"/>
  <c r="AO180" i="1"/>
  <c r="AO177" i="1"/>
  <c r="AS172" i="1"/>
  <c r="AK170" i="1"/>
  <c r="AF169" i="1"/>
  <c r="AR168" i="1"/>
  <c r="AB168" i="1"/>
  <c r="AN167" i="1"/>
  <c r="X167" i="1"/>
  <c r="AJ166" i="1"/>
  <c r="AV165" i="1"/>
  <c r="AF165" i="1"/>
  <c r="AR164" i="1"/>
  <c r="AB164" i="1"/>
  <c r="AN163" i="1"/>
  <c r="X163" i="1"/>
  <c r="AJ162" i="1"/>
  <c r="AV161" i="1"/>
  <c r="AF161" i="1"/>
  <c r="AR160" i="1"/>
  <c r="AB160" i="1"/>
  <c r="AN159" i="1"/>
  <c r="X159" i="1"/>
  <c r="AJ158" i="1"/>
  <c r="AV157" i="1"/>
  <c r="AF157" i="1"/>
  <c r="AR156" i="1"/>
  <c r="AB156" i="1"/>
  <c r="AN155" i="1"/>
  <c r="X155" i="1"/>
  <c r="AJ154" i="1"/>
  <c r="AV153" i="1"/>
  <c r="AF153" i="1"/>
  <c r="AR152" i="1"/>
  <c r="AB152" i="1"/>
  <c r="AN151" i="1"/>
  <c r="X151" i="1"/>
  <c r="AJ150" i="1"/>
  <c r="AV149" i="1"/>
  <c r="AF149" i="1"/>
  <c r="AR148" i="1"/>
  <c r="AB148" i="1"/>
  <c r="AN147" i="1"/>
  <c r="X147" i="1"/>
  <c r="AJ146" i="1"/>
  <c r="AV145" i="1"/>
  <c r="AF145" i="1"/>
  <c r="AR144" i="1"/>
  <c r="AB144" i="1"/>
  <c r="AN143" i="1"/>
  <c r="X143" i="1"/>
  <c r="AJ142" i="1"/>
  <c r="AV141" i="1"/>
  <c r="AF141" i="1"/>
  <c r="AR140" i="1"/>
  <c r="AB140" i="1"/>
  <c r="AN139" i="1"/>
  <c r="X139" i="1"/>
  <c r="AJ138" i="1"/>
  <c r="AV137" i="1"/>
  <c r="AF137" i="1"/>
  <c r="AR136" i="1"/>
  <c r="AB136" i="1"/>
  <c r="AN135" i="1"/>
  <c r="X135" i="1"/>
  <c r="AJ134" i="1"/>
  <c r="AV133" i="1"/>
  <c r="AF133" i="1"/>
  <c r="AR132" i="1"/>
  <c r="AB132" i="1"/>
  <c r="AN131" i="1"/>
  <c r="X131" i="1"/>
  <c r="AJ130" i="1"/>
  <c r="AV129" i="1"/>
  <c r="AF129" i="1"/>
  <c r="AR128" i="1"/>
  <c r="AE228" i="1"/>
  <c r="AM218" i="1"/>
  <c r="AO207" i="1"/>
  <c r="AG203" i="1"/>
  <c r="AG199" i="1"/>
  <c r="AG195" i="1"/>
  <c r="Y192" i="1"/>
  <c r="Y189" i="1"/>
  <c r="AC186" i="1"/>
  <c r="AG183" i="1"/>
  <c r="AK180" i="1"/>
  <c r="AG177" i="1"/>
  <c r="AT174" i="1"/>
  <c r="AO172" i="1"/>
  <c r="AG170" i="1"/>
  <c r="AE169" i="1"/>
  <c r="AQ168" i="1"/>
  <c r="AA168" i="1"/>
  <c r="AM167" i="1"/>
  <c r="W167" i="1"/>
  <c r="AI166" i="1"/>
  <c r="AU165" i="1"/>
  <c r="AE165" i="1"/>
  <c r="AQ164" i="1"/>
  <c r="AA164" i="1"/>
  <c r="AM163" i="1"/>
  <c r="W163" i="1"/>
  <c r="AI162" i="1"/>
  <c r="AU161" i="1"/>
  <c r="AE161" i="1"/>
  <c r="AQ160" i="1"/>
  <c r="AA160" i="1"/>
  <c r="AM159" i="1"/>
  <c r="W159" i="1"/>
  <c r="AI158" i="1"/>
  <c r="AU157" i="1"/>
  <c r="AE157" i="1"/>
  <c r="AQ156" i="1"/>
  <c r="AA156" i="1"/>
  <c r="AM155" i="1"/>
  <c r="W155" i="1"/>
  <c r="AI154" i="1"/>
  <c r="AU153" i="1"/>
  <c r="AE153" i="1"/>
  <c r="AQ152" i="1"/>
  <c r="AA152" i="1"/>
  <c r="AM151" i="1"/>
  <c r="W151" i="1"/>
  <c r="AI150" i="1"/>
  <c r="AU149" i="1"/>
  <c r="AE149" i="1"/>
  <c r="AQ148" i="1"/>
  <c r="AA148" i="1"/>
  <c r="AM147" i="1"/>
  <c r="W147" i="1"/>
  <c r="AI146" i="1"/>
  <c r="AU145" i="1"/>
  <c r="AE145" i="1"/>
  <c r="AQ144" i="1"/>
  <c r="AA144" i="1"/>
  <c r="AM143" i="1"/>
  <c r="W143" i="1"/>
  <c r="AI142" i="1"/>
  <c r="AU141" i="1"/>
  <c r="AE141" i="1"/>
  <c r="AQ140" i="1"/>
  <c r="AA140" i="1"/>
  <c r="AM139" i="1"/>
  <c r="W139" i="1"/>
  <c r="AI138" i="1"/>
  <c r="AU137" i="1"/>
  <c r="AE137" i="1"/>
  <c r="AQ136" i="1"/>
  <c r="AA136" i="1"/>
  <c r="AM135" i="1"/>
  <c r="W135" i="1"/>
  <c r="AI134" i="1"/>
  <c r="AU133" i="1"/>
  <c r="AE133" i="1"/>
  <c r="AQ132" i="1"/>
  <c r="AA132" i="1"/>
  <c r="AM131" i="1"/>
  <c r="W131" i="1"/>
  <c r="AI130" i="1"/>
  <c r="AN249" i="1"/>
  <c r="AT211" i="1"/>
  <c r="AI207" i="1"/>
  <c r="Y183" i="1"/>
  <c r="AC180" i="1"/>
  <c r="AC177" i="1"/>
  <c r="AS174" i="1"/>
  <c r="AL172" i="1"/>
  <c r="AF170" i="1"/>
  <c r="AD169" i="1"/>
  <c r="AP168" i="1"/>
  <c r="Z168" i="1"/>
  <c r="AL167" i="1"/>
  <c r="V167" i="1"/>
  <c r="AH166" i="1"/>
  <c r="AT165" i="1"/>
  <c r="AD165" i="1"/>
  <c r="AP164" i="1"/>
  <c r="Z164" i="1"/>
  <c r="AL163" i="1"/>
  <c r="V163" i="1"/>
  <c r="AH162" i="1"/>
  <c r="AT161" i="1"/>
  <c r="AD161" i="1"/>
  <c r="AP160" i="1"/>
  <c r="Z160" i="1"/>
  <c r="AL159" i="1"/>
  <c r="V159" i="1"/>
  <c r="AH158" i="1"/>
  <c r="AT157" i="1"/>
  <c r="AD157" i="1"/>
  <c r="AP156" i="1"/>
  <c r="Z156" i="1"/>
  <c r="AL155" i="1"/>
  <c r="V155" i="1"/>
  <c r="AH154" i="1"/>
  <c r="AT153" i="1"/>
  <c r="AD153" i="1"/>
  <c r="AP152" i="1"/>
  <c r="Z152" i="1"/>
  <c r="AL151" i="1"/>
  <c r="V151" i="1"/>
  <c r="AH150" i="1"/>
  <c r="AT149" i="1"/>
  <c r="AD149" i="1"/>
  <c r="AP148" i="1"/>
  <c r="Z148" i="1"/>
  <c r="AL147" i="1"/>
  <c r="V147" i="1"/>
  <c r="AH146" i="1"/>
  <c r="AT145" i="1"/>
  <c r="AD145" i="1"/>
  <c r="AP144" i="1"/>
  <c r="Z144" i="1"/>
  <c r="AL143" i="1"/>
  <c r="V143" i="1"/>
  <c r="AH142" i="1"/>
  <c r="AT141" i="1"/>
  <c r="AD141" i="1"/>
  <c r="AP140" i="1"/>
  <c r="Z140" i="1"/>
  <c r="AL139" i="1"/>
  <c r="V139" i="1"/>
  <c r="AH138" i="1"/>
  <c r="AT137" i="1"/>
  <c r="AD137" i="1"/>
  <c r="AP136" i="1"/>
  <c r="Z136" i="1"/>
  <c r="AL135" i="1"/>
  <c r="V135" i="1"/>
  <c r="AH134" i="1"/>
  <c r="AT133" i="1"/>
  <c r="AD133" i="1"/>
  <c r="AP132" i="1"/>
  <c r="Z132" i="1"/>
  <c r="AL131" i="1"/>
  <c r="W238" i="1"/>
  <c r="AF227" i="1"/>
  <c r="AD211" i="1"/>
  <c r="AS202" i="1"/>
  <c r="AS198" i="1"/>
  <c r="AS194" i="1"/>
  <c r="AO191" i="1"/>
  <c r="AS188" i="1"/>
  <c r="AS185" i="1"/>
  <c r="Y180" i="1"/>
  <c r="Y177" i="1"/>
  <c r="AK174" i="1"/>
  <c r="AK172" i="1"/>
  <c r="AD170" i="1"/>
  <c r="AC169" i="1"/>
  <c r="AO168" i="1"/>
  <c r="Y168" i="1"/>
  <c r="AK167" i="1"/>
  <c r="AG166" i="1"/>
  <c r="AS165" i="1"/>
  <c r="AC165" i="1"/>
  <c r="AO164" i="1"/>
  <c r="Y164" i="1"/>
  <c r="AK163" i="1"/>
  <c r="AG162" i="1"/>
  <c r="AS161" i="1"/>
  <c r="AC161" i="1"/>
  <c r="AO160" i="1"/>
  <c r="Y160" i="1"/>
  <c r="AU248" i="1"/>
  <c r="AT216" i="1"/>
  <c r="Y211" i="1"/>
  <c r="AR206" i="1"/>
  <c r="AG202" i="1"/>
  <c r="AG198" i="1"/>
  <c r="AG194" i="1"/>
  <c r="AK191" i="1"/>
  <c r="AO188" i="1"/>
  <c r="AO185" i="1"/>
  <c r="AS182" i="1"/>
  <c r="AG174" i="1"/>
  <c r="AC172" i="1"/>
  <c r="AC170" i="1"/>
  <c r="AB169" i="1"/>
  <c r="AN168" i="1"/>
  <c r="X168" i="1"/>
  <c r="AJ167" i="1"/>
  <c r="AV166" i="1"/>
  <c r="AF166" i="1"/>
  <c r="AR165" i="1"/>
  <c r="AB165" i="1"/>
  <c r="AN164" i="1"/>
  <c r="X164" i="1"/>
  <c r="AJ163" i="1"/>
  <c r="AV162" i="1"/>
  <c r="AF162" i="1"/>
  <c r="AR161" i="1"/>
  <c r="AB161" i="1"/>
  <c r="AN160" i="1"/>
  <c r="X160" i="1"/>
  <c r="AJ159" i="1"/>
  <c r="AV158" i="1"/>
  <c r="AF158" i="1"/>
  <c r="AR157" i="1"/>
  <c r="AB157" i="1"/>
  <c r="AN156" i="1"/>
  <c r="X156" i="1"/>
  <c r="AJ155" i="1"/>
  <c r="AV154" i="1"/>
  <c r="AF154" i="1"/>
  <c r="AR153" i="1"/>
  <c r="AB153" i="1"/>
  <c r="AN152" i="1"/>
  <c r="X152" i="1"/>
  <c r="AJ151" i="1"/>
  <c r="AV150" i="1"/>
  <c r="AF150" i="1"/>
  <c r="AR149" i="1"/>
  <c r="AB149" i="1"/>
  <c r="AN148" i="1"/>
  <c r="X148" i="1"/>
  <c r="AJ147" i="1"/>
  <c r="AV146" i="1"/>
  <c r="AF146" i="1"/>
  <c r="AR145" i="1"/>
  <c r="AB145" i="1"/>
  <c r="AN144" i="1"/>
  <c r="X144" i="1"/>
  <c r="AJ143" i="1"/>
  <c r="AV142" i="1"/>
  <c r="AF142" i="1"/>
  <c r="AR141" i="1"/>
  <c r="AB141" i="1"/>
  <c r="AN140" i="1"/>
  <c r="X140" i="1"/>
  <c r="AJ139" i="1"/>
  <c r="AV138" i="1"/>
  <c r="AF138" i="1"/>
  <c r="AR137" i="1"/>
  <c r="AB137" i="1"/>
  <c r="AN136" i="1"/>
  <c r="X136" i="1"/>
  <c r="AJ135" i="1"/>
  <c r="AV134" i="1"/>
  <c r="AF134" i="1"/>
  <c r="AR133" i="1"/>
  <c r="AB133" i="1"/>
  <c r="AN132" i="1"/>
  <c r="X132" i="1"/>
  <c r="AJ131" i="1"/>
  <c r="AV130" i="1"/>
  <c r="AF130" i="1"/>
  <c r="AE216" i="1"/>
  <c r="AC206" i="1"/>
  <c r="AC202" i="1"/>
  <c r="AC198" i="1"/>
  <c r="AC194" i="1"/>
  <c r="AG191" i="1"/>
  <c r="AK188" i="1"/>
  <c r="AG185" i="1"/>
  <c r="AK182" i="1"/>
  <c r="AO179" i="1"/>
  <c r="AS176" i="1"/>
  <c r="AD174" i="1"/>
  <c r="Y172" i="1"/>
  <c r="V170" i="1"/>
  <c r="AA169" i="1"/>
  <c r="AM168" i="1"/>
  <c r="W168" i="1"/>
  <c r="AI167" i="1"/>
  <c r="AU166" i="1"/>
  <c r="AE166" i="1"/>
  <c r="AQ165" i="1"/>
  <c r="AA165" i="1"/>
  <c r="AM164" i="1"/>
  <c r="W164" i="1"/>
  <c r="AI163" i="1"/>
  <c r="AU162" i="1"/>
  <c r="AE162" i="1"/>
  <c r="AQ161" i="1"/>
  <c r="AA161" i="1"/>
  <c r="AM160" i="1"/>
  <c r="W160" i="1"/>
  <c r="AI159" i="1"/>
  <c r="AU158" i="1"/>
  <c r="AE158" i="1"/>
  <c r="AQ157" i="1"/>
  <c r="AA157" i="1"/>
  <c r="AM156" i="1"/>
  <c r="W156" i="1"/>
  <c r="AI155" i="1"/>
  <c r="AU154" i="1"/>
  <c r="AE154" i="1"/>
  <c r="AQ153" i="1"/>
  <c r="AA153" i="1"/>
  <c r="AM152" i="1"/>
  <c r="W152" i="1"/>
  <c r="AI151" i="1"/>
  <c r="AU150" i="1"/>
  <c r="AE150" i="1"/>
  <c r="AQ149" i="1"/>
  <c r="AA149" i="1"/>
  <c r="AM148" i="1"/>
  <c r="W148" i="1"/>
  <c r="AI147" i="1"/>
  <c r="AU146" i="1"/>
  <c r="AE146" i="1"/>
  <c r="AQ145" i="1"/>
  <c r="AA145" i="1"/>
  <c r="AM144" i="1"/>
  <c r="W144" i="1"/>
  <c r="AI143" i="1"/>
  <c r="AU142" i="1"/>
  <c r="AE142" i="1"/>
  <c r="AQ141" i="1"/>
  <c r="AA141" i="1"/>
  <c r="AM140" i="1"/>
  <c r="W140" i="1"/>
  <c r="AI139" i="1"/>
  <c r="AU138" i="1"/>
  <c r="AE138" i="1"/>
  <c r="AQ137" i="1"/>
  <c r="AA137" i="1"/>
  <c r="AM136" i="1"/>
  <c r="W136" i="1"/>
  <c r="AI135" i="1"/>
  <c r="AU134" i="1"/>
  <c r="AE134" i="1"/>
  <c r="AQ133" i="1"/>
  <c r="AA133" i="1"/>
  <c r="AM132" i="1"/>
  <c r="W132" i="1"/>
  <c r="AI131" i="1"/>
  <c r="AU130" i="1"/>
  <c r="AE130" i="1"/>
  <c r="AQ129" i="1"/>
  <c r="W246" i="1"/>
  <c r="AF235" i="1"/>
  <c r="AU224" i="1"/>
  <c r="Z215" i="1"/>
  <c r="AE210" i="1"/>
  <c r="AS201" i="1"/>
  <c r="AS197" i="1"/>
  <c r="AS193" i="1"/>
  <c r="Y188" i="1"/>
  <c r="Y185" i="1"/>
  <c r="AC182" i="1"/>
  <c r="AG179" i="1"/>
  <c r="AK176" i="1"/>
  <c r="AT169" i="1"/>
  <c r="Y169" i="1"/>
  <c r="AK168" i="1"/>
  <c r="AG167" i="1"/>
  <c r="AS166" i="1"/>
  <c r="AC166" i="1"/>
  <c r="AO165" i="1"/>
  <c r="Y165" i="1"/>
  <c r="AK164" i="1"/>
  <c r="AG163" i="1"/>
  <c r="AS162" i="1"/>
  <c r="AC162" i="1"/>
  <c r="AO161" i="1"/>
  <c r="Y161" i="1"/>
  <c r="AK160" i="1"/>
  <c r="AG159" i="1"/>
  <c r="AS158" i="1"/>
  <c r="AC158" i="1"/>
  <c r="AO157" i="1"/>
  <c r="Y157" i="1"/>
  <c r="AK156" i="1"/>
  <c r="AG155" i="1"/>
  <c r="AS154" i="1"/>
  <c r="AC154" i="1"/>
  <c r="AO153" i="1"/>
  <c r="Y153" i="1"/>
  <c r="AK152" i="1"/>
  <c r="AG151" i="1"/>
  <c r="AS150" i="1"/>
  <c r="AC150" i="1"/>
  <c r="AO149" i="1"/>
  <c r="Y149" i="1"/>
  <c r="AK148" i="1"/>
  <c r="AG147" i="1"/>
  <c r="AS146" i="1"/>
  <c r="AC146" i="1"/>
  <c r="AO145" i="1"/>
  <c r="Y145" i="1"/>
  <c r="AK144" i="1"/>
  <c r="AG143" i="1"/>
  <c r="AS142" i="1"/>
  <c r="AC142" i="1"/>
  <c r="AO141" i="1"/>
  <c r="Y141" i="1"/>
  <c r="AK140" i="1"/>
  <c r="AG139" i="1"/>
  <c r="AS138" i="1"/>
  <c r="AC138" i="1"/>
  <c r="AO137" i="1"/>
  <c r="Y137" i="1"/>
  <c r="AK136" i="1"/>
  <c r="AG135" i="1"/>
  <c r="AS134" i="1"/>
  <c r="AC134" i="1"/>
  <c r="AO133" i="1"/>
  <c r="Y133" i="1"/>
  <c r="AK132" i="1"/>
  <c r="AG131" i="1"/>
  <c r="AS130" i="1"/>
  <c r="AC130" i="1"/>
  <c r="AO129" i="1"/>
  <c r="Y129" i="1"/>
  <c r="AK128" i="1"/>
  <c r="AG127" i="1"/>
  <c r="AS126" i="1"/>
  <c r="AC126" i="1"/>
  <c r="AL210" i="1"/>
  <c r="AC176" i="1"/>
  <c r="AL168" i="1"/>
  <c r="X165" i="1"/>
  <c r="AN161" i="1"/>
  <c r="AD158" i="1"/>
  <c r="AV155" i="1"/>
  <c r="X153" i="1"/>
  <c r="AD150" i="1"/>
  <c r="AV147" i="1"/>
  <c r="X145" i="1"/>
  <c r="AD142" i="1"/>
  <c r="AV139" i="1"/>
  <c r="X137" i="1"/>
  <c r="AD134" i="1"/>
  <c r="AV131" i="1"/>
  <c r="X129" i="1"/>
  <c r="AE128" i="1"/>
  <c r="AM127" i="1"/>
  <c r="AE126" i="1"/>
  <c r="AO125" i="1"/>
  <c r="X125" i="1"/>
  <c r="AJ124" i="1"/>
  <c r="AU123" i="1"/>
  <c r="AD123" i="1"/>
  <c r="AN122" i="1"/>
  <c r="W122" i="1"/>
  <c r="AI121" i="1"/>
  <c r="AU120" i="1"/>
  <c r="AE120" i="1"/>
  <c r="AQ119" i="1"/>
  <c r="AA119" i="1"/>
  <c r="AM118" i="1"/>
  <c r="W118" i="1"/>
  <c r="AI117" i="1"/>
  <c r="AU116" i="1"/>
  <c r="AE116" i="1"/>
  <c r="AQ115" i="1"/>
  <c r="AA115" i="1"/>
  <c r="AM114" i="1"/>
  <c r="W114" i="1"/>
  <c r="AI113" i="1"/>
  <c r="AU112" i="1"/>
  <c r="AE112" i="1"/>
  <c r="AQ111" i="1"/>
  <c r="AA111" i="1"/>
  <c r="AM110" i="1"/>
  <c r="W110" i="1"/>
  <c r="AI109" i="1"/>
  <c r="AU108" i="1"/>
  <c r="AE108" i="1"/>
  <c r="AQ107" i="1"/>
  <c r="AA107" i="1"/>
  <c r="AM106" i="1"/>
  <c r="W106" i="1"/>
  <c r="AI105" i="1"/>
  <c r="AU104" i="1"/>
  <c r="AE104" i="1"/>
  <c r="AQ103" i="1"/>
  <c r="AA103" i="1"/>
  <c r="AM102" i="1"/>
  <c r="W102" i="1"/>
  <c r="AI101" i="1"/>
  <c r="AU100" i="1"/>
  <c r="AE100" i="1"/>
  <c r="AQ99" i="1"/>
  <c r="AA99" i="1"/>
  <c r="AM98" i="1"/>
  <c r="W98" i="1"/>
  <c r="AI97" i="1"/>
  <c r="AU96" i="1"/>
  <c r="AE96" i="1"/>
  <c r="AQ95" i="1"/>
  <c r="AA95" i="1"/>
  <c r="AM94" i="1"/>
  <c r="W94" i="1"/>
  <c r="AI93" i="1"/>
  <c r="AU92" i="1"/>
  <c r="AE92" i="1"/>
  <c r="AQ91" i="1"/>
  <c r="AA91" i="1"/>
  <c r="AM90" i="1"/>
  <c r="W90" i="1"/>
  <c r="AI89" i="1"/>
  <c r="AU88" i="1"/>
  <c r="AE88" i="1"/>
  <c r="AO197" i="1"/>
  <c r="AJ168" i="1"/>
  <c r="Z161" i="1"/>
  <c r="AB158" i="1"/>
  <c r="AK155" i="1"/>
  <c r="AB150" i="1"/>
  <c r="AK147" i="1"/>
  <c r="AB142" i="1"/>
  <c r="AK139" i="1"/>
  <c r="AB134" i="1"/>
  <c r="AK131" i="1"/>
  <c r="AU129" i="1"/>
  <c r="W129" i="1"/>
  <c r="AB128" i="1"/>
  <c r="AL127" i="1"/>
  <c r="AV126" i="1"/>
  <c r="AD126" i="1"/>
  <c r="AN125" i="1"/>
  <c r="W125" i="1"/>
  <c r="AI124" i="1"/>
  <c r="AT123" i="1"/>
  <c r="AB123" i="1"/>
  <c r="AM122" i="1"/>
  <c r="V122" i="1"/>
  <c r="AH121" i="1"/>
  <c r="AT120" i="1"/>
  <c r="AD120" i="1"/>
  <c r="AP119" i="1"/>
  <c r="Z119" i="1"/>
  <c r="AL118" i="1"/>
  <c r="V118" i="1"/>
  <c r="AH117" i="1"/>
  <c r="AT116" i="1"/>
  <c r="AD116" i="1"/>
  <c r="AP115" i="1"/>
  <c r="Z115" i="1"/>
  <c r="AL114" i="1"/>
  <c r="V114" i="1"/>
  <c r="AH113" i="1"/>
  <c r="AT112" i="1"/>
  <c r="AD112" i="1"/>
  <c r="AP111" i="1"/>
  <c r="Z111" i="1"/>
  <c r="AL110" i="1"/>
  <c r="V110" i="1"/>
  <c r="AH109" i="1"/>
  <c r="AT108" i="1"/>
  <c r="AD108" i="1"/>
  <c r="AP107" i="1"/>
  <c r="Z107" i="1"/>
  <c r="AL106" i="1"/>
  <c r="V106" i="1"/>
  <c r="AH105" i="1"/>
  <c r="AT104" i="1"/>
  <c r="AD104" i="1"/>
  <c r="AP103" i="1"/>
  <c r="Z103" i="1"/>
  <c r="AL102" i="1"/>
  <c r="V102" i="1"/>
  <c r="AH101" i="1"/>
  <c r="AT100" i="1"/>
  <c r="AD100" i="1"/>
  <c r="AP99" i="1"/>
  <c r="Z99" i="1"/>
  <c r="AL98" i="1"/>
  <c r="V98" i="1"/>
  <c r="AH97" i="1"/>
  <c r="AT96" i="1"/>
  <c r="AD96" i="1"/>
  <c r="AP95" i="1"/>
  <c r="Z95" i="1"/>
  <c r="AL94" i="1"/>
  <c r="V94" i="1"/>
  <c r="AH93" i="1"/>
  <c r="AT92" i="1"/>
  <c r="AD92" i="1"/>
  <c r="AP91" i="1"/>
  <c r="Z91" i="1"/>
  <c r="AL90" i="1"/>
  <c r="V90" i="1"/>
  <c r="AH89" i="1"/>
  <c r="AT88" i="1"/>
  <c r="AD88" i="1"/>
  <c r="AP87" i="1"/>
  <c r="Z87" i="1"/>
  <c r="AL86" i="1"/>
  <c r="AC185" i="1"/>
  <c r="V168" i="1"/>
  <c r="AL164" i="1"/>
  <c r="X161" i="1"/>
  <c r="AH155" i="1"/>
  <c r="AO152" i="1"/>
  <c r="AH147" i="1"/>
  <c r="AO144" i="1"/>
  <c r="AH139" i="1"/>
  <c r="AO136" i="1"/>
  <c r="AH131" i="1"/>
  <c r="AT129" i="1"/>
  <c r="V129" i="1"/>
  <c r="AA128" i="1"/>
  <c r="AK127" i="1"/>
  <c r="AU126" i="1"/>
  <c r="AB126" i="1"/>
  <c r="AM125" i="1"/>
  <c r="V125" i="1"/>
  <c r="AH124" i="1"/>
  <c r="AR123" i="1"/>
  <c r="AA123" i="1"/>
  <c r="AL122" i="1"/>
  <c r="AG121" i="1"/>
  <c r="AS120" i="1"/>
  <c r="AC120" i="1"/>
  <c r="AO119" i="1"/>
  <c r="Y119" i="1"/>
  <c r="AK118" i="1"/>
  <c r="AG117" i="1"/>
  <c r="AS116" i="1"/>
  <c r="AC116" i="1"/>
  <c r="AO115" i="1"/>
  <c r="Y115" i="1"/>
  <c r="AK114" i="1"/>
  <c r="AG113" i="1"/>
  <c r="AS112" i="1"/>
  <c r="AC112" i="1"/>
  <c r="AO111" i="1"/>
  <c r="Y111" i="1"/>
  <c r="AK110" i="1"/>
  <c r="AG109" i="1"/>
  <c r="AS108" i="1"/>
  <c r="AC108" i="1"/>
  <c r="AO107" i="1"/>
  <c r="Y107" i="1"/>
  <c r="AK106" i="1"/>
  <c r="AG105" i="1"/>
  <c r="AS104" i="1"/>
  <c r="AC104" i="1"/>
  <c r="AO103" i="1"/>
  <c r="Y103" i="1"/>
  <c r="AK102" i="1"/>
  <c r="AG101" i="1"/>
  <c r="AS100" i="1"/>
  <c r="AC100" i="1"/>
  <c r="AO99" i="1"/>
  <c r="Y99" i="1"/>
  <c r="AK98" i="1"/>
  <c r="AG97" i="1"/>
  <c r="AS96" i="1"/>
  <c r="AC96" i="1"/>
  <c r="AO95" i="1"/>
  <c r="Y95" i="1"/>
  <c r="AK94" i="1"/>
  <c r="AG93" i="1"/>
  <c r="AS92" i="1"/>
  <c r="AC92" i="1"/>
  <c r="AO91" i="1"/>
  <c r="Y91" i="1"/>
  <c r="AK90" i="1"/>
  <c r="AG89" i="1"/>
  <c r="AS88" i="1"/>
  <c r="AC88" i="1"/>
  <c r="AO87" i="1"/>
  <c r="Y87" i="1"/>
  <c r="AK86" i="1"/>
  <c r="AG85" i="1"/>
  <c r="AS84" i="1"/>
  <c r="AC84" i="1"/>
  <c r="AO83" i="1"/>
  <c r="AC174" i="1"/>
  <c r="AJ164" i="1"/>
  <c r="AS157" i="1"/>
  <c r="AF155" i="1"/>
  <c r="AL152" i="1"/>
  <c r="AS149" i="1"/>
  <c r="AF147" i="1"/>
  <c r="AL144" i="1"/>
  <c r="AS141" i="1"/>
  <c r="AF139" i="1"/>
  <c r="AL136" i="1"/>
  <c r="AS133" i="1"/>
  <c r="AF131" i="1"/>
  <c r="AS129" i="1"/>
  <c r="Z128" i="1"/>
  <c r="AJ127" i="1"/>
  <c r="AT126" i="1"/>
  <c r="AA126" i="1"/>
  <c r="AL125" i="1"/>
  <c r="AF124" i="1"/>
  <c r="AQ123" i="1"/>
  <c r="Z123" i="1"/>
  <c r="AK122" i="1"/>
  <c r="AV121" i="1"/>
  <c r="AF121" i="1"/>
  <c r="AR120" i="1"/>
  <c r="AB120" i="1"/>
  <c r="AN119" i="1"/>
  <c r="X119" i="1"/>
  <c r="AJ118" i="1"/>
  <c r="AV117" i="1"/>
  <c r="AF117" i="1"/>
  <c r="AR116" i="1"/>
  <c r="AB116" i="1"/>
  <c r="AN115" i="1"/>
  <c r="X115" i="1"/>
  <c r="AJ114" i="1"/>
  <c r="AV113" i="1"/>
  <c r="AF113" i="1"/>
  <c r="AR112" i="1"/>
  <c r="AB112" i="1"/>
  <c r="AN111" i="1"/>
  <c r="X111" i="1"/>
  <c r="AJ110" i="1"/>
  <c r="AV109" i="1"/>
  <c r="AF109" i="1"/>
  <c r="AR108" i="1"/>
  <c r="AB108" i="1"/>
  <c r="AN107" i="1"/>
  <c r="X107" i="1"/>
  <c r="AJ106" i="1"/>
  <c r="AV105" i="1"/>
  <c r="AF105" i="1"/>
  <c r="AR104" i="1"/>
  <c r="AB104" i="1"/>
  <c r="AN103" i="1"/>
  <c r="X103" i="1"/>
  <c r="AJ102" i="1"/>
  <c r="AV101" i="1"/>
  <c r="AF101" i="1"/>
  <c r="AR100" i="1"/>
  <c r="AB100" i="1"/>
  <c r="AN99" i="1"/>
  <c r="X99" i="1"/>
  <c r="AJ98" i="1"/>
  <c r="AV97" i="1"/>
  <c r="AF97" i="1"/>
  <c r="AR96" i="1"/>
  <c r="AB96" i="1"/>
  <c r="AN95" i="1"/>
  <c r="X95" i="1"/>
  <c r="AJ94" i="1"/>
  <c r="AV93" i="1"/>
  <c r="AF93" i="1"/>
  <c r="AR92" i="1"/>
  <c r="AB92" i="1"/>
  <c r="AN91" i="1"/>
  <c r="X91" i="1"/>
  <c r="AJ90" i="1"/>
  <c r="AV89" i="1"/>
  <c r="AF89" i="1"/>
  <c r="AR88" i="1"/>
  <c r="AB88" i="1"/>
  <c r="AV167" i="1"/>
  <c r="V164" i="1"/>
  <c r="AL160" i="1"/>
  <c r="AP157" i="1"/>
  <c r="AJ152" i="1"/>
  <c r="AP149" i="1"/>
  <c r="AJ144" i="1"/>
  <c r="AP141" i="1"/>
  <c r="AJ136" i="1"/>
  <c r="AP133" i="1"/>
  <c r="V131" i="1"/>
  <c r="AR129" i="1"/>
  <c r="AV128" i="1"/>
  <c r="Y128" i="1"/>
  <c r="AI127" i="1"/>
  <c r="AR126" i="1"/>
  <c r="Z126" i="1"/>
  <c r="AJ125" i="1"/>
  <c r="AV124" i="1"/>
  <c r="AE124" i="1"/>
  <c r="AP123" i="1"/>
  <c r="Y123" i="1"/>
  <c r="AJ122" i="1"/>
  <c r="AU121" i="1"/>
  <c r="AE121" i="1"/>
  <c r="AQ120" i="1"/>
  <c r="AA120" i="1"/>
  <c r="AM119" i="1"/>
  <c r="W119" i="1"/>
  <c r="AI118" i="1"/>
  <c r="AU117" i="1"/>
  <c r="AE117" i="1"/>
  <c r="AQ116" i="1"/>
  <c r="AA116" i="1"/>
  <c r="AM115" i="1"/>
  <c r="W115" i="1"/>
  <c r="AI114" i="1"/>
  <c r="AU113" i="1"/>
  <c r="AE113" i="1"/>
  <c r="AQ112" i="1"/>
  <c r="AA112" i="1"/>
  <c r="AM111" i="1"/>
  <c r="W111" i="1"/>
  <c r="AI110" i="1"/>
  <c r="AU109" i="1"/>
  <c r="AE109" i="1"/>
  <c r="AQ108" i="1"/>
  <c r="AA108" i="1"/>
  <c r="AM107" i="1"/>
  <c r="W107" i="1"/>
  <c r="AI106" i="1"/>
  <c r="AU105" i="1"/>
  <c r="AE105" i="1"/>
  <c r="AQ104" i="1"/>
  <c r="AA104" i="1"/>
  <c r="AM103" i="1"/>
  <c r="W103" i="1"/>
  <c r="AI102" i="1"/>
  <c r="AU101" i="1"/>
  <c r="AE101" i="1"/>
  <c r="AQ100" i="1"/>
  <c r="AA100" i="1"/>
  <c r="AM99" i="1"/>
  <c r="W99" i="1"/>
  <c r="AI98" i="1"/>
  <c r="AU97" i="1"/>
  <c r="AE97" i="1"/>
  <c r="AQ96" i="1"/>
  <c r="AA96" i="1"/>
  <c r="AM95" i="1"/>
  <c r="W95" i="1"/>
  <c r="AI94" i="1"/>
  <c r="AU93" i="1"/>
  <c r="AE93" i="1"/>
  <c r="AQ92" i="1"/>
  <c r="AA92" i="1"/>
  <c r="AM91" i="1"/>
  <c r="W91" i="1"/>
  <c r="AI90" i="1"/>
  <c r="AU89" i="1"/>
  <c r="AE89" i="1"/>
  <c r="AQ88" i="1"/>
  <c r="AA88" i="1"/>
  <c r="AM87" i="1"/>
  <c r="Y206" i="1"/>
  <c r="AS173" i="1"/>
  <c r="AH167" i="1"/>
  <c r="AJ160" i="1"/>
  <c r="AN157" i="1"/>
  <c r="AT154" i="1"/>
  <c r="Y152" i="1"/>
  <c r="AN149" i="1"/>
  <c r="AT146" i="1"/>
  <c r="Y144" i="1"/>
  <c r="AN141" i="1"/>
  <c r="AT138" i="1"/>
  <c r="Y136" i="1"/>
  <c r="AN133" i="1"/>
  <c r="AP129" i="1"/>
  <c r="AU128" i="1"/>
  <c r="X128" i="1"/>
  <c r="AH127" i="1"/>
  <c r="AQ126" i="1"/>
  <c r="X126" i="1"/>
  <c r="AI125" i="1"/>
  <c r="AU124" i="1"/>
  <c r="AD124" i="1"/>
  <c r="AO123" i="1"/>
  <c r="X123" i="1"/>
  <c r="AI122" i="1"/>
  <c r="AT121" i="1"/>
  <c r="AD121" i="1"/>
  <c r="AP120" i="1"/>
  <c r="Z120" i="1"/>
  <c r="AL119" i="1"/>
  <c r="V119" i="1"/>
  <c r="AH118" i="1"/>
  <c r="AT117" i="1"/>
  <c r="AD117" i="1"/>
  <c r="AP116" i="1"/>
  <c r="Z116" i="1"/>
  <c r="AL115" i="1"/>
  <c r="V115" i="1"/>
  <c r="AH114" i="1"/>
  <c r="AT113" i="1"/>
  <c r="AD113" i="1"/>
  <c r="AP112" i="1"/>
  <c r="Z112" i="1"/>
  <c r="AL111" i="1"/>
  <c r="V111" i="1"/>
  <c r="AH110" i="1"/>
  <c r="AT109" i="1"/>
  <c r="AD109" i="1"/>
  <c r="AP108" i="1"/>
  <c r="Z108" i="1"/>
  <c r="AL107" i="1"/>
  <c r="V107" i="1"/>
  <c r="AH106" i="1"/>
  <c r="AT105" i="1"/>
  <c r="AD105" i="1"/>
  <c r="AP104" i="1"/>
  <c r="Z104" i="1"/>
  <c r="AL103" i="1"/>
  <c r="V103" i="1"/>
  <c r="AH102" i="1"/>
  <c r="AT101" i="1"/>
  <c r="AD101" i="1"/>
  <c r="AP100" i="1"/>
  <c r="Z100" i="1"/>
  <c r="AL99" i="1"/>
  <c r="V99" i="1"/>
  <c r="AH98" i="1"/>
  <c r="AT97" i="1"/>
  <c r="AD97" i="1"/>
  <c r="AP96" i="1"/>
  <c r="Z96" i="1"/>
  <c r="AL95" i="1"/>
  <c r="V95" i="1"/>
  <c r="AH94" i="1"/>
  <c r="AT93" i="1"/>
  <c r="AD93" i="1"/>
  <c r="AP92" i="1"/>
  <c r="Z92" i="1"/>
  <c r="AL91" i="1"/>
  <c r="V91" i="1"/>
  <c r="AH90" i="1"/>
  <c r="AT89" i="1"/>
  <c r="AD89" i="1"/>
  <c r="AP88" i="1"/>
  <c r="AO193" i="1"/>
  <c r="AG182" i="1"/>
  <c r="AF167" i="1"/>
  <c r="AV163" i="1"/>
  <c r="V160" i="1"/>
  <c r="AC157" i="1"/>
  <c r="AR154" i="1"/>
  <c r="V152" i="1"/>
  <c r="AC149" i="1"/>
  <c r="AR146" i="1"/>
  <c r="V144" i="1"/>
  <c r="AC141" i="1"/>
  <c r="AR138" i="1"/>
  <c r="V136" i="1"/>
  <c r="AC133" i="1"/>
  <c r="AT130" i="1"/>
  <c r="AN129" i="1"/>
  <c r="AQ128" i="1"/>
  <c r="W128" i="1"/>
  <c r="AF127" i="1"/>
  <c r="AP126" i="1"/>
  <c r="W126" i="1"/>
  <c r="AH125" i="1"/>
  <c r="AT124" i="1"/>
  <c r="AC124" i="1"/>
  <c r="AN123" i="1"/>
  <c r="W123" i="1"/>
  <c r="AH122" i="1"/>
  <c r="AS121" i="1"/>
  <c r="AC121" i="1"/>
  <c r="AO120" i="1"/>
  <c r="Y120" i="1"/>
  <c r="AK119" i="1"/>
  <c r="AG118" i="1"/>
  <c r="AS117" i="1"/>
  <c r="AC117" i="1"/>
  <c r="AO116" i="1"/>
  <c r="Y116" i="1"/>
  <c r="AK115" i="1"/>
  <c r="AG114" i="1"/>
  <c r="AS113" i="1"/>
  <c r="AC113" i="1"/>
  <c r="AO112" i="1"/>
  <c r="Y112" i="1"/>
  <c r="AK111" i="1"/>
  <c r="AG110" i="1"/>
  <c r="AS109" i="1"/>
  <c r="AC109" i="1"/>
  <c r="AO108" i="1"/>
  <c r="Y108" i="1"/>
  <c r="AK107" i="1"/>
  <c r="AG106" i="1"/>
  <c r="AS105" i="1"/>
  <c r="AC105" i="1"/>
  <c r="AO104" i="1"/>
  <c r="Y104" i="1"/>
  <c r="AK103" i="1"/>
  <c r="AG102" i="1"/>
  <c r="AS101" i="1"/>
  <c r="AC101" i="1"/>
  <c r="AO100" i="1"/>
  <c r="Y100" i="1"/>
  <c r="AK99" i="1"/>
  <c r="AG98" i="1"/>
  <c r="AS97" i="1"/>
  <c r="AC97" i="1"/>
  <c r="AO96" i="1"/>
  <c r="Y96" i="1"/>
  <c r="AK95" i="1"/>
  <c r="AG94" i="1"/>
  <c r="AS93" i="1"/>
  <c r="AC93" i="1"/>
  <c r="AO92" i="1"/>
  <c r="Y92" i="1"/>
  <c r="AK91" i="1"/>
  <c r="AG90" i="1"/>
  <c r="AS89" i="1"/>
  <c r="AC89" i="1"/>
  <c r="AO88" i="1"/>
  <c r="Y88" i="1"/>
  <c r="AK87" i="1"/>
  <c r="AG86" i="1"/>
  <c r="AS85" i="1"/>
  <c r="AL205" i="1"/>
  <c r="V172" i="1"/>
  <c r="AH163" i="1"/>
  <c r="Z157" i="1"/>
  <c r="AG154" i="1"/>
  <c r="Z149" i="1"/>
  <c r="AG146" i="1"/>
  <c r="Z141" i="1"/>
  <c r="AG138" i="1"/>
  <c r="Z133" i="1"/>
  <c r="AR130" i="1"/>
  <c r="AM129" i="1"/>
  <c r="AP128" i="1"/>
  <c r="V128" i="1"/>
  <c r="AE127" i="1"/>
  <c r="AN126" i="1"/>
  <c r="V126" i="1"/>
  <c r="AG125" i="1"/>
  <c r="AS124" i="1"/>
  <c r="AB124" i="1"/>
  <c r="AM123" i="1"/>
  <c r="V123" i="1"/>
  <c r="AG122" i="1"/>
  <c r="AR121" i="1"/>
  <c r="AB121" i="1"/>
  <c r="AN120" i="1"/>
  <c r="X120" i="1"/>
  <c r="AJ119" i="1"/>
  <c r="AV118" i="1"/>
  <c r="AF118" i="1"/>
  <c r="AR117" i="1"/>
  <c r="AB117" i="1"/>
  <c r="AN116" i="1"/>
  <c r="X116" i="1"/>
  <c r="AJ115" i="1"/>
  <c r="AV114" i="1"/>
  <c r="AF114" i="1"/>
  <c r="AR113" i="1"/>
  <c r="AB113" i="1"/>
  <c r="AN112" i="1"/>
  <c r="X112" i="1"/>
  <c r="AJ111" i="1"/>
  <c r="AV110" i="1"/>
  <c r="AF110" i="1"/>
  <c r="AR109" i="1"/>
  <c r="AB109" i="1"/>
  <c r="AN108" i="1"/>
  <c r="X108" i="1"/>
  <c r="AJ107" i="1"/>
  <c r="AV106" i="1"/>
  <c r="AF106" i="1"/>
  <c r="AR105" i="1"/>
  <c r="AB105" i="1"/>
  <c r="AN104" i="1"/>
  <c r="X104" i="1"/>
  <c r="AJ103" i="1"/>
  <c r="AV102" i="1"/>
  <c r="AF102" i="1"/>
  <c r="AR101" i="1"/>
  <c r="AB101" i="1"/>
  <c r="AN100" i="1"/>
  <c r="X100" i="1"/>
  <c r="AJ99" i="1"/>
  <c r="AV98" i="1"/>
  <c r="AF98" i="1"/>
  <c r="AR97" i="1"/>
  <c r="AB97" i="1"/>
  <c r="AN96" i="1"/>
  <c r="X96" i="1"/>
  <c r="AJ95" i="1"/>
  <c r="AV94" i="1"/>
  <c r="AF94" i="1"/>
  <c r="AR93" i="1"/>
  <c r="AB93" i="1"/>
  <c r="AN92" i="1"/>
  <c r="X92" i="1"/>
  <c r="AJ91" i="1"/>
  <c r="AV90" i="1"/>
  <c r="AF90" i="1"/>
  <c r="AR89" i="1"/>
  <c r="AB89" i="1"/>
  <c r="AN88" i="1"/>
  <c r="X88" i="1"/>
  <c r="AJ87" i="1"/>
  <c r="AV86" i="1"/>
  <c r="AT166" i="1"/>
  <c r="AF163" i="1"/>
  <c r="AV159" i="1"/>
  <c r="X157" i="1"/>
  <c r="AD154" i="1"/>
  <c r="AV151" i="1"/>
  <c r="X149" i="1"/>
  <c r="AD146" i="1"/>
  <c r="AV143" i="1"/>
  <c r="X141" i="1"/>
  <c r="AD138" i="1"/>
  <c r="AV135" i="1"/>
  <c r="X133" i="1"/>
  <c r="AP130" i="1"/>
  <c r="AL129" i="1"/>
  <c r="AO128" i="1"/>
  <c r="AD127" i="1"/>
  <c r="AM126" i="1"/>
  <c r="AF125" i="1"/>
  <c r="AR124" i="1"/>
  <c r="AA124" i="1"/>
  <c r="AL123" i="1"/>
  <c r="AF122" i="1"/>
  <c r="AQ121" i="1"/>
  <c r="AA121" i="1"/>
  <c r="AM120" i="1"/>
  <c r="W120" i="1"/>
  <c r="AI119" i="1"/>
  <c r="AU118" i="1"/>
  <c r="AE118" i="1"/>
  <c r="AQ117" i="1"/>
  <c r="AA117" i="1"/>
  <c r="AM116" i="1"/>
  <c r="W116" i="1"/>
  <c r="AI115" i="1"/>
  <c r="AU114" i="1"/>
  <c r="AE114" i="1"/>
  <c r="AQ113" i="1"/>
  <c r="AA113" i="1"/>
  <c r="AM112" i="1"/>
  <c r="W112" i="1"/>
  <c r="AI111" i="1"/>
  <c r="AU110" i="1"/>
  <c r="AE110" i="1"/>
  <c r="AQ109" i="1"/>
  <c r="AA109" i="1"/>
  <c r="AM108" i="1"/>
  <c r="W108" i="1"/>
  <c r="AI107" i="1"/>
  <c r="AU106" i="1"/>
  <c r="AE106" i="1"/>
  <c r="AQ105" i="1"/>
  <c r="AA105" i="1"/>
  <c r="AM104" i="1"/>
  <c r="W104" i="1"/>
  <c r="AI103" i="1"/>
  <c r="AU102" i="1"/>
  <c r="AE102" i="1"/>
  <c r="AQ101" i="1"/>
  <c r="AA101" i="1"/>
  <c r="AM100" i="1"/>
  <c r="W100" i="1"/>
  <c r="AI99" i="1"/>
  <c r="AU98" i="1"/>
  <c r="AE98" i="1"/>
  <c r="AQ97" i="1"/>
  <c r="AA97" i="1"/>
  <c r="AM96" i="1"/>
  <c r="W96" i="1"/>
  <c r="AI95" i="1"/>
  <c r="AU94" i="1"/>
  <c r="AE94" i="1"/>
  <c r="AQ93" i="1"/>
  <c r="AA93" i="1"/>
  <c r="AM92" i="1"/>
  <c r="W92" i="1"/>
  <c r="AI91" i="1"/>
  <c r="AU90" i="1"/>
  <c r="AE90" i="1"/>
  <c r="AQ89" i="1"/>
  <c r="AA89" i="1"/>
  <c r="AM88" i="1"/>
  <c r="W88" i="1"/>
  <c r="Y191" i="1"/>
  <c r="AO171" i="1"/>
  <c r="AR166" i="1"/>
  <c r="AK159" i="1"/>
  <c r="AB154" i="1"/>
  <c r="AK151" i="1"/>
  <c r="AB146" i="1"/>
  <c r="AK143" i="1"/>
  <c r="AB138" i="1"/>
  <c r="AK135" i="1"/>
  <c r="AH130" i="1"/>
  <c r="AI129" i="1"/>
  <c r="AN128" i="1"/>
  <c r="AV127" i="1"/>
  <c r="AB127" i="1"/>
  <c r="AL126" i="1"/>
  <c r="AV125" i="1"/>
  <c r="AE125" i="1"/>
  <c r="AQ124" i="1"/>
  <c r="Z124" i="1"/>
  <c r="AK123" i="1"/>
  <c r="AV122" i="1"/>
  <c r="AE122" i="1"/>
  <c r="AP121" i="1"/>
  <c r="Z121" i="1"/>
  <c r="AL120" i="1"/>
  <c r="V120" i="1"/>
  <c r="AH119" i="1"/>
  <c r="AT118" i="1"/>
  <c r="AD118" i="1"/>
  <c r="AP117" i="1"/>
  <c r="Z117" i="1"/>
  <c r="AL116" i="1"/>
  <c r="V116" i="1"/>
  <c r="AH115" i="1"/>
  <c r="AT114" i="1"/>
  <c r="AD114" i="1"/>
  <c r="AP113" i="1"/>
  <c r="Z113" i="1"/>
  <c r="AL112" i="1"/>
  <c r="V112" i="1"/>
  <c r="AH111" i="1"/>
  <c r="AT110" i="1"/>
  <c r="AD110" i="1"/>
  <c r="AP109" i="1"/>
  <c r="Z109" i="1"/>
  <c r="AL108" i="1"/>
  <c r="V108" i="1"/>
  <c r="AH107" i="1"/>
  <c r="AT106" i="1"/>
  <c r="AD106" i="1"/>
  <c r="AP105" i="1"/>
  <c r="Z105" i="1"/>
  <c r="AL104" i="1"/>
  <c r="V104" i="1"/>
  <c r="AH103" i="1"/>
  <c r="AT102" i="1"/>
  <c r="AD102" i="1"/>
  <c r="AP101" i="1"/>
  <c r="Z101" i="1"/>
  <c r="AL100" i="1"/>
  <c r="V100" i="1"/>
  <c r="AH99" i="1"/>
  <c r="AT98" i="1"/>
  <c r="AD98" i="1"/>
  <c r="AP97" i="1"/>
  <c r="Z97" i="1"/>
  <c r="AL96" i="1"/>
  <c r="V96" i="1"/>
  <c r="AH95" i="1"/>
  <c r="AT94" i="1"/>
  <c r="AD94" i="1"/>
  <c r="AP93" i="1"/>
  <c r="Z93" i="1"/>
  <c r="AL92" i="1"/>
  <c r="V92" i="1"/>
  <c r="AH91" i="1"/>
  <c r="AT90" i="1"/>
  <c r="AD90" i="1"/>
  <c r="AP89" i="1"/>
  <c r="Z89" i="1"/>
  <c r="AK179" i="1"/>
  <c r="AD166" i="1"/>
  <c r="AT162" i="1"/>
  <c r="AH159" i="1"/>
  <c r="AO156" i="1"/>
  <c r="AH151" i="1"/>
  <c r="AO148" i="1"/>
  <c r="AH143" i="1"/>
  <c r="AO140" i="1"/>
  <c r="AH135" i="1"/>
  <c r="AO132" i="1"/>
  <c r="AG130" i="1"/>
  <c r="AE129" i="1"/>
  <c r="AM128" i="1"/>
  <c r="AU127" i="1"/>
  <c r="AA127" i="1"/>
  <c r="AK126" i="1"/>
  <c r="AU125" i="1"/>
  <c r="AD125" i="1"/>
  <c r="AP124" i="1"/>
  <c r="Y124" i="1"/>
  <c r="AJ123" i="1"/>
  <c r="AU122" i="1"/>
  <c r="AD122" i="1"/>
  <c r="AO121" i="1"/>
  <c r="Y121" i="1"/>
  <c r="AK120" i="1"/>
  <c r="AG119" i="1"/>
  <c r="AS118" i="1"/>
  <c r="AC118" i="1"/>
  <c r="AO117" i="1"/>
  <c r="Y117" i="1"/>
  <c r="AK116" i="1"/>
  <c r="AG115" i="1"/>
  <c r="AS114" i="1"/>
  <c r="AC114" i="1"/>
  <c r="AO113" i="1"/>
  <c r="Y113" i="1"/>
  <c r="AK112" i="1"/>
  <c r="AG111" i="1"/>
  <c r="AS110" i="1"/>
  <c r="AC110" i="1"/>
  <c r="AO109" i="1"/>
  <c r="Y109" i="1"/>
  <c r="AK108" i="1"/>
  <c r="AG107" i="1"/>
  <c r="AS106" i="1"/>
  <c r="AC106" i="1"/>
  <c r="AO105" i="1"/>
  <c r="Y105" i="1"/>
  <c r="AK104" i="1"/>
  <c r="AG103" i="1"/>
  <c r="AS102" i="1"/>
  <c r="AC102" i="1"/>
  <c r="AO101" i="1"/>
  <c r="Y101" i="1"/>
  <c r="AK100" i="1"/>
  <c r="AG99" i="1"/>
  <c r="AS98" i="1"/>
  <c r="AC98" i="1"/>
  <c r="AO97" i="1"/>
  <c r="Y97" i="1"/>
  <c r="AK96" i="1"/>
  <c r="AG95" i="1"/>
  <c r="AS94" i="1"/>
  <c r="AC94" i="1"/>
  <c r="AO93" i="1"/>
  <c r="Y93" i="1"/>
  <c r="AK92" i="1"/>
  <c r="AG91" i="1"/>
  <c r="AS90" i="1"/>
  <c r="AC90" i="1"/>
  <c r="AO89" i="1"/>
  <c r="Y89" i="1"/>
  <c r="AK88" i="1"/>
  <c r="AG87" i="1"/>
  <c r="AS86" i="1"/>
  <c r="AC86" i="1"/>
  <c r="AS190" i="1"/>
  <c r="Y179" i="1"/>
  <c r="AB166" i="1"/>
  <c r="AR162" i="1"/>
  <c r="AF159" i="1"/>
  <c r="AL156" i="1"/>
  <c r="AS153" i="1"/>
  <c r="AF151" i="1"/>
  <c r="AL148" i="1"/>
  <c r="AS145" i="1"/>
  <c r="AF143" i="1"/>
  <c r="AL140" i="1"/>
  <c r="AS137" i="1"/>
  <c r="AF135" i="1"/>
  <c r="AL132" i="1"/>
  <c r="AD130" i="1"/>
  <c r="AD129" i="1"/>
  <c r="AL128" i="1"/>
  <c r="AT127" i="1"/>
  <c r="Z127" i="1"/>
  <c r="AJ126" i="1"/>
  <c r="AT125" i="1"/>
  <c r="AC125" i="1"/>
  <c r="AO124" i="1"/>
  <c r="X124" i="1"/>
  <c r="AI123" i="1"/>
  <c r="AT122" i="1"/>
  <c r="AC122" i="1"/>
  <c r="AN121" i="1"/>
  <c r="X121" i="1"/>
  <c r="AJ120" i="1"/>
  <c r="AO201" i="1"/>
  <c r="AS169" i="1"/>
  <c r="AD162" i="1"/>
  <c r="AJ156" i="1"/>
  <c r="AP153" i="1"/>
  <c r="AJ148" i="1"/>
  <c r="AP145" i="1"/>
  <c r="AJ140" i="1"/>
  <c r="AP137" i="1"/>
  <c r="AJ132" i="1"/>
  <c r="AB130" i="1"/>
  <c r="AC129" i="1"/>
  <c r="AJ128" i="1"/>
  <c r="AR127" i="1"/>
  <c r="Y127" i="1"/>
  <c r="AI126" i="1"/>
  <c r="AS125" i="1"/>
  <c r="AB125" i="1"/>
  <c r="AN124" i="1"/>
  <c r="W124" i="1"/>
  <c r="AH123" i="1"/>
  <c r="AS122" i="1"/>
  <c r="AB122" i="1"/>
  <c r="AM121" i="1"/>
  <c r="W121" i="1"/>
  <c r="AI120" i="1"/>
  <c r="AU119" i="1"/>
  <c r="AE119" i="1"/>
  <c r="AQ118" i="1"/>
  <c r="AA118" i="1"/>
  <c r="AM117" i="1"/>
  <c r="W117" i="1"/>
  <c r="AI116" i="1"/>
  <c r="AU115" i="1"/>
  <c r="AE115" i="1"/>
  <c r="AQ114" i="1"/>
  <c r="AA114" i="1"/>
  <c r="AM113" i="1"/>
  <c r="W113" i="1"/>
  <c r="AI112" i="1"/>
  <c r="AU111" i="1"/>
  <c r="AE111" i="1"/>
  <c r="AQ110" i="1"/>
  <c r="AA110" i="1"/>
  <c r="AM109" i="1"/>
  <c r="W109" i="1"/>
  <c r="AI108" i="1"/>
  <c r="AU107" i="1"/>
  <c r="AE107" i="1"/>
  <c r="AQ106" i="1"/>
  <c r="AA106" i="1"/>
  <c r="AM105" i="1"/>
  <c r="W105" i="1"/>
  <c r="AI104" i="1"/>
  <c r="AU103" i="1"/>
  <c r="AE103" i="1"/>
  <c r="AQ102" i="1"/>
  <c r="AA102" i="1"/>
  <c r="AM101" i="1"/>
  <c r="W101" i="1"/>
  <c r="AI100" i="1"/>
  <c r="AU99" i="1"/>
  <c r="AE99" i="1"/>
  <c r="AQ98" i="1"/>
  <c r="AA98" i="1"/>
  <c r="AM97" i="1"/>
  <c r="W97" i="1"/>
  <c r="AI96" i="1"/>
  <c r="AU95" i="1"/>
  <c r="AE95" i="1"/>
  <c r="AQ94" i="1"/>
  <c r="AA94" i="1"/>
  <c r="AM93" i="1"/>
  <c r="W93" i="1"/>
  <c r="AI92" i="1"/>
  <c r="AU91" i="1"/>
  <c r="AE91" i="1"/>
  <c r="AQ90" i="1"/>
  <c r="AA90" i="1"/>
  <c r="AM89" i="1"/>
  <c r="W89" i="1"/>
  <c r="Z169" i="1"/>
  <c r="AP165" i="1"/>
  <c r="AB162" i="1"/>
  <c r="AT158" i="1"/>
  <c r="Y156" i="1"/>
  <c r="AN153" i="1"/>
  <c r="AT150" i="1"/>
  <c r="Y148" i="1"/>
  <c r="AN145" i="1"/>
  <c r="AT142" i="1"/>
  <c r="Y140" i="1"/>
  <c r="AN137" i="1"/>
  <c r="AT134" i="1"/>
  <c r="Y132" i="1"/>
  <c r="AA130" i="1"/>
  <c r="AB129" i="1"/>
  <c r="AI128" i="1"/>
  <c r="AQ127" i="1"/>
  <c r="X127" i="1"/>
  <c r="AH126" i="1"/>
  <c r="AR125" i="1"/>
  <c r="AA125" i="1"/>
  <c r="AM124" i="1"/>
  <c r="V124" i="1"/>
  <c r="AG123" i="1"/>
  <c r="AR122" i="1"/>
  <c r="AA122" i="1"/>
  <c r="AL121" i="1"/>
  <c r="V121" i="1"/>
  <c r="AH120" i="1"/>
  <c r="AT119" i="1"/>
  <c r="AD119" i="1"/>
  <c r="AP118" i="1"/>
  <c r="Z118" i="1"/>
  <c r="AL117" i="1"/>
  <c r="V117" i="1"/>
  <c r="AH116" i="1"/>
  <c r="AT115" i="1"/>
  <c r="AD115" i="1"/>
  <c r="AP114" i="1"/>
  <c r="Z114" i="1"/>
  <c r="AL113" i="1"/>
  <c r="V113" i="1"/>
  <c r="AH112" i="1"/>
  <c r="AT111" i="1"/>
  <c r="AD111" i="1"/>
  <c r="AP110" i="1"/>
  <c r="Z110" i="1"/>
  <c r="AL109" i="1"/>
  <c r="V109" i="1"/>
  <c r="AH108" i="1"/>
  <c r="AT107" i="1"/>
  <c r="AD107" i="1"/>
  <c r="AP106" i="1"/>
  <c r="Z106" i="1"/>
  <c r="AL105" i="1"/>
  <c r="V105" i="1"/>
  <c r="AH104" i="1"/>
  <c r="AT103" i="1"/>
  <c r="AD103" i="1"/>
  <c r="AP102" i="1"/>
  <c r="Z102" i="1"/>
  <c r="AL101" i="1"/>
  <c r="V101" i="1"/>
  <c r="AH100" i="1"/>
  <c r="AT99" i="1"/>
  <c r="AD99" i="1"/>
  <c r="AP98" i="1"/>
  <c r="Z98" i="1"/>
  <c r="AL97" i="1"/>
  <c r="V97" i="1"/>
  <c r="AH96" i="1"/>
  <c r="AT95" i="1"/>
  <c r="AD95" i="1"/>
  <c r="AP94" i="1"/>
  <c r="Z94" i="1"/>
  <c r="AL93" i="1"/>
  <c r="V93" i="1"/>
  <c r="AH92" i="1"/>
  <c r="AT91" i="1"/>
  <c r="AD91" i="1"/>
  <c r="AP90" i="1"/>
  <c r="Z90" i="1"/>
  <c r="AL89" i="1"/>
  <c r="V89" i="1"/>
  <c r="AN165" i="1"/>
  <c r="Z145" i="1"/>
  <c r="AK117" i="1"/>
  <c r="AR114" i="1"/>
  <c r="AK109" i="1"/>
  <c r="AR106" i="1"/>
  <c r="AK101" i="1"/>
  <c r="AR98" i="1"/>
  <c r="AK93" i="1"/>
  <c r="AR90" i="1"/>
  <c r="AH88" i="1"/>
  <c r="AF87" i="1"/>
  <c r="AN86" i="1"/>
  <c r="AV85" i="1"/>
  <c r="AD85" i="1"/>
  <c r="AO84" i="1"/>
  <c r="X84" i="1"/>
  <c r="AI83" i="1"/>
  <c r="AU82" i="1"/>
  <c r="AE82" i="1"/>
  <c r="AQ81" i="1"/>
  <c r="AA81" i="1"/>
  <c r="AM80" i="1"/>
  <c r="W80" i="1"/>
  <c r="AI79" i="1"/>
  <c r="AU78" i="1"/>
  <c r="AE78" i="1"/>
  <c r="AQ77" i="1"/>
  <c r="AA77" i="1"/>
  <c r="AM76" i="1"/>
  <c r="W76" i="1"/>
  <c r="AI75" i="1"/>
  <c r="AU74" i="1"/>
  <c r="AE74" i="1"/>
  <c r="AQ73" i="1"/>
  <c r="AA73" i="1"/>
  <c r="AM72" i="1"/>
  <c r="W72" i="1"/>
  <c r="AI71" i="1"/>
  <c r="AU70" i="1"/>
  <c r="AE70" i="1"/>
  <c r="AQ69" i="1"/>
  <c r="AA69" i="1"/>
  <c r="AM68" i="1"/>
  <c r="W68" i="1"/>
  <c r="AI67" i="1"/>
  <c r="AU66" i="1"/>
  <c r="AE66" i="1"/>
  <c r="AQ65" i="1"/>
  <c r="AA65" i="1"/>
  <c r="AM64" i="1"/>
  <c r="W64" i="1"/>
  <c r="AI63" i="1"/>
  <c r="AU62" i="1"/>
  <c r="AE62" i="1"/>
  <c r="AQ61" i="1"/>
  <c r="AA61" i="1"/>
  <c r="AM60" i="1"/>
  <c r="W60" i="1"/>
  <c r="AI59" i="1"/>
  <c r="AU58" i="1"/>
  <c r="AE58" i="1"/>
  <c r="AQ57" i="1"/>
  <c r="AA57" i="1"/>
  <c r="AM56" i="1"/>
  <c r="W56" i="1"/>
  <c r="AI55" i="1"/>
  <c r="AU54" i="1"/>
  <c r="AE54" i="1"/>
  <c r="AQ53" i="1"/>
  <c r="AA53" i="1"/>
  <c r="AM52" i="1"/>
  <c r="W52" i="1"/>
  <c r="AI51" i="1"/>
  <c r="AU50" i="1"/>
  <c r="AE50" i="1"/>
  <c r="AQ49" i="1"/>
  <c r="AA49" i="1"/>
  <c r="AM48" i="1"/>
  <c r="W48" i="1"/>
  <c r="AI47" i="1"/>
  <c r="AU46" i="1"/>
  <c r="AE46" i="1"/>
  <c r="AQ45" i="1"/>
  <c r="AA45" i="1"/>
  <c r="Z165" i="1"/>
  <c r="AR134" i="1"/>
  <c r="AP127" i="1"/>
  <c r="AV123" i="1"/>
  <c r="AV119" i="1"/>
  <c r="AJ117" i="1"/>
  <c r="AO114" i="1"/>
  <c r="AV111" i="1"/>
  <c r="AJ109" i="1"/>
  <c r="AO106" i="1"/>
  <c r="AV103" i="1"/>
  <c r="AJ101" i="1"/>
  <c r="AO98" i="1"/>
  <c r="AV95" i="1"/>
  <c r="AJ93" i="1"/>
  <c r="AO90" i="1"/>
  <c r="AG88" i="1"/>
  <c r="AE87" i="1"/>
  <c r="AM86" i="1"/>
  <c r="AU85" i="1"/>
  <c r="AC85" i="1"/>
  <c r="AN84" i="1"/>
  <c r="W84" i="1"/>
  <c r="AH83" i="1"/>
  <c r="AT82" i="1"/>
  <c r="AD82" i="1"/>
  <c r="AP81" i="1"/>
  <c r="Z81" i="1"/>
  <c r="AL80" i="1"/>
  <c r="V80" i="1"/>
  <c r="AH79" i="1"/>
  <c r="AT78" i="1"/>
  <c r="AD78" i="1"/>
  <c r="AP77" i="1"/>
  <c r="Z77" i="1"/>
  <c r="AL76" i="1"/>
  <c r="V76" i="1"/>
  <c r="AH75" i="1"/>
  <c r="AT74" i="1"/>
  <c r="AD74" i="1"/>
  <c r="AP73" i="1"/>
  <c r="Z73" i="1"/>
  <c r="AL72" i="1"/>
  <c r="V72" i="1"/>
  <c r="AH71" i="1"/>
  <c r="AT70" i="1"/>
  <c r="AD70" i="1"/>
  <c r="AP69" i="1"/>
  <c r="Z69" i="1"/>
  <c r="AL68" i="1"/>
  <c r="V68" i="1"/>
  <c r="AH67" i="1"/>
  <c r="AT66" i="1"/>
  <c r="AD66" i="1"/>
  <c r="AP65" i="1"/>
  <c r="Z65" i="1"/>
  <c r="AL64" i="1"/>
  <c r="V64" i="1"/>
  <c r="AH63" i="1"/>
  <c r="AT62" i="1"/>
  <c r="AD62" i="1"/>
  <c r="AP61" i="1"/>
  <c r="Z61" i="1"/>
  <c r="AL60" i="1"/>
  <c r="V60" i="1"/>
  <c r="AH59" i="1"/>
  <c r="AT58" i="1"/>
  <c r="AD58" i="1"/>
  <c r="AP57" i="1"/>
  <c r="Z57" i="1"/>
  <c r="AL56" i="1"/>
  <c r="V56" i="1"/>
  <c r="AH55" i="1"/>
  <c r="AT54" i="1"/>
  <c r="AD54" i="1"/>
  <c r="AP53" i="1"/>
  <c r="Z53" i="1"/>
  <c r="AL52" i="1"/>
  <c r="V52" i="1"/>
  <c r="AH51" i="1"/>
  <c r="AT50" i="1"/>
  <c r="AD50" i="1"/>
  <c r="AP49" i="1"/>
  <c r="Z49" i="1"/>
  <c r="AL48" i="1"/>
  <c r="V48" i="1"/>
  <c r="AH47" i="1"/>
  <c r="AC153" i="1"/>
  <c r="AG134" i="1"/>
  <c r="AN127" i="1"/>
  <c r="AF123" i="1"/>
  <c r="AS119" i="1"/>
  <c r="X117" i="1"/>
  <c r="AN114" i="1"/>
  <c r="AS111" i="1"/>
  <c r="X109" i="1"/>
  <c r="AN106" i="1"/>
  <c r="AS103" i="1"/>
  <c r="X101" i="1"/>
  <c r="AN98" i="1"/>
  <c r="AS95" i="1"/>
  <c r="X93" i="1"/>
  <c r="AN90" i="1"/>
  <c r="AF88" i="1"/>
  <c r="AD87" i="1"/>
  <c r="AJ86" i="1"/>
  <c r="AT85" i="1"/>
  <c r="AB85" i="1"/>
  <c r="AM84" i="1"/>
  <c r="V84" i="1"/>
  <c r="AG83" i="1"/>
  <c r="AS82" i="1"/>
  <c r="AC82" i="1"/>
  <c r="AO81" i="1"/>
  <c r="Y81" i="1"/>
  <c r="AK80" i="1"/>
  <c r="AG79" i="1"/>
  <c r="AS78" i="1"/>
  <c r="AC78" i="1"/>
  <c r="AO77" i="1"/>
  <c r="Y77" i="1"/>
  <c r="AK76" i="1"/>
  <c r="AG75" i="1"/>
  <c r="AS74" i="1"/>
  <c r="AC74" i="1"/>
  <c r="AO73" i="1"/>
  <c r="Y73" i="1"/>
  <c r="AK72" i="1"/>
  <c r="AG71" i="1"/>
  <c r="AS70" i="1"/>
  <c r="AC70" i="1"/>
  <c r="AO69" i="1"/>
  <c r="Y69" i="1"/>
  <c r="AK68" i="1"/>
  <c r="AG67" i="1"/>
  <c r="AS66" i="1"/>
  <c r="AC66" i="1"/>
  <c r="AO65" i="1"/>
  <c r="Y65" i="1"/>
  <c r="AK64" i="1"/>
  <c r="AG63" i="1"/>
  <c r="AS62" i="1"/>
  <c r="AC62" i="1"/>
  <c r="AO61" i="1"/>
  <c r="Y61" i="1"/>
  <c r="AK60" i="1"/>
  <c r="AG59" i="1"/>
  <c r="AS58" i="1"/>
  <c r="AC58" i="1"/>
  <c r="AO57" i="1"/>
  <c r="Y57" i="1"/>
  <c r="AK56" i="1"/>
  <c r="AG55" i="1"/>
  <c r="AS54" i="1"/>
  <c r="AC54" i="1"/>
  <c r="AO53" i="1"/>
  <c r="Y53" i="1"/>
  <c r="AK52" i="1"/>
  <c r="AG51" i="1"/>
  <c r="AS50" i="1"/>
  <c r="AC50" i="1"/>
  <c r="AO49" i="1"/>
  <c r="Y49" i="1"/>
  <c r="AK48" i="1"/>
  <c r="AG47" i="1"/>
  <c r="AS46" i="1"/>
  <c r="AC46" i="1"/>
  <c r="AO45" i="1"/>
  <c r="Y45" i="1"/>
  <c r="AK44" i="1"/>
  <c r="AO176" i="1"/>
  <c r="Z153" i="1"/>
  <c r="W127" i="1"/>
  <c r="AE123" i="1"/>
  <c r="AR119" i="1"/>
  <c r="AB114" i="1"/>
  <c r="AR111" i="1"/>
  <c r="AB106" i="1"/>
  <c r="AR103" i="1"/>
  <c r="AB98" i="1"/>
  <c r="AR95" i="1"/>
  <c r="AB90" i="1"/>
  <c r="Z88" i="1"/>
  <c r="AC87" i="1"/>
  <c r="AI86" i="1"/>
  <c r="AR85" i="1"/>
  <c r="AA85" i="1"/>
  <c r="AL84" i="1"/>
  <c r="AF83" i="1"/>
  <c r="AR82" i="1"/>
  <c r="AB82" i="1"/>
  <c r="AN81" i="1"/>
  <c r="X81" i="1"/>
  <c r="AJ80" i="1"/>
  <c r="AV79" i="1"/>
  <c r="AF79" i="1"/>
  <c r="AR78" i="1"/>
  <c r="AB78" i="1"/>
  <c r="AN77" i="1"/>
  <c r="X77" i="1"/>
  <c r="AJ76" i="1"/>
  <c r="AV75" i="1"/>
  <c r="AF75" i="1"/>
  <c r="AR74" i="1"/>
  <c r="AB74" i="1"/>
  <c r="AN73" i="1"/>
  <c r="X73" i="1"/>
  <c r="AJ72" i="1"/>
  <c r="AV71" i="1"/>
  <c r="AF71" i="1"/>
  <c r="AR70" i="1"/>
  <c r="AB70" i="1"/>
  <c r="AN69" i="1"/>
  <c r="X69" i="1"/>
  <c r="AJ68" i="1"/>
  <c r="AV67" i="1"/>
  <c r="AF67" i="1"/>
  <c r="AR66" i="1"/>
  <c r="AB66" i="1"/>
  <c r="AN65" i="1"/>
  <c r="X65" i="1"/>
  <c r="AJ64" i="1"/>
  <c r="AV63" i="1"/>
  <c r="AF63" i="1"/>
  <c r="AR62" i="1"/>
  <c r="AB62" i="1"/>
  <c r="AN61" i="1"/>
  <c r="X61" i="1"/>
  <c r="AJ60" i="1"/>
  <c r="AV59" i="1"/>
  <c r="AF59" i="1"/>
  <c r="AR58" i="1"/>
  <c r="AB58" i="1"/>
  <c r="AN57" i="1"/>
  <c r="X57" i="1"/>
  <c r="AJ56" i="1"/>
  <c r="AV55" i="1"/>
  <c r="AF55" i="1"/>
  <c r="AR54" i="1"/>
  <c r="AB54" i="1"/>
  <c r="AN53" i="1"/>
  <c r="X53" i="1"/>
  <c r="AJ52" i="1"/>
  <c r="AV51" i="1"/>
  <c r="AF51" i="1"/>
  <c r="AR50" i="1"/>
  <c r="AB50" i="1"/>
  <c r="AN49" i="1"/>
  <c r="X49" i="1"/>
  <c r="AJ48" i="1"/>
  <c r="AV47" i="1"/>
  <c r="AF47" i="1"/>
  <c r="AR142" i="1"/>
  <c r="V127" i="1"/>
  <c r="AF119" i="1"/>
  <c r="AV116" i="1"/>
  <c r="Y114" i="1"/>
  <c r="AF111" i="1"/>
  <c r="AV108" i="1"/>
  <c r="Y106" i="1"/>
  <c r="AF103" i="1"/>
  <c r="AV100" i="1"/>
  <c r="Y98" i="1"/>
  <c r="AF95" i="1"/>
  <c r="AV92" i="1"/>
  <c r="Y90" i="1"/>
  <c r="V88" i="1"/>
  <c r="AB87" i="1"/>
  <c r="AH86" i="1"/>
  <c r="AQ85" i="1"/>
  <c r="Z85" i="1"/>
  <c r="AK84" i="1"/>
  <c r="AV83" i="1"/>
  <c r="AE83" i="1"/>
  <c r="AQ82" i="1"/>
  <c r="AA82" i="1"/>
  <c r="AM81" i="1"/>
  <c r="W81" i="1"/>
  <c r="AI80" i="1"/>
  <c r="AU79" i="1"/>
  <c r="AE79" i="1"/>
  <c r="AQ78" i="1"/>
  <c r="AA78" i="1"/>
  <c r="AM77" i="1"/>
  <c r="W77" i="1"/>
  <c r="AI76" i="1"/>
  <c r="AU75" i="1"/>
  <c r="AE75" i="1"/>
  <c r="AQ74" i="1"/>
  <c r="AA74" i="1"/>
  <c r="AM73" i="1"/>
  <c r="W73" i="1"/>
  <c r="AI72" i="1"/>
  <c r="AU71" i="1"/>
  <c r="AE71" i="1"/>
  <c r="AQ70" i="1"/>
  <c r="AA70" i="1"/>
  <c r="AM69" i="1"/>
  <c r="W69" i="1"/>
  <c r="AI68" i="1"/>
  <c r="AU67" i="1"/>
  <c r="AE67" i="1"/>
  <c r="AQ66" i="1"/>
  <c r="AA66" i="1"/>
  <c r="AM65" i="1"/>
  <c r="W65" i="1"/>
  <c r="AI64" i="1"/>
  <c r="AU63" i="1"/>
  <c r="AE63" i="1"/>
  <c r="AQ62" i="1"/>
  <c r="AA62" i="1"/>
  <c r="AM61" i="1"/>
  <c r="W61" i="1"/>
  <c r="AI60" i="1"/>
  <c r="AU59" i="1"/>
  <c r="AE59" i="1"/>
  <c r="AQ58" i="1"/>
  <c r="AA58" i="1"/>
  <c r="AM57" i="1"/>
  <c r="W57" i="1"/>
  <c r="AI56" i="1"/>
  <c r="AU55" i="1"/>
  <c r="AE55" i="1"/>
  <c r="AQ54" i="1"/>
  <c r="AA54" i="1"/>
  <c r="AM53" i="1"/>
  <c r="W53" i="1"/>
  <c r="AI52" i="1"/>
  <c r="AU51" i="1"/>
  <c r="AE51" i="1"/>
  <c r="AQ50" i="1"/>
  <c r="AA50" i="1"/>
  <c r="AM49" i="1"/>
  <c r="W49" i="1"/>
  <c r="AI48" i="1"/>
  <c r="AU47" i="1"/>
  <c r="AE47" i="1"/>
  <c r="AG142" i="1"/>
  <c r="V132" i="1"/>
  <c r="AQ122" i="1"/>
  <c r="AC119" i="1"/>
  <c r="AJ116" i="1"/>
  <c r="X114" i="1"/>
  <c r="AC111" i="1"/>
  <c r="AJ108" i="1"/>
  <c r="X106" i="1"/>
  <c r="AC103" i="1"/>
  <c r="AJ100" i="1"/>
  <c r="X98" i="1"/>
  <c r="AC95" i="1"/>
  <c r="AJ92" i="1"/>
  <c r="X90" i="1"/>
  <c r="AA87" i="1"/>
  <c r="AF86" i="1"/>
  <c r="AP85" i="1"/>
  <c r="Y85" i="1"/>
  <c r="AJ84" i="1"/>
  <c r="AU83" i="1"/>
  <c r="AD83" i="1"/>
  <c r="AP82" i="1"/>
  <c r="Z82" i="1"/>
  <c r="AL81" i="1"/>
  <c r="V81" i="1"/>
  <c r="AH80" i="1"/>
  <c r="AT79" i="1"/>
  <c r="AD79" i="1"/>
  <c r="AP78" i="1"/>
  <c r="Z78" i="1"/>
  <c r="AL77" i="1"/>
  <c r="V77" i="1"/>
  <c r="AH76" i="1"/>
  <c r="AT75" i="1"/>
  <c r="AD75" i="1"/>
  <c r="AP74" i="1"/>
  <c r="Z74" i="1"/>
  <c r="AL73" i="1"/>
  <c r="V73" i="1"/>
  <c r="AH72" i="1"/>
  <c r="AT71" i="1"/>
  <c r="AD71" i="1"/>
  <c r="AP70" i="1"/>
  <c r="Z70" i="1"/>
  <c r="AL69" i="1"/>
  <c r="V69" i="1"/>
  <c r="AH68" i="1"/>
  <c r="AT67" i="1"/>
  <c r="AD67" i="1"/>
  <c r="AP66" i="1"/>
  <c r="Z66" i="1"/>
  <c r="AL65" i="1"/>
  <c r="V65" i="1"/>
  <c r="AH64" i="1"/>
  <c r="AT63" i="1"/>
  <c r="AD63" i="1"/>
  <c r="AP62" i="1"/>
  <c r="Z62" i="1"/>
  <c r="AL61" i="1"/>
  <c r="V61" i="1"/>
  <c r="AH60" i="1"/>
  <c r="AT59" i="1"/>
  <c r="AD59" i="1"/>
  <c r="AP58" i="1"/>
  <c r="Z58" i="1"/>
  <c r="AL57" i="1"/>
  <c r="V57" i="1"/>
  <c r="AH56" i="1"/>
  <c r="AT55" i="1"/>
  <c r="AD55" i="1"/>
  <c r="AP54" i="1"/>
  <c r="Z54" i="1"/>
  <c r="AL53" i="1"/>
  <c r="V53" i="1"/>
  <c r="AH52" i="1"/>
  <c r="AT51" i="1"/>
  <c r="AD51" i="1"/>
  <c r="AP50" i="1"/>
  <c r="Z50" i="1"/>
  <c r="AL49" i="1"/>
  <c r="V49" i="1"/>
  <c r="AH48" i="1"/>
  <c r="AT47" i="1"/>
  <c r="AC188" i="1"/>
  <c r="AP161" i="1"/>
  <c r="AG126" i="1"/>
  <c r="AP122" i="1"/>
  <c r="AB119" i="1"/>
  <c r="AG116" i="1"/>
  <c r="AB111" i="1"/>
  <c r="AG108" i="1"/>
  <c r="AB103" i="1"/>
  <c r="AG100" i="1"/>
  <c r="AB95" i="1"/>
  <c r="AG92" i="1"/>
  <c r="AV87" i="1"/>
  <c r="X87" i="1"/>
  <c r="AE86" i="1"/>
  <c r="AO85" i="1"/>
  <c r="X85" i="1"/>
  <c r="AI84" i="1"/>
  <c r="AT83" i="1"/>
  <c r="AC83" i="1"/>
  <c r="AO82" i="1"/>
  <c r="Y82" i="1"/>
  <c r="AK81" i="1"/>
  <c r="AG80" i="1"/>
  <c r="AS79" i="1"/>
  <c r="AC79" i="1"/>
  <c r="AO78" i="1"/>
  <c r="Y78" i="1"/>
  <c r="AK77" i="1"/>
  <c r="AG76" i="1"/>
  <c r="AS75" i="1"/>
  <c r="AC75" i="1"/>
  <c r="AO74" i="1"/>
  <c r="Y74" i="1"/>
  <c r="AK73" i="1"/>
  <c r="AG72" i="1"/>
  <c r="AS71" i="1"/>
  <c r="AC71" i="1"/>
  <c r="AO70" i="1"/>
  <c r="Y70" i="1"/>
  <c r="AK69" i="1"/>
  <c r="AG68" i="1"/>
  <c r="AS67" i="1"/>
  <c r="AC67" i="1"/>
  <c r="AO66" i="1"/>
  <c r="Y66" i="1"/>
  <c r="AK65" i="1"/>
  <c r="AG64" i="1"/>
  <c r="AS63" i="1"/>
  <c r="AC63" i="1"/>
  <c r="AO62" i="1"/>
  <c r="Y62" i="1"/>
  <c r="AK61" i="1"/>
  <c r="AG60" i="1"/>
  <c r="AS59" i="1"/>
  <c r="AC59" i="1"/>
  <c r="AO58" i="1"/>
  <c r="Y58" i="1"/>
  <c r="AK57" i="1"/>
  <c r="AG56" i="1"/>
  <c r="AS55" i="1"/>
  <c r="AC55" i="1"/>
  <c r="AO54" i="1"/>
  <c r="Y54" i="1"/>
  <c r="AK53" i="1"/>
  <c r="AG52" i="1"/>
  <c r="AS51" i="1"/>
  <c r="AC51" i="1"/>
  <c r="AO50" i="1"/>
  <c r="Y50" i="1"/>
  <c r="AK49" i="1"/>
  <c r="AG48" i="1"/>
  <c r="AS47" i="1"/>
  <c r="AC47" i="1"/>
  <c r="AO46" i="1"/>
  <c r="Y46" i="1"/>
  <c r="AK45" i="1"/>
  <c r="AG44" i="1"/>
  <c r="AS43" i="1"/>
  <c r="AC43" i="1"/>
  <c r="AO42" i="1"/>
  <c r="Y42" i="1"/>
  <c r="AR150" i="1"/>
  <c r="AF126" i="1"/>
  <c r="Z122" i="1"/>
  <c r="AF116" i="1"/>
  <c r="AN113" i="1"/>
  <c r="AF108" i="1"/>
  <c r="AN105" i="1"/>
  <c r="AF100" i="1"/>
  <c r="AN97" i="1"/>
  <c r="AF92" i="1"/>
  <c r="AN89" i="1"/>
  <c r="AU87" i="1"/>
  <c r="W87" i="1"/>
  <c r="AD86" i="1"/>
  <c r="AN85" i="1"/>
  <c r="W85" i="1"/>
  <c r="AH84" i="1"/>
  <c r="AS83" i="1"/>
  <c r="AB83" i="1"/>
  <c r="AN82" i="1"/>
  <c r="X82" i="1"/>
  <c r="AJ81" i="1"/>
  <c r="AV80" i="1"/>
  <c r="AF80" i="1"/>
  <c r="AR79" i="1"/>
  <c r="AB79" i="1"/>
  <c r="AN78" i="1"/>
  <c r="X78" i="1"/>
  <c r="AJ77" i="1"/>
  <c r="AV76" i="1"/>
  <c r="AF76" i="1"/>
  <c r="AR75" i="1"/>
  <c r="AB75" i="1"/>
  <c r="AN74" i="1"/>
  <c r="X74" i="1"/>
  <c r="AJ73" i="1"/>
  <c r="AV72" i="1"/>
  <c r="AF72" i="1"/>
  <c r="AR71" i="1"/>
  <c r="AB71" i="1"/>
  <c r="AN70" i="1"/>
  <c r="X70" i="1"/>
  <c r="AJ69" i="1"/>
  <c r="AV68" i="1"/>
  <c r="AF68" i="1"/>
  <c r="AR67" i="1"/>
  <c r="AB67" i="1"/>
  <c r="AN66" i="1"/>
  <c r="X66" i="1"/>
  <c r="AJ65" i="1"/>
  <c r="AV64" i="1"/>
  <c r="AF64" i="1"/>
  <c r="AR63" i="1"/>
  <c r="AB63" i="1"/>
  <c r="AN62" i="1"/>
  <c r="X62" i="1"/>
  <c r="AJ61" i="1"/>
  <c r="AV60" i="1"/>
  <c r="AF60" i="1"/>
  <c r="AR59" i="1"/>
  <c r="AB59" i="1"/>
  <c r="AN58" i="1"/>
  <c r="X58" i="1"/>
  <c r="AJ57" i="1"/>
  <c r="AV56" i="1"/>
  <c r="AF56" i="1"/>
  <c r="AR55" i="1"/>
  <c r="AB55" i="1"/>
  <c r="AN54" i="1"/>
  <c r="X54" i="1"/>
  <c r="AJ53" i="1"/>
  <c r="AV52" i="1"/>
  <c r="AF52" i="1"/>
  <c r="AR51" i="1"/>
  <c r="AB51" i="1"/>
  <c r="AN50" i="1"/>
  <c r="X50" i="1"/>
  <c r="AJ49" i="1"/>
  <c r="AV48" i="1"/>
  <c r="AF48" i="1"/>
  <c r="AR47" i="1"/>
  <c r="AB47" i="1"/>
  <c r="AG150" i="1"/>
  <c r="V140" i="1"/>
  <c r="Z130" i="1"/>
  <c r="X122" i="1"/>
  <c r="AR118" i="1"/>
  <c r="AK113" i="1"/>
  <c r="AR110" i="1"/>
  <c r="AK105" i="1"/>
  <c r="AR102" i="1"/>
  <c r="AK97" i="1"/>
  <c r="AR94" i="1"/>
  <c r="AK89" i="1"/>
  <c r="AT87" i="1"/>
  <c r="V87" i="1"/>
  <c r="AB86" i="1"/>
  <c r="AM85" i="1"/>
  <c r="V85" i="1"/>
  <c r="AG84" i="1"/>
  <c r="AR83" i="1"/>
  <c r="AA83" i="1"/>
  <c r="AM82" i="1"/>
  <c r="W82" i="1"/>
  <c r="AI81" i="1"/>
  <c r="AU80" i="1"/>
  <c r="AE80" i="1"/>
  <c r="AQ79" i="1"/>
  <c r="AA79" i="1"/>
  <c r="AM78" i="1"/>
  <c r="W78" i="1"/>
  <c r="AI77" i="1"/>
  <c r="AU76" i="1"/>
  <c r="AE76" i="1"/>
  <c r="AQ75" i="1"/>
  <c r="AA75" i="1"/>
  <c r="AM74" i="1"/>
  <c r="W74" i="1"/>
  <c r="AI73" i="1"/>
  <c r="AU72" i="1"/>
  <c r="AE72" i="1"/>
  <c r="AQ71" i="1"/>
  <c r="AA71" i="1"/>
  <c r="AM70" i="1"/>
  <c r="W70" i="1"/>
  <c r="AI69" i="1"/>
  <c r="AU68" i="1"/>
  <c r="AE68" i="1"/>
  <c r="AQ67" i="1"/>
  <c r="AA67" i="1"/>
  <c r="AM66" i="1"/>
  <c r="W66" i="1"/>
  <c r="AI65" i="1"/>
  <c r="AU64" i="1"/>
  <c r="AE64" i="1"/>
  <c r="AQ63" i="1"/>
  <c r="AA63" i="1"/>
  <c r="AM62" i="1"/>
  <c r="W62" i="1"/>
  <c r="AI61" i="1"/>
  <c r="AU60" i="1"/>
  <c r="AE60" i="1"/>
  <c r="AQ59" i="1"/>
  <c r="AA59" i="1"/>
  <c r="AM58" i="1"/>
  <c r="W58" i="1"/>
  <c r="AI57" i="1"/>
  <c r="AU56" i="1"/>
  <c r="AE56" i="1"/>
  <c r="AQ55" i="1"/>
  <c r="AA55" i="1"/>
  <c r="AM54" i="1"/>
  <c r="W54" i="1"/>
  <c r="AI53" i="1"/>
  <c r="AU52" i="1"/>
  <c r="AE52" i="1"/>
  <c r="AQ51" i="1"/>
  <c r="AA51" i="1"/>
  <c r="AM50" i="1"/>
  <c r="W50" i="1"/>
  <c r="AI49" i="1"/>
  <c r="AU48" i="1"/>
  <c r="AE48" i="1"/>
  <c r="W130" i="1"/>
  <c r="AQ125" i="1"/>
  <c r="AO118" i="1"/>
  <c r="AV115" i="1"/>
  <c r="AJ113" i="1"/>
  <c r="AO110" i="1"/>
  <c r="AV107" i="1"/>
  <c r="AJ105" i="1"/>
  <c r="AO102" i="1"/>
  <c r="AV99" i="1"/>
  <c r="AJ97" i="1"/>
  <c r="AO94" i="1"/>
  <c r="AV91" i="1"/>
  <c r="AJ89" i="1"/>
  <c r="AS87" i="1"/>
  <c r="AA86" i="1"/>
  <c r="AL85" i="1"/>
  <c r="AF84" i="1"/>
  <c r="AQ83" i="1"/>
  <c r="Z83" i="1"/>
  <c r="AL82" i="1"/>
  <c r="V82" i="1"/>
  <c r="AH81" i="1"/>
  <c r="AT80" i="1"/>
  <c r="AD80" i="1"/>
  <c r="AP79" i="1"/>
  <c r="Z79" i="1"/>
  <c r="AL78" i="1"/>
  <c r="V78" i="1"/>
  <c r="AH77" i="1"/>
  <c r="AT76" i="1"/>
  <c r="AD76" i="1"/>
  <c r="AP75" i="1"/>
  <c r="Z75" i="1"/>
  <c r="AL74" i="1"/>
  <c r="V74" i="1"/>
  <c r="AH73" i="1"/>
  <c r="AT72" i="1"/>
  <c r="AD72" i="1"/>
  <c r="AP71" i="1"/>
  <c r="Z71" i="1"/>
  <c r="AL70" i="1"/>
  <c r="V70" i="1"/>
  <c r="AH69" i="1"/>
  <c r="AT68" i="1"/>
  <c r="AD68" i="1"/>
  <c r="AP67" i="1"/>
  <c r="Z67" i="1"/>
  <c r="AL66" i="1"/>
  <c r="V66" i="1"/>
  <c r="AH65" i="1"/>
  <c r="AT64" i="1"/>
  <c r="AD64" i="1"/>
  <c r="AP63" i="1"/>
  <c r="Z63" i="1"/>
  <c r="AL62" i="1"/>
  <c r="V62" i="1"/>
  <c r="AH61" i="1"/>
  <c r="AT60" i="1"/>
  <c r="AD60" i="1"/>
  <c r="AP59" i="1"/>
  <c r="Z59" i="1"/>
  <c r="AL58" i="1"/>
  <c r="V58" i="1"/>
  <c r="AH57" i="1"/>
  <c r="AT56" i="1"/>
  <c r="AD56" i="1"/>
  <c r="AP55" i="1"/>
  <c r="Z55" i="1"/>
  <c r="AL54" i="1"/>
  <c r="V54" i="1"/>
  <c r="AH53" i="1"/>
  <c r="AT52" i="1"/>
  <c r="AD52" i="1"/>
  <c r="AP51" i="1"/>
  <c r="Z51" i="1"/>
  <c r="AL50" i="1"/>
  <c r="V50" i="1"/>
  <c r="AH49" i="1"/>
  <c r="AT48" i="1"/>
  <c r="AD48" i="1"/>
  <c r="AP47" i="1"/>
  <c r="Z47" i="1"/>
  <c r="AL46" i="1"/>
  <c r="AR158" i="1"/>
  <c r="AP125" i="1"/>
  <c r="AK121" i="1"/>
  <c r="AN118" i="1"/>
  <c r="AS115" i="1"/>
  <c r="X113" i="1"/>
  <c r="AN110" i="1"/>
  <c r="AS107" i="1"/>
  <c r="X105" i="1"/>
  <c r="AN102" i="1"/>
  <c r="AS99" i="1"/>
  <c r="X97" i="1"/>
  <c r="AN94" i="1"/>
  <c r="AS91" i="1"/>
  <c r="X89" i="1"/>
  <c r="AR87" i="1"/>
  <c r="AU86" i="1"/>
  <c r="Z86" i="1"/>
  <c r="AK85" i="1"/>
  <c r="AV84" i="1"/>
  <c r="AE84" i="1"/>
  <c r="AP83" i="1"/>
  <c r="Y83" i="1"/>
  <c r="AK82" i="1"/>
  <c r="AG81" i="1"/>
  <c r="AS80" i="1"/>
  <c r="AC80" i="1"/>
  <c r="AO79" i="1"/>
  <c r="Y79" i="1"/>
  <c r="AK78" i="1"/>
  <c r="X169" i="1"/>
  <c r="AG158" i="1"/>
  <c r="V148" i="1"/>
  <c r="AA129" i="1"/>
  <c r="Z125" i="1"/>
  <c r="AJ121" i="1"/>
  <c r="AB118" i="1"/>
  <c r="AR115" i="1"/>
  <c r="AB110" i="1"/>
  <c r="AR107" i="1"/>
  <c r="AB102" i="1"/>
  <c r="AR99" i="1"/>
  <c r="AB94" i="1"/>
  <c r="AR91" i="1"/>
  <c r="AQ87" i="1"/>
  <c r="AT86" i="1"/>
  <c r="Y86" i="1"/>
  <c r="AJ85" i="1"/>
  <c r="AU84" i="1"/>
  <c r="AD84" i="1"/>
  <c r="AN83" i="1"/>
  <c r="X83" i="1"/>
  <c r="AJ82" i="1"/>
  <c r="AV81" i="1"/>
  <c r="AF81" i="1"/>
  <c r="AR80" i="1"/>
  <c r="AB80" i="1"/>
  <c r="AN79" i="1"/>
  <c r="X79" i="1"/>
  <c r="AJ78" i="1"/>
  <c r="AV77" i="1"/>
  <c r="AF77" i="1"/>
  <c r="AR76" i="1"/>
  <c r="AB76" i="1"/>
  <c r="AN75" i="1"/>
  <c r="X75" i="1"/>
  <c r="AJ74" i="1"/>
  <c r="AV73" i="1"/>
  <c r="AF73" i="1"/>
  <c r="AR72" i="1"/>
  <c r="AB72" i="1"/>
  <c r="AN71" i="1"/>
  <c r="X71" i="1"/>
  <c r="AJ70" i="1"/>
  <c r="AV69" i="1"/>
  <c r="AF69" i="1"/>
  <c r="AR68" i="1"/>
  <c r="AB68" i="1"/>
  <c r="AN67" i="1"/>
  <c r="X67" i="1"/>
  <c r="AJ66" i="1"/>
  <c r="AV65" i="1"/>
  <c r="AF65" i="1"/>
  <c r="AR64" i="1"/>
  <c r="AB64" i="1"/>
  <c r="AN63" i="1"/>
  <c r="X63" i="1"/>
  <c r="AJ62" i="1"/>
  <c r="AV61" i="1"/>
  <c r="AF61" i="1"/>
  <c r="AR60" i="1"/>
  <c r="AB60" i="1"/>
  <c r="AN59" i="1"/>
  <c r="X59" i="1"/>
  <c r="AJ58" i="1"/>
  <c r="AV57" i="1"/>
  <c r="AF57" i="1"/>
  <c r="AR56" i="1"/>
  <c r="AB56" i="1"/>
  <c r="AN55" i="1"/>
  <c r="X55" i="1"/>
  <c r="AJ54" i="1"/>
  <c r="AV53" i="1"/>
  <c r="AF53" i="1"/>
  <c r="AR52" i="1"/>
  <c r="AB52" i="1"/>
  <c r="AN51" i="1"/>
  <c r="X51" i="1"/>
  <c r="AJ50" i="1"/>
  <c r="AV49" i="1"/>
  <c r="AF49" i="1"/>
  <c r="AR48" i="1"/>
  <c r="AC137" i="1"/>
  <c r="Z129" i="1"/>
  <c r="Y125" i="1"/>
  <c r="Y118" i="1"/>
  <c r="AF115" i="1"/>
  <c r="AV112" i="1"/>
  <c r="Y110" i="1"/>
  <c r="AF107" i="1"/>
  <c r="AV104" i="1"/>
  <c r="Y102" i="1"/>
  <c r="AF99" i="1"/>
  <c r="AV96" i="1"/>
  <c r="Y94" i="1"/>
  <c r="AF91" i="1"/>
  <c r="AV88" i="1"/>
  <c r="AN87" i="1"/>
  <c r="AR86" i="1"/>
  <c r="X86" i="1"/>
  <c r="AI85" i="1"/>
  <c r="AT84" i="1"/>
  <c r="AB84" i="1"/>
  <c r="AM83" i="1"/>
  <c r="W83" i="1"/>
  <c r="AI82" i="1"/>
  <c r="AU81" i="1"/>
  <c r="AE81" i="1"/>
  <c r="AQ80" i="1"/>
  <c r="AA80" i="1"/>
  <c r="AM79" i="1"/>
  <c r="W79" i="1"/>
  <c r="AI78" i="1"/>
  <c r="AU77" i="1"/>
  <c r="AE77" i="1"/>
  <c r="AQ76" i="1"/>
  <c r="AA76" i="1"/>
  <c r="AM75" i="1"/>
  <c r="W75" i="1"/>
  <c r="AI74" i="1"/>
  <c r="AU73" i="1"/>
  <c r="AE73" i="1"/>
  <c r="AQ72" i="1"/>
  <c r="AA72" i="1"/>
  <c r="AM71" i="1"/>
  <c r="W71" i="1"/>
  <c r="AI70" i="1"/>
  <c r="AU69" i="1"/>
  <c r="AE69" i="1"/>
  <c r="AQ68" i="1"/>
  <c r="AA68" i="1"/>
  <c r="AM67" i="1"/>
  <c r="W67" i="1"/>
  <c r="AI66" i="1"/>
  <c r="AU65" i="1"/>
  <c r="AE65" i="1"/>
  <c r="AQ64" i="1"/>
  <c r="AA64" i="1"/>
  <c r="AM63" i="1"/>
  <c r="W63" i="1"/>
  <c r="AI62" i="1"/>
  <c r="AU61" i="1"/>
  <c r="AE61" i="1"/>
  <c r="AQ60" i="1"/>
  <c r="AA60" i="1"/>
  <c r="AM59" i="1"/>
  <c r="W59" i="1"/>
  <c r="AI58" i="1"/>
  <c r="AU57" i="1"/>
  <c r="AE57" i="1"/>
  <c r="AQ56" i="1"/>
  <c r="AA56" i="1"/>
  <c r="AM55" i="1"/>
  <c r="W55" i="1"/>
  <c r="AI54" i="1"/>
  <c r="AU53" i="1"/>
  <c r="AE53" i="1"/>
  <c r="AQ52" i="1"/>
  <c r="AA52" i="1"/>
  <c r="AM51" i="1"/>
  <c r="W51" i="1"/>
  <c r="AI50" i="1"/>
  <c r="AU49" i="1"/>
  <c r="AE49" i="1"/>
  <c r="AQ48" i="1"/>
  <c r="Z137" i="1"/>
  <c r="AV120" i="1"/>
  <c r="X118" i="1"/>
  <c r="AC115" i="1"/>
  <c r="AJ112" i="1"/>
  <c r="X110" i="1"/>
  <c r="AC107" i="1"/>
  <c r="AJ104" i="1"/>
  <c r="X102" i="1"/>
  <c r="AC99" i="1"/>
  <c r="AJ96" i="1"/>
  <c r="X94" i="1"/>
  <c r="AC91" i="1"/>
  <c r="AL88" i="1"/>
  <c r="AL87" i="1"/>
  <c r="AQ86" i="1"/>
  <c r="W86" i="1"/>
  <c r="AH85" i="1"/>
  <c r="AR84" i="1"/>
  <c r="AA84" i="1"/>
  <c r="AL83" i="1"/>
  <c r="V83" i="1"/>
  <c r="AH82" i="1"/>
  <c r="AT81" i="1"/>
  <c r="AD81" i="1"/>
  <c r="AP80" i="1"/>
  <c r="Z80" i="1"/>
  <c r="AL79" i="1"/>
  <c r="V79" i="1"/>
  <c r="AH78" i="1"/>
  <c r="AT77" i="1"/>
  <c r="AD77" i="1"/>
  <c r="AP76" i="1"/>
  <c r="Z76" i="1"/>
  <c r="AL75" i="1"/>
  <c r="V75" i="1"/>
  <c r="AH74" i="1"/>
  <c r="AT73" i="1"/>
  <c r="AD73" i="1"/>
  <c r="AP72" i="1"/>
  <c r="Z72" i="1"/>
  <c r="AL71" i="1"/>
  <c r="V71" i="1"/>
  <c r="AH70" i="1"/>
  <c r="AT69" i="1"/>
  <c r="AD69" i="1"/>
  <c r="AP68" i="1"/>
  <c r="Z68" i="1"/>
  <c r="AL67" i="1"/>
  <c r="V67" i="1"/>
  <c r="AH66" i="1"/>
  <c r="AT65" i="1"/>
  <c r="AD65" i="1"/>
  <c r="AP64" i="1"/>
  <c r="Z64" i="1"/>
  <c r="AL63" i="1"/>
  <c r="V63" i="1"/>
  <c r="AH62" i="1"/>
  <c r="AT61" i="1"/>
  <c r="AD61" i="1"/>
  <c r="AP60" i="1"/>
  <c r="Z60" i="1"/>
  <c r="AL59" i="1"/>
  <c r="V59" i="1"/>
  <c r="AH58" i="1"/>
  <c r="AT57" i="1"/>
  <c r="AD57" i="1"/>
  <c r="AP56" i="1"/>
  <c r="Z56" i="1"/>
  <c r="AL55" i="1"/>
  <c r="V55" i="1"/>
  <c r="AH54" i="1"/>
  <c r="AT53" i="1"/>
  <c r="AD53" i="1"/>
  <c r="AP52" i="1"/>
  <c r="Z52" i="1"/>
  <c r="AL51" i="1"/>
  <c r="V51" i="1"/>
  <c r="AH50" i="1"/>
  <c r="AT49" i="1"/>
  <c r="AD49" i="1"/>
  <c r="AP48" i="1"/>
  <c r="Z48" i="1"/>
  <c r="AL47" i="1"/>
  <c r="V47" i="1"/>
  <c r="AG120" i="1"/>
  <c r="AB99" i="1"/>
  <c r="AJ88" i="1"/>
  <c r="Y84" i="1"/>
  <c r="Y80" i="1"/>
  <c r="AS76" i="1"/>
  <c r="AJ71" i="1"/>
  <c r="AN68" i="1"/>
  <c r="AR65" i="1"/>
  <c r="Y60" i="1"/>
  <c r="AC57" i="1"/>
  <c r="AK54" i="1"/>
  <c r="AD47" i="1"/>
  <c r="AH46" i="1"/>
  <c r="AP45" i="1"/>
  <c r="V45" i="1"/>
  <c r="AF44" i="1"/>
  <c r="AQ43" i="1"/>
  <c r="Z43" i="1"/>
  <c r="AK42" i="1"/>
  <c r="AV41" i="1"/>
  <c r="AF41" i="1"/>
  <c r="AR40" i="1"/>
  <c r="AB40" i="1"/>
  <c r="AN39" i="1"/>
  <c r="X39" i="1"/>
  <c r="AJ38" i="1"/>
  <c r="AV37" i="1"/>
  <c r="AF37" i="1"/>
  <c r="AR36" i="1"/>
  <c r="AB36" i="1"/>
  <c r="AN35" i="1"/>
  <c r="X35" i="1"/>
  <c r="AJ34" i="1"/>
  <c r="AV33" i="1"/>
  <c r="AF33" i="1"/>
  <c r="AR32" i="1"/>
  <c r="AB32" i="1"/>
  <c r="AN31" i="1"/>
  <c r="X31" i="1"/>
  <c r="AJ30" i="1"/>
  <c r="AV29" i="1"/>
  <c r="AF29" i="1"/>
  <c r="AR28" i="1"/>
  <c r="AB28" i="1"/>
  <c r="AN27" i="1"/>
  <c r="X27" i="1"/>
  <c r="AJ26" i="1"/>
  <c r="AV25" i="1"/>
  <c r="AF25" i="1"/>
  <c r="AR24" i="1"/>
  <c r="AB24" i="1"/>
  <c r="AN23" i="1"/>
  <c r="X23" i="1"/>
  <c r="AJ22" i="1"/>
  <c r="AV21" i="1"/>
  <c r="AF21" i="1"/>
  <c r="AR20" i="1"/>
  <c r="AB20" i="1"/>
  <c r="AN19" i="1"/>
  <c r="X19" i="1"/>
  <c r="AJ18" i="1"/>
  <c r="AV17" i="1"/>
  <c r="AF17" i="1"/>
  <c r="AR16" i="1"/>
  <c r="AB16" i="1"/>
  <c r="AN15" i="1"/>
  <c r="X15" i="1"/>
  <c r="AJ14" i="1"/>
  <c r="AV13" i="1"/>
  <c r="AF13" i="1"/>
  <c r="AR12" i="1"/>
  <c r="AB12" i="1"/>
  <c r="AN11" i="1"/>
  <c r="X11" i="1"/>
  <c r="AJ10" i="1"/>
  <c r="AV9" i="1"/>
  <c r="AF9" i="1"/>
  <c r="AF120" i="1"/>
  <c r="AN109" i="1"/>
  <c r="AI88" i="1"/>
  <c r="X80" i="1"/>
  <c r="AO76" i="1"/>
  <c r="AS73" i="1"/>
  <c r="Y71" i="1"/>
  <c r="AC68" i="1"/>
  <c r="AG65" i="1"/>
  <c r="AV62" i="1"/>
  <c r="X60" i="1"/>
  <c r="AB57" i="1"/>
  <c r="AG54" i="1"/>
  <c r="AO51" i="1"/>
  <c r="AS48" i="1"/>
  <c r="AA47" i="1"/>
  <c r="AG46" i="1"/>
  <c r="AN45" i="1"/>
  <c r="AE44" i="1"/>
  <c r="AP43" i="1"/>
  <c r="Y43" i="1"/>
  <c r="AJ42" i="1"/>
  <c r="AU41" i="1"/>
  <c r="AE41" i="1"/>
  <c r="AQ40" i="1"/>
  <c r="AA40" i="1"/>
  <c r="AM39" i="1"/>
  <c r="W39" i="1"/>
  <c r="AI38" i="1"/>
  <c r="AU37" i="1"/>
  <c r="AE37" i="1"/>
  <c r="AQ36" i="1"/>
  <c r="AA36" i="1"/>
  <c r="AM35" i="1"/>
  <c r="W35" i="1"/>
  <c r="AI34" i="1"/>
  <c r="AU33" i="1"/>
  <c r="AE33" i="1"/>
  <c r="AQ32" i="1"/>
  <c r="AA32" i="1"/>
  <c r="AM31" i="1"/>
  <c r="W31" i="1"/>
  <c r="AI30" i="1"/>
  <c r="AU29" i="1"/>
  <c r="AE29" i="1"/>
  <c r="AQ28" i="1"/>
  <c r="AA28" i="1"/>
  <c r="AM27" i="1"/>
  <c r="W27" i="1"/>
  <c r="AI26" i="1"/>
  <c r="AU25" i="1"/>
  <c r="AE25" i="1"/>
  <c r="AQ24" i="1"/>
  <c r="AA24" i="1"/>
  <c r="AM23" i="1"/>
  <c r="W23" i="1"/>
  <c r="AI22" i="1"/>
  <c r="AU21" i="1"/>
  <c r="AE21" i="1"/>
  <c r="AQ20" i="1"/>
  <c r="AA20" i="1"/>
  <c r="AM19" i="1"/>
  <c r="W19" i="1"/>
  <c r="AI18" i="1"/>
  <c r="AU17" i="1"/>
  <c r="AE17" i="1"/>
  <c r="AQ16" i="1"/>
  <c r="AA16" i="1"/>
  <c r="AM15" i="1"/>
  <c r="W15" i="1"/>
  <c r="AI14" i="1"/>
  <c r="H14" i="27" s="1"/>
  <c r="AU13" i="1"/>
  <c r="AE13" i="1"/>
  <c r="AQ12" i="1"/>
  <c r="AA12" i="1"/>
  <c r="AM11" i="1"/>
  <c r="W11" i="1"/>
  <c r="AI10" i="1"/>
  <c r="H10" i="27" s="1"/>
  <c r="AU9" i="1"/>
  <c r="AE9" i="1"/>
  <c r="AQ8" i="1"/>
  <c r="AA8" i="1"/>
  <c r="AM7" i="1"/>
  <c r="AC145" i="1"/>
  <c r="AK83" i="1"/>
  <c r="AN76" i="1"/>
  <c r="AR73" i="1"/>
  <c r="Y68" i="1"/>
  <c r="AC65" i="1"/>
  <c r="AK62" i="1"/>
  <c r="AF54" i="1"/>
  <c r="AK51" i="1"/>
  <c r="AO48" i="1"/>
  <c r="Y47" i="1"/>
  <c r="AF46" i="1"/>
  <c r="AM45" i="1"/>
  <c r="AV44" i="1"/>
  <c r="AD44" i="1"/>
  <c r="AO43" i="1"/>
  <c r="X43" i="1"/>
  <c r="AI42" i="1"/>
  <c r="AT41" i="1"/>
  <c r="AD41" i="1"/>
  <c r="AP40" i="1"/>
  <c r="Z40" i="1"/>
  <c r="AL39" i="1"/>
  <c r="V39" i="1"/>
  <c r="AH38" i="1"/>
  <c r="AT37" i="1"/>
  <c r="AD37" i="1"/>
  <c r="AP36" i="1"/>
  <c r="Z36" i="1"/>
  <c r="AL35" i="1"/>
  <c r="V35" i="1"/>
  <c r="AH34" i="1"/>
  <c r="AT33" i="1"/>
  <c r="AD33" i="1"/>
  <c r="AP32" i="1"/>
  <c r="Z32" i="1"/>
  <c r="AL31" i="1"/>
  <c r="V31" i="1"/>
  <c r="AH30" i="1"/>
  <c r="AT29" i="1"/>
  <c r="AD29" i="1"/>
  <c r="AP28" i="1"/>
  <c r="Z28" i="1"/>
  <c r="AL27" i="1"/>
  <c r="V27" i="1"/>
  <c r="AH26" i="1"/>
  <c r="AT25" i="1"/>
  <c r="AD25" i="1"/>
  <c r="AP24" i="1"/>
  <c r="Z24" i="1"/>
  <c r="AL23" i="1"/>
  <c r="V23" i="1"/>
  <c r="AH22" i="1"/>
  <c r="AT21" i="1"/>
  <c r="AD21" i="1"/>
  <c r="AP20" i="1"/>
  <c r="Z20" i="1"/>
  <c r="AL19" i="1"/>
  <c r="V19" i="1"/>
  <c r="AH18" i="1"/>
  <c r="AT17" i="1"/>
  <c r="AD17" i="1"/>
  <c r="AP16" i="1"/>
  <c r="Z16" i="1"/>
  <c r="F16" i="14" s="1"/>
  <c r="AL15" i="1"/>
  <c r="V15" i="1"/>
  <c r="AH14" i="1"/>
  <c r="H14" i="16" s="1"/>
  <c r="AT13" i="1"/>
  <c r="AD13" i="1"/>
  <c r="AP12" i="1"/>
  <c r="Z12" i="1"/>
  <c r="F12" i="14" s="1"/>
  <c r="AL11" i="1"/>
  <c r="V11" i="1"/>
  <c r="AH10" i="1"/>
  <c r="H10" i="16" s="1"/>
  <c r="AT9" i="1"/>
  <c r="AD9" i="1"/>
  <c r="AP8" i="1"/>
  <c r="Z8" i="1"/>
  <c r="F8" i="14" s="1"/>
  <c r="AL7" i="1"/>
  <c r="AH6" i="1"/>
  <c r="H6" i="16" s="1"/>
  <c r="AT5" i="1"/>
  <c r="AD5" i="1"/>
  <c r="AP4" i="1"/>
  <c r="F4" i="14"/>
  <c r="AI87" i="1"/>
  <c r="AJ83" i="1"/>
  <c r="AK79" i="1"/>
  <c r="AC76" i="1"/>
  <c r="AG73" i="1"/>
  <c r="AV70" i="1"/>
  <c r="X68" i="1"/>
  <c r="AB65" i="1"/>
  <c r="AG62" i="1"/>
  <c r="AO59" i="1"/>
  <c r="AS56" i="1"/>
  <c r="AJ51" i="1"/>
  <c r="AN48" i="1"/>
  <c r="X47" i="1"/>
  <c r="AD46" i="1"/>
  <c r="AL45" i="1"/>
  <c r="AU44" i="1"/>
  <c r="AC44" i="1"/>
  <c r="AN43" i="1"/>
  <c r="W43" i="1"/>
  <c r="AH42" i="1"/>
  <c r="AS41" i="1"/>
  <c r="AC41" i="1"/>
  <c r="AO40" i="1"/>
  <c r="Y40" i="1"/>
  <c r="AK39" i="1"/>
  <c r="AG38" i="1"/>
  <c r="AS37" i="1"/>
  <c r="AC37" i="1"/>
  <c r="AO36" i="1"/>
  <c r="Y36" i="1"/>
  <c r="AK35" i="1"/>
  <c r="AG34" i="1"/>
  <c r="AS33" i="1"/>
  <c r="AC33" i="1"/>
  <c r="AO32" i="1"/>
  <c r="Y32" i="1"/>
  <c r="AK31" i="1"/>
  <c r="AG30" i="1"/>
  <c r="AS29" i="1"/>
  <c r="AC29" i="1"/>
  <c r="AO28" i="1"/>
  <c r="Y28" i="1"/>
  <c r="AK27" i="1"/>
  <c r="AG26" i="1"/>
  <c r="AS25" i="1"/>
  <c r="AC25" i="1"/>
  <c r="AO24" i="1"/>
  <c r="Y24" i="1"/>
  <c r="AK23" i="1"/>
  <c r="AG22" i="1"/>
  <c r="AS21" i="1"/>
  <c r="AC21" i="1"/>
  <c r="AO20" i="1"/>
  <c r="Y20" i="1"/>
  <c r="AK19" i="1"/>
  <c r="AG18" i="1"/>
  <c r="AS17" i="1"/>
  <c r="AC17" i="1"/>
  <c r="AO16" i="1"/>
  <c r="Y16" i="1"/>
  <c r="AK15" i="1"/>
  <c r="AG14" i="1"/>
  <c r="AS13" i="1"/>
  <c r="AC13" i="1"/>
  <c r="AO12" i="1"/>
  <c r="Y12" i="1"/>
  <c r="AK11" i="1"/>
  <c r="AG10" i="1"/>
  <c r="AS9" i="1"/>
  <c r="AC9" i="1"/>
  <c r="AO8" i="1"/>
  <c r="AH128" i="1"/>
  <c r="AB107" i="1"/>
  <c r="AG96" i="1"/>
  <c r="AH87" i="1"/>
  <c r="AJ79" i="1"/>
  <c r="Y76" i="1"/>
  <c r="AC73" i="1"/>
  <c r="AK70" i="1"/>
  <c r="AF62" i="1"/>
  <c r="AK59" i="1"/>
  <c r="AO56" i="1"/>
  <c r="AS53" i="1"/>
  <c r="Y51" i="1"/>
  <c r="AC48" i="1"/>
  <c r="W47" i="1"/>
  <c r="AB46" i="1"/>
  <c r="AJ45" i="1"/>
  <c r="AT44" i="1"/>
  <c r="AB44" i="1"/>
  <c r="AM43" i="1"/>
  <c r="V43" i="1"/>
  <c r="AG42" i="1"/>
  <c r="AR41" i="1"/>
  <c r="AB41" i="1"/>
  <c r="AN40" i="1"/>
  <c r="X40" i="1"/>
  <c r="AJ39" i="1"/>
  <c r="AV38" i="1"/>
  <c r="AF38" i="1"/>
  <c r="AR37" i="1"/>
  <c r="AB37" i="1"/>
  <c r="AN36" i="1"/>
  <c r="X36" i="1"/>
  <c r="AJ35" i="1"/>
  <c r="AV34" i="1"/>
  <c r="AF34" i="1"/>
  <c r="AR33" i="1"/>
  <c r="AB33" i="1"/>
  <c r="AN32" i="1"/>
  <c r="X32" i="1"/>
  <c r="AJ31" i="1"/>
  <c r="AV30" i="1"/>
  <c r="AF30" i="1"/>
  <c r="AR29" i="1"/>
  <c r="AB29" i="1"/>
  <c r="AN28" i="1"/>
  <c r="X28" i="1"/>
  <c r="AJ27" i="1"/>
  <c r="AV26" i="1"/>
  <c r="AF26" i="1"/>
  <c r="AR25" i="1"/>
  <c r="AB25" i="1"/>
  <c r="AN24" i="1"/>
  <c r="X24" i="1"/>
  <c r="AJ23" i="1"/>
  <c r="AV22" i="1"/>
  <c r="AF22" i="1"/>
  <c r="AR21" i="1"/>
  <c r="AB21" i="1"/>
  <c r="AN20" i="1"/>
  <c r="X20" i="1"/>
  <c r="AJ19" i="1"/>
  <c r="AV18" i="1"/>
  <c r="AF18" i="1"/>
  <c r="AR17" i="1"/>
  <c r="AB17" i="1"/>
  <c r="AN16" i="1"/>
  <c r="X16" i="1"/>
  <c r="AJ15" i="1"/>
  <c r="AV14" i="1"/>
  <c r="AF14" i="1"/>
  <c r="AR13" i="1"/>
  <c r="AB13" i="1"/>
  <c r="AN12" i="1"/>
  <c r="X12" i="1"/>
  <c r="AJ11" i="1"/>
  <c r="AV10" i="1"/>
  <c r="AF10" i="1"/>
  <c r="AR9" i="1"/>
  <c r="AB9" i="1"/>
  <c r="AN8" i="1"/>
  <c r="X8" i="1"/>
  <c r="AJ7" i="1"/>
  <c r="AF128" i="1"/>
  <c r="AN117" i="1"/>
  <c r="AF96" i="1"/>
  <c r="AV82" i="1"/>
  <c r="X76" i="1"/>
  <c r="AB73" i="1"/>
  <c r="AG70" i="1"/>
  <c r="AO67" i="1"/>
  <c r="AS64" i="1"/>
  <c r="AJ59" i="1"/>
  <c r="AN56" i="1"/>
  <c r="AR53" i="1"/>
  <c r="AB48" i="1"/>
  <c r="AA46" i="1"/>
  <c r="AI45" i="1"/>
  <c r="AS44" i="1"/>
  <c r="AA44" i="1"/>
  <c r="AL43" i="1"/>
  <c r="AF42" i="1"/>
  <c r="AQ41" i="1"/>
  <c r="AA41" i="1"/>
  <c r="AM40" i="1"/>
  <c r="W40" i="1"/>
  <c r="AI39" i="1"/>
  <c r="AU38" i="1"/>
  <c r="AE38" i="1"/>
  <c r="AQ37" i="1"/>
  <c r="AA37" i="1"/>
  <c r="AM36" i="1"/>
  <c r="W36" i="1"/>
  <c r="AI35" i="1"/>
  <c r="AU34" i="1"/>
  <c r="AE34" i="1"/>
  <c r="AQ33" i="1"/>
  <c r="AA33" i="1"/>
  <c r="AM32" i="1"/>
  <c r="W32" i="1"/>
  <c r="AI31" i="1"/>
  <c r="AU30" i="1"/>
  <c r="AE30" i="1"/>
  <c r="AQ29" i="1"/>
  <c r="AA29" i="1"/>
  <c r="AM28" i="1"/>
  <c r="W28" i="1"/>
  <c r="AI27" i="1"/>
  <c r="AU26" i="1"/>
  <c r="AE26" i="1"/>
  <c r="AQ25" i="1"/>
  <c r="AA25" i="1"/>
  <c r="AM24" i="1"/>
  <c r="W24" i="1"/>
  <c r="AI23" i="1"/>
  <c r="AU22" i="1"/>
  <c r="AE22" i="1"/>
  <c r="AQ21" i="1"/>
  <c r="AA21" i="1"/>
  <c r="AM20" i="1"/>
  <c r="W20" i="1"/>
  <c r="AI19" i="1"/>
  <c r="AU18" i="1"/>
  <c r="AE18" i="1"/>
  <c r="AQ17" i="1"/>
  <c r="AA17" i="1"/>
  <c r="AM16" i="1"/>
  <c r="W16" i="1"/>
  <c r="AI15" i="1"/>
  <c r="H15" i="27" s="1"/>
  <c r="AU14" i="1"/>
  <c r="AE14" i="1"/>
  <c r="AQ13" i="1"/>
  <c r="AA13" i="1"/>
  <c r="AM12" i="1"/>
  <c r="W12" i="1"/>
  <c r="AI11" i="1"/>
  <c r="H11" i="27" s="1"/>
  <c r="AU10" i="1"/>
  <c r="AE10" i="1"/>
  <c r="AQ9" i="1"/>
  <c r="AA9" i="1"/>
  <c r="AM8" i="1"/>
  <c r="W8" i="1"/>
  <c r="AI7" i="1"/>
  <c r="H7" i="27" s="1"/>
  <c r="AU6" i="1"/>
  <c r="AE6" i="1"/>
  <c r="AQ5" i="1"/>
  <c r="V156" i="1"/>
  <c r="AP86" i="1"/>
  <c r="AG82" i="1"/>
  <c r="AV78" i="1"/>
  <c r="AF70" i="1"/>
  <c r="AK67" i="1"/>
  <c r="AO64" i="1"/>
  <c r="AS61" i="1"/>
  <c r="Y59" i="1"/>
  <c r="AC56" i="1"/>
  <c r="AG53" i="1"/>
  <c r="AV50" i="1"/>
  <c r="AA48" i="1"/>
  <c r="AV46" i="1"/>
  <c r="Z46" i="1"/>
  <c r="AH45" i="1"/>
  <c r="AR44" i="1"/>
  <c r="Z44" i="1"/>
  <c r="AK43" i="1"/>
  <c r="AV42" i="1"/>
  <c r="AE42" i="1"/>
  <c r="AP41" i="1"/>
  <c r="Z41" i="1"/>
  <c r="AL40" i="1"/>
  <c r="V40" i="1"/>
  <c r="AH39" i="1"/>
  <c r="AT38" i="1"/>
  <c r="AD38" i="1"/>
  <c r="AP37" i="1"/>
  <c r="Z37" i="1"/>
  <c r="AL36" i="1"/>
  <c r="V36" i="1"/>
  <c r="AH35" i="1"/>
  <c r="AT34" i="1"/>
  <c r="AD34" i="1"/>
  <c r="AP33" i="1"/>
  <c r="Z33" i="1"/>
  <c r="AL32" i="1"/>
  <c r="V32" i="1"/>
  <c r="AH31" i="1"/>
  <c r="AT30" i="1"/>
  <c r="AD30" i="1"/>
  <c r="AP29" i="1"/>
  <c r="Z29" i="1"/>
  <c r="AL28" i="1"/>
  <c r="V28" i="1"/>
  <c r="AH27" i="1"/>
  <c r="AT26" i="1"/>
  <c r="AD26" i="1"/>
  <c r="AP25" i="1"/>
  <c r="Z25" i="1"/>
  <c r="AL24" i="1"/>
  <c r="V24" i="1"/>
  <c r="AH23" i="1"/>
  <c r="AT22" i="1"/>
  <c r="AD22" i="1"/>
  <c r="AP21" i="1"/>
  <c r="Z21" i="1"/>
  <c r="AL20" i="1"/>
  <c r="V20" i="1"/>
  <c r="AH19" i="1"/>
  <c r="AT18" i="1"/>
  <c r="AD18" i="1"/>
  <c r="AP17" i="1"/>
  <c r="Z17" i="1"/>
  <c r="AL16" i="1"/>
  <c r="V16" i="1"/>
  <c r="AH15" i="1"/>
  <c r="H15" i="16" s="1"/>
  <c r="AT14" i="1"/>
  <c r="AD14" i="1"/>
  <c r="AP13" i="1"/>
  <c r="Z13" i="1"/>
  <c r="F13" i="14" s="1"/>
  <c r="AL12" i="1"/>
  <c r="AO86" i="1"/>
  <c r="AF82" i="1"/>
  <c r="AG78" i="1"/>
  <c r="AO75" i="1"/>
  <c r="AS72" i="1"/>
  <c r="AJ67" i="1"/>
  <c r="AN64" i="1"/>
  <c r="AR61" i="1"/>
  <c r="Y56" i="1"/>
  <c r="AC53" i="1"/>
  <c r="AK50" i="1"/>
  <c r="Y48" i="1"/>
  <c r="AT46" i="1"/>
  <c r="X46" i="1"/>
  <c r="AG45" i="1"/>
  <c r="AQ44" i="1"/>
  <c r="Y44" i="1"/>
  <c r="AJ43" i="1"/>
  <c r="AU42" i="1"/>
  <c r="AD42" i="1"/>
  <c r="AO41" i="1"/>
  <c r="Y41" i="1"/>
  <c r="AK40" i="1"/>
  <c r="AG39" i="1"/>
  <c r="AS38" i="1"/>
  <c r="AC38" i="1"/>
  <c r="AO37" i="1"/>
  <c r="Y37" i="1"/>
  <c r="AK36" i="1"/>
  <c r="AG35" i="1"/>
  <c r="AS34" i="1"/>
  <c r="AC34" i="1"/>
  <c r="AO33" i="1"/>
  <c r="Y33" i="1"/>
  <c r="AK32" i="1"/>
  <c r="AG31" i="1"/>
  <c r="AS30" i="1"/>
  <c r="AC30" i="1"/>
  <c r="AO29" i="1"/>
  <c r="Y29" i="1"/>
  <c r="AK28" i="1"/>
  <c r="AG27" i="1"/>
  <c r="AS26" i="1"/>
  <c r="AC26" i="1"/>
  <c r="AO25" i="1"/>
  <c r="Y25" i="1"/>
  <c r="AK24" i="1"/>
  <c r="AG23" i="1"/>
  <c r="AS22" i="1"/>
  <c r="AC22" i="1"/>
  <c r="AO21" i="1"/>
  <c r="Y21" i="1"/>
  <c r="AK20" i="1"/>
  <c r="AG19" i="1"/>
  <c r="AS18" i="1"/>
  <c r="AC18" i="1"/>
  <c r="AO17" i="1"/>
  <c r="Y17" i="1"/>
  <c r="AK16" i="1"/>
  <c r="AG15" i="1"/>
  <c r="AS14" i="1"/>
  <c r="AC14" i="1"/>
  <c r="AO13" i="1"/>
  <c r="Y13" i="1"/>
  <c r="AK12" i="1"/>
  <c r="AG11" i="1"/>
  <c r="AS10" i="1"/>
  <c r="AC10" i="1"/>
  <c r="AO9" i="1"/>
  <c r="Y9" i="1"/>
  <c r="AK8" i="1"/>
  <c r="AG7" i="1"/>
  <c r="AS6" i="1"/>
  <c r="AC6" i="1"/>
  <c r="AO5" i="1"/>
  <c r="AK4" i="1"/>
  <c r="AG3" i="1"/>
  <c r="AB115" i="1"/>
  <c r="AG104" i="1"/>
  <c r="V86" i="1"/>
  <c r="AF78" i="1"/>
  <c r="AK75" i="1"/>
  <c r="AO72" i="1"/>
  <c r="AS69" i="1"/>
  <c r="Y67" i="1"/>
  <c r="AC64" i="1"/>
  <c r="AG61" i="1"/>
  <c r="AV58" i="1"/>
  <c r="X56" i="1"/>
  <c r="AB53" i="1"/>
  <c r="AG50" i="1"/>
  <c r="X48" i="1"/>
  <c r="AR46" i="1"/>
  <c r="W46" i="1"/>
  <c r="AF45" i="1"/>
  <c r="AP44" i="1"/>
  <c r="X44" i="1"/>
  <c r="AI43" i="1"/>
  <c r="AT42" i="1"/>
  <c r="AC42" i="1"/>
  <c r="AN41" i="1"/>
  <c r="X41" i="1"/>
  <c r="AJ40" i="1"/>
  <c r="AV39" i="1"/>
  <c r="AF39" i="1"/>
  <c r="AR38" i="1"/>
  <c r="AB38" i="1"/>
  <c r="AN37" i="1"/>
  <c r="X37" i="1"/>
  <c r="AJ36" i="1"/>
  <c r="AV35" i="1"/>
  <c r="AF35" i="1"/>
  <c r="AR34" i="1"/>
  <c r="AB34" i="1"/>
  <c r="AN33" i="1"/>
  <c r="X33" i="1"/>
  <c r="AJ32" i="1"/>
  <c r="AV31" i="1"/>
  <c r="AF31" i="1"/>
  <c r="AR30" i="1"/>
  <c r="AB30" i="1"/>
  <c r="AN29" i="1"/>
  <c r="X29" i="1"/>
  <c r="AJ28" i="1"/>
  <c r="AV27" i="1"/>
  <c r="AF27" i="1"/>
  <c r="AR26" i="1"/>
  <c r="AB26" i="1"/>
  <c r="AN25" i="1"/>
  <c r="X25" i="1"/>
  <c r="AJ24" i="1"/>
  <c r="AV23" i="1"/>
  <c r="AF23" i="1"/>
  <c r="AR22" i="1"/>
  <c r="AB22" i="1"/>
  <c r="AN21" i="1"/>
  <c r="X21" i="1"/>
  <c r="AJ20" i="1"/>
  <c r="AV19" i="1"/>
  <c r="AF19" i="1"/>
  <c r="AR18" i="1"/>
  <c r="AB18" i="1"/>
  <c r="AN17" i="1"/>
  <c r="X17" i="1"/>
  <c r="AJ16" i="1"/>
  <c r="AV15" i="1"/>
  <c r="AF15" i="1"/>
  <c r="AR14" i="1"/>
  <c r="AB14" i="1"/>
  <c r="AN13" i="1"/>
  <c r="X13" i="1"/>
  <c r="AJ12" i="1"/>
  <c r="AV11" i="1"/>
  <c r="AF11" i="1"/>
  <c r="AR10" i="1"/>
  <c r="AB10" i="1"/>
  <c r="AN9" i="1"/>
  <c r="X9" i="1"/>
  <c r="AF104" i="1"/>
  <c r="AN93" i="1"/>
  <c r="AS81" i="1"/>
  <c r="AJ75" i="1"/>
  <c r="AN72" i="1"/>
  <c r="AR69" i="1"/>
  <c r="Y64" i="1"/>
  <c r="AC61" i="1"/>
  <c r="AK58" i="1"/>
  <c r="AF50" i="1"/>
  <c r="AQ46" i="1"/>
  <c r="V46" i="1"/>
  <c r="AE45" i="1"/>
  <c r="AO44" i="1"/>
  <c r="W44" i="1"/>
  <c r="AH43" i="1"/>
  <c r="AS42" i="1"/>
  <c r="AB42" i="1"/>
  <c r="AM41" i="1"/>
  <c r="W41" i="1"/>
  <c r="AI40" i="1"/>
  <c r="AU39" i="1"/>
  <c r="AE39" i="1"/>
  <c r="AQ38" i="1"/>
  <c r="AA38" i="1"/>
  <c r="AM37" i="1"/>
  <c r="W37" i="1"/>
  <c r="AI36" i="1"/>
  <c r="AU35" i="1"/>
  <c r="AE35" i="1"/>
  <c r="AQ34" i="1"/>
  <c r="AA34" i="1"/>
  <c r="AM33" i="1"/>
  <c r="W33" i="1"/>
  <c r="AI32" i="1"/>
  <c r="AU31" i="1"/>
  <c r="AE31" i="1"/>
  <c r="AQ30" i="1"/>
  <c r="AA30" i="1"/>
  <c r="AM29" i="1"/>
  <c r="W29" i="1"/>
  <c r="AI28" i="1"/>
  <c r="AU27" i="1"/>
  <c r="AE27" i="1"/>
  <c r="AQ26" i="1"/>
  <c r="AA26" i="1"/>
  <c r="AM25" i="1"/>
  <c r="W25" i="1"/>
  <c r="AI24" i="1"/>
  <c r="AU23" i="1"/>
  <c r="AE23" i="1"/>
  <c r="AQ22" i="1"/>
  <c r="AA22" i="1"/>
  <c r="AM21" i="1"/>
  <c r="W21" i="1"/>
  <c r="AI20" i="1"/>
  <c r="AU19" i="1"/>
  <c r="AE19" i="1"/>
  <c r="AQ18" i="1"/>
  <c r="AA18" i="1"/>
  <c r="AM17" i="1"/>
  <c r="W17" i="1"/>
  <c r="AI16" i="1"/>
  <c r="H16" i="27" s="1"/>
  <c r="AU15" i="1"/>
  <c r="AE15" i="1"/>
  <c r="AQ14" i="1"/>
  <c r="AA14" i="1"/>
  <c r="AM13" i="1"/>
  <c r="W13" i="1"/>
  <c r="AI12" i="1"/>
  <c r="H12" i="27" s="1"/>
  <c r="AL124" i="1"/>
  <c r="AF85" i="1"/>
  <c r="AR81" i="1"/>
  <c r="AS77" i="1"/>
  <c r="Y75" i="1"/>
  <c r="AC72" i="1"/>
  <c r="AG69" i="1"/>
  <c r="AV66" i="1"/>
  <c r="X64" i="1"/>
  <c r="AB61" i="1"/>
  <c r="AG58" i="1"/>
  <c r="AO55" i="1"/>
  <c r="AS52" i="1"/>
  <c r="AQ47" i="1"/>
  <c r="AP46" i="1"/>
  <c r="AD45" i="1"/>
  <c r="AN44" i="1"/>
  <c r="V44" i="1"/>
  <c r="AG43" i="1"/>
  <c r="AR42" i="1"/>
  <c r="AA42" i="1"/>
  <c r="AL41" i="1"/>
  <c r="V41" i="1"/>
  <c r="AH40" i="1"/>
  <c r="AT39" i="1"/>
  <c r="AD39" i="1"/>
  <c r="AP38" i="1"/>
  <c r="Z38" i="1"/>
  <c r="AL37" i="1"/>
  <c r="V37" i="1"/>
  <c r="AH36" i="1"/>
  <c r="AT35" i="1"/>
  <c r="AD35" i="1"/>
  <c r="AP34" i="1"/>
  <c r="Z34" i="1"/>
  <c r="AL33" i="1"/>
  <c r="V33" i="1"/>
  <c r="AH32" i="1"/>
  <c r="AT31" i="1"/>
  <c r="AD31" i="1"/>
  <c r="AP30" i="1"/>
  <c r="Z30" i="1"/>
  <c r="AL29" i="1"/>
  <c r="V29" i="1"/>
  <c r="AH28" i="1"/>
  <c r="AT27" i="1"/>
  <c r="AD27" i="1"/>
  <c r="AP26" i="1"/>
  <c r="Z26" i="1"/>
  <c r="AL25" i="1"/>
  <c r="V25" i="1"/>
  <c r="AH24" i="1"/>
  <c r="AT23" i="1"/>
  <c r="AD23" i="1"/>
  <c r="AP22" i="1"/>
  <c r="Z22" i="1"/>
  <c r="AL21" i="1"/>
  <c r="V21" i="1"/>
  <c r="AH20" i="1"/>
  <c r="AT19" i="1"/>
  <c r="AD19" i="1"/>
  <c r="AP18" i="1"/>
  <c r="Z18" i="1"/>
  <c r="AL17" i="1"/>
  <c r="V17" i="1"/>
  <c r="AH16" i="1"/>
  <c r="H16" i="16" s="1"/>
  <c r="AT15" i="1"/>
  <c r="AD15" i="1"/>
  <c r="AP14" i="1"/>
  <c r="Z14" i="1"/>
  <c r="F14" i="14" s="1"/>
  <c r="AL13" i="1"/>
  <c r="V13" i="1"/>
  <c r="AH12" i="1"/>
  <c r="H12" i="16" s="1"/>
  <c r="AT11" i="1"/>
  <c r="AD11" i="1"/>
  <c r="AK124" i="1"/>
  <c r="AE85" i="1"/>
  <c r="AC81" i="1"/>
  <c r="AR77" i="1"/>
  <c r="Y72" i="1"/>
  <c r="AC69" i="1"/>
  <c r="AK66" i="1"/>
  <c r="AF58" i="1"/>
  <c r="AK55" i="1"/>
  <c r="AO52" i="1"/>
  <c r="AS49" i="1"/>
  <c r="AO47" i="1"/>
  <c r="AN46" i="1"/>
  <c r="AV45" i="1"/>
  <c r="AC45" i="1"/>
  <c r="AM44" i="1"/>
  <c r="AF43" i="1"/>
  <c r="AQ42" i="1"/>
  <c r="Z42" i="1"/>
  <c r="AK41" i="1"/>
  <c r="AG40" i="1"/>
  <c r="AS39" i="1"/>
  <c r="AC39" i="1"/>
  <c r="AO38" i="1"/>
  <c r="Y38" i="1"/>
  <c r="AK37" i="1"/>
  <c r="AG36" i="1"/>
  <c r="AS35" i="1"/>
  <c r="AC35" i="1"/>
  <c r="AO34" i="1"/>
  <c r="Y34" i="1"/>
  <c r="AK33" i="1"/>
  <c r="AG32" i="1"/>
  <c r="AS31" i="1"/>
  <c r="AC31" i="1"/>
  <c r="AO30" i="1"/>
  <c r="Y30" i="1"/>
  <c r="AK29" i="1"/>
  <c r="AG28" i="1"/>
  <c r="AS27" i="1"/>
  <c r="AC27" i="1"/>
  <c r="AO26" i="1"/>
  <c r="Y26" i="1"/>
  <c r="AK25" i="1"/>
  <c r="AG24" i="1"/>
  <c r="AS23" i="1"/>
  <c r="AC23" i="1"/>
  <c r="AO22" i="1"/>
  <c r="Y22" i="1"/>
  <c r="AK21" i="1"/>
  <c r="AG20" i="1"/>
  <c r="AS19" i="1"/>
  <c r="AC19" i="1"/>
  <c r="AO18" i="1"/>
  <c r="Y18" i="1"/>
  <c r="AK17" i="1"/>
  <c r="AG16" i="1"/>
  <c r="AS15" i="1"/>
  <c r="AC15" i="1"/>
  <c r="AO14" i="1"/>
  <c r="Y14" i="1"/>
  <c r="AK13" i="1"/>
  <c r="AG12" i="1"/>
  <c r="AS11" i="1"/>
  <c r="AC11" i="1"/>
  <c r="AO10" i="1"/>
  <c r="Y10" i="1"/>
  <c r="AK9" i="1"/>
  <c r="AG8" i="1"/>
  <c r="AS7" i="1"/>
  <c r="AC7" i="1"/>
  <c r="AO6" i="1"/>
  <c r="AK5" i="1"/>
  <c r="AG4" i="1"/>
  <c r="AS3" i="1"/>
  <c r="AC3" i="1"/>
  <c r="AG112" i="1"/>
  <c r="AB91" i="1"/>
  <c r="AB81" i="1"/>
  <c r="AG77" i="1"/>
  <c r="AV74" i="1"/>
  <c r="X72" i="1"/>
  <c r="AB69" i="1"/>
  <c r="AG66" i="1"/>
  <c r="AO63" i="1"/>
  <c r="AS60" i="1"/>
  <c r="AJ55" i="1"/>
  <c r="AN52" i="1"/>
  <c r="AR49" i="1"/>
  <c r="AN47" i="1"/>
  <c r="AM46" i="1"/>
  <c r="AU45" i="1"/>
  <c r="AB45" i="1"/>
  <c r="AL44" i="1"/>
  <c r="AV43" i="1"/>
  <c r="AE43" i="1"/>
  <c r="AP42" i="1"/>
  <c r="X42" i="1"/>
  <c r="AJ41" i="1"/>
  <c r="AV40" i="1"/>
  <c r="AF40" i="1"/>
  <c r="AR39" i="1"/>
  <c r="AB39" i="1"/>
  <c r="AN38" i="1"/>
  <c r="X38" i="1"/>
  <c r="AJ37" i="1"/>
  <c r="AV36" i="1"/>
  <c r="AF36" i="1"/>
  <c r="AR35" i="1"/>
  <c r="AB35" i="1"/>
  <c r="AN34" i="1"/>
  <c r="X34" i="1"/>
  <c r="AJ33" i="1"/>
  <c r="AV32" i="1"/>
  <c r="AF32" i="1"/>
  <c r="AR31" i="1"/>
  <c r="AB31" i="1"/>
  <c r="AN30" i="1"/>
  <c r="X30" i="1"/>
  <c r="AJ29" i="1"/>
  <c r="AV28" i="1"/>
  <c r="AF28" i="1"/>
  <c r="AR27" i="1"/>
  <c r="AB27" i="1"/>
  <c r="AN26" i="1"/>
  <c r="X26" i="1"/>
  <c r="AJ25" i="1"/>
  <c r="AV24" i="1"/>
  <c r="AF24" i="1"/>
  <c r="AR23" i="1"/>
  <c r="AB23" i="1"/>
  <c r="AN22" i="1"/>
  <c r="X22" i="1"/>
  <c r="AJ21" i="1"/>
  <c r="AV20" i="1"/>
  <c r="AF20" i="1"/>
  <c r="AR19" i="1"/>
  <c r="AB19" i="1"/>
  <c r="AN18" i="1"/>
  <c r="X18" i="1"/>
  <c r="AJ17" i="1"/>
  <c r="AV16" i="1"/>
  <c r="AF16" i="1"/>
  <c r="AR15" i="1"/>
  <c r="AB15" i="1"/>
  <c r="AN14" i="1"/>
  <c r="X14" i="1"/>
  <c r="AJ13" i="1"/>
  <c r="AV12" i="1"/>
  <c r="AF12" i="1"/>
  <c r="AR11" i="1"/>
  <c r="AB11" i="1"/>
  <c r="AN10" i="1"/>
  <c r="X10" i="1"/>
  <c r="AJ9" i="1"/>
  <c r="AV8" i="1"/>
  <c r="AF8" i="1"/>
  <c r="AQ84" i="1"/>
  <c r="AF66" i="1"/>
  <c r="AR45" i="1"/>
  <c r="AN42" i="1"/>
  <c r="AG37" i="1"/>
  <c r="AM34" i="1"/>
  <c r="AG29" i="1"/>
  <c r="AM26" i="1"/>
  <c r="AG21" i="1"/>
  <c r="AM18" i="1"/>
  <c r="AG13" i="1"/>
  <c r="AA11" i="1"/>
  <c r="AP9" i="1"/>
  <c r="AI8" i="1"/>
  <c r="H8" i="27" s="1"/>
  <c r="AN7" i="1"/>
  <c r="AQ6" i="1"/>
  <c r="AC5" i="1"/>
  <c r="AM4" i="1"/>
  <c r="AV3" i="1"/>
  <c r="AD3" i="1"/>
  <c r="AL4" i="1"/>
  <c r="AB3" i="1"/>
  <c r="AJ4" i="1"/>
  <c r="W42" i="1"/>
  <c r="AO31" i="1"/>
  <c r="AT20" i="1"/>
  <c r="AD8" i="1"/>
  <c r="W22" i="1"/>
  <c r="AP84" i="1"/>
  <c r="AK74" i="1"/>
  <c r="AS57" i="1"/>
  <c r="AG49" i="1"/>
  <c r="Z45" i="1"/>
  <c r="AM42" i="1"/>
  <c r="AQ39" i="1"/>
  <c r="AL34" i="1"/>
  <c r="AQ31" i="1"/>
  <c r="AL26" i="1"/>
  <c r="AQ23" i="1"/>
  <c r="AL18" i="1"/>
  <c r="AQ15" i="1"/>
  <c r="Z11" i="1"/>
  <c r="F11" i="14" s="1"/>
  <c r="AM9" i="1"/>
  <c r="AH8" i="1"/>
  <c r="H8" i="16" s="1"/>
  <c r="AK7" i="1"/>
  <c r="AP6" i="1"/>
  <c r="AB5" i="1"/>
  <c r="AU3" i="1"/>
  <c r="AN6" i="1"/>
  <c r="AT3" i="1"/>
  <c r="AO39" i="1"/>
  <c r="W26" i="1"/>
  <c r="AT12" i="1"/>
  <c r="W30" i="1"/>
  <c r="AF112" i="1"/>
  <c r="Z84" i="1"/>
  <c r="AG74" i="1"/>
  <c r="AS65" i="1"/>
  <c r="AR57" i="1"/>
  <c r="AC49" i="1"/>
  <c r="X45" i="1"/>
  <c r="AL42" i="1"/>
  <c r="AP39" i="1"/>
  <c r="AU36" i="1"/>
  <c r="AK34" i="1"/>
  <c r="AP31" i="1"/>
  <c r="AU28" i="1"/>
  <c r="AK26" i="1"/>
  <c r="AP23" i="1"/>
  <c r="AU20" i="1"/>
  <c r="AK18" i="1"/>
  <c r="AP15" i="1"/>
  <c r="AU12" i="1"/>
  <c r="Y11" i="1"/>
  <c r="AL9" i="1"/>
  <c r="AE8" i="1"/>
  <c r="AH7" i="1"/>
  <c r="H7" i="16" s="1"/>
  <c r="AV5" i="1"/>
  <c r="AA3" i="1"/>
  <c r="W34" i="1"/>
  <c r="AF74" i="1"/>
  <c r="AG57" i="1"/>
  <c r="AB49" i="1"/>
  <c r="AT36" i="1"/>
  <c r="AO23" i="1"/>
  <c r="AU5" i="1"/>
  <c r="V42" i="1"/>
  <c r="AA39" i="1"/>
  <c r="AS36" i="1"/>
  <c r="V34" i="1"/>
  <c r="AA31" i="1"/>
  <c r="AS28" i="1"/>
  <c r="V26" i="1"/>
  <c r="AA23" i="1"/>
  <c r="AS20" i="1"/>
  <c r="V18" i="1"/>
  <c r="AA15" i="1"/>
  <c r="AS12" i="1"/>
  <c r="AT10" i="1"/>
  <c r="AH9" i="1"/>
  <c r="H9" i="16" s="1"/>
  <c r="AC8" i="1"/>
  <c r="AE7" i="1"/>
  <c r="AL6" i="1"/>
  <c r="AS5" i="1"/>
  <c r="AH4" i="1"/>
  <c r="H4" i="16" s="1"/>
  <c r="AQ3" i="1"/>
  <c r="AO3" i="1"/>
  <c r="AJ46" i="1"/>
  <c r="W14" i="1"/>
  <c r="AI5" i="1"/>
  <c r="H5" i="27" s="1"/>
  <c r="AK63" i="1"/>
  <c r="AJ44" i="1"/>
  <c r="Z39" i="1"/>
  <c r="AE36" i="1"/>
  <c r="Z31" i="1"/>
  <c r="AE28" i="1"/>
  <c r="Z23" i="1"/>
  <c r="AE20" i="1"/>
  <c r="Z15" i="1"/>
  <c r="F15" i="14" s="1"/>
  <c r="AE12" i="1"/>
  <c r="AQ10" i="1"/>
  <c r="AG9" i="1"/>
  <c r="AB8" i="1"/>
  <c r="AD7" i="1"/>
  <c r="AK6" i="1"/>
  <c r="AR5" i="1"/>
  <c r="AF4" i="1"/>
  <c r="AP3" i="1"/>
  <c r="AC52" i="1"/>
  <c r="AO19" i="1"/>
  <c r="AS4" i="1"/>
  <c r="AJ63" i="1"/>
  <c r="Y55" i="1"/>
  <c r="AM47" i="1"/>
  <c r="AI44" i="1"/>
  <c r="AI41" i="1"/>
  <c r="Y39" i="1"/>
  <c r="AD36" i="1"/>
  <c r="AI33" i="1"/>
  <c r="Y31" i="1"/>
  <c r="AD28" i="1"/>
  <c r="AI25" i="1"/>
  <c r="Y23" i="1"/>
  <c r="AD20" i="1"/>
  <c r="AI17" i="1"/>
  <c r="Y15" i="1"/>
  <c r="AD12" i="1"/>
  <c r="AP10" i="1"/>
  <c r="Z9" i="1"/>
  <c r="F9" i="14" s="1"/>
  <c r="Y8" i="1"/>
  <c r="AB7" i="1"/>
  <c r="AJ6" i="1"/>
  <c r="AP5" i="1"/>
  <c r="AE4" i="1"/>
  <c r="W38" i="1"/>
  <c r="AT8" i="1"/>
  <c r="AO80" i="1"/>
  <c r="AO71" i="1"/>
  <c r="Y63" i="1"/>
  <c r="AK47" i="1"/>
  <c r="AH44" i="1"/>
  <c r="AH41" i="1"/>
  <c r="AC36" i="1"/>
  <c r="AH33" i="1"/>
  <c r="AC28" i="1"/>
  <c r="AH25" i="1"/>
  <c r="AC20" i="1"/>
  <c r="AH17" i="1"/>
  <c r="AC12" i="1"/>
  <c r="AM10" i="1"/>
  <c r="W9" i="1"/>
  <c r="V8" i="1"/>
  <c r="AA7" i="1"/>
  <c r="AI6" i="1"/>
  <c r="H6" i="27" s="1"/>
  <c r="AN5" i="1"/>
  <c r="AD4" i="1"/>
  <c r="AN3" i="1"/>
  <c r="AR43" i="1"/>
  <c r="AA10" i="1"/>
  <c r="AN80" i="1"/>
  <c r="AK71" i="1"/>
  <c r="AV54" i="1"/>
  <c r="AJ47" i="1"/>
  <c r="AG41" i="1"/>
  <c r="AM38" i="1"/>
  <c r="AG33" i="1"/>
  <c r="AM30" i="1"/>
  <c r="AG25" i="1"/>
  <c r="AM22" i="1"/>
  <c r="AG17" i="1"/>
  <c r="AM14" i="1"/>
  <c r="V12" i="1"/>
  <c r="AL10" i="1"/>
  <c r="V9" i="1"/>
  <c r="F7" i="14"/>
  <c r="AG6" i="1"/>
  <c r="AM5" i="1"/>
  <c r="AV4" i="1"/>
  <c r="AC4" i="1"/>
  <c r="AM3" i="1"/>
  <c r="AO35" i="1"/>
  <c r="AT7" i="1"/>
  <c r="AU43" i="1"/>
  <c r="AL38" i="1"/>
  <c r="AQ35" i="1"/>
  <c r="AL30" i="1"/>
  <c r="AQ27" i="1"/>
  <c r="AL22" i="1"/>
  <c r="AQ19" i="1"/>
  <c r="AL14" i="1"/>
  <c r="AK10" i="1"/>
  <c r="AV7" i="1"/>
  <c r="AF6" i="1"/>
  <c r="AL5" i="1"/>
  <c r="AU4" i="1"/>
  <c r="AB4" i="1"/>
  <c r="AL3" i="1"/>
  <c r="AT4" i="1"/>
  <c r="AK3" i="1"/>
  <c r="AO60" i="1"/>
  <c r="AQ11" i="1"/>
  <c r="AJ3" i="1"/>
  <c r="AK46" i="1"/>
  <c r="AT43" i="1"/>
  <c r="AU40" i="1"/>
  <c r="AK38" i="1"/>
  <c r="AP35" i="1"/>
  <c r="AU32" i="1"/>
  <c r="AK30" i="1"/>
  <c r="AP27" i="1"/>
  <c r="AU24" i="1"/>
  <c r="AK22" i="1"/>
  <c r="AP19" i="1"/>
  <c r="AU16" i="1"/>
  <c r="AK14" i="1"/>
  <c r="AU11" i="1"/>
  <c r="AD10" i="1"/>
  <c r="AU8" i="1"/>
  <c r="AU7" i="1"/>
  <c r="AD6" i="1"/>
  <c r="AJ5" i="1"/>
  <c r="AA4" i="1"/>
  <c r="AT32" i="1"/>
  <c r="AB6" i="1"/>
  <c r="AC77" i="1"/>
  <c r="AS68" i="1"/>
  <c r="AN60" i="1"/>
  <c r="Y52" i="1"/>
  <c r="AI46" i="1"/>
  <c r="AD43" i="1"/>
  <c r="AS40" i="1"/>
  <c r="V38" i="1"/>
  <c r="AA35" i="1"/>
  <c r="AS32" i="1"/>
  <c r="V30" i="1"/>
  <c r="AA27" i="1"/>
  <c r="AS24" i="1"/>
  <c r="V22" i="1"/>
  <c r="AA19" i="1"/>
  <c r="AS16" i="1"/>
  <c r="V14" i="1"/>
  <c r="AP11" i="1"/>
  <c r="Z10" i="1"/>
  <c r="F10" i="14" s="1"/>
  <c r="AS8" i="1"/>
  <c r="AR7" i="1"/>
  <c r="AA6" i="1"/>
  <c r="AH5" i="1"/>
  <c r="H5" i="16" s="1"/>
  <c r="AR4" i="1"/>
  <c r="AI3" i="1"/>
  <c r="H3" i="27" s="1"/>
  <c r="AF7" i="1"/>
  <c r="F3" i="14"/>
  <c r="AT40" i="1"/>
  <c r="AB77" i="1"/>
  <c r="AO68" i="1"/>
  <c r="AC60" i="1"/>
  <c r="X52" i="1"/>
  <c r="AB43" i="1"/>
  <c r="AE40" i="1"/>
  <c r="Z35" i="1"/>
  <c r="AE32" i="1"/>
  <c r="Z27" i="1"/>
  <c r="AE24" i="1"/>
  <c r="Z19" i="1"/>
  <c r="AE16" i="1"/>
  <c r="AO11" i="1"/>
  <c r="W10" i="1"/>
  <c r="AR8" i="1"/>
  <c r="AQ7" i="1"/>
  <c r="AV6" i="1"/>
  <c r="F6" i="14"/>
  <c r="AG5" i="1"/>
  <c r="AQ4" i="1"/>
  <c r="AH3" i="1"/>
  <c r="H3" i="16" s="1"/>
  <c r="AF3" i="1"/>
  <c r="AI9" i="1"/>
  <c r="H9" i="27" s="1"/>
  <c r="AR3" i="1"/>
  <c r="AT16" i="1"/>
  <c r="AN101" i="1"/>
  <c r="AT45" i="1"/>
  <c r="AA43" i="1"/>
  <c r="AD40" i="1"/>
  <c r="AI37" i="1"/>
  <c r="Y35" i="1"/>
  <c r="AD32" i="1"/>
  <c r="AI29" i="1"/>
  <c r="Y27" i="1"/>
  <c r="AD24" i="1"/>
  <c r="AI21" i="1"/>
  <c r="Y19" i="1"/>
  <c r="AD16" i="1"/>
  <c r="AI13" i="1"/>
  <c r="H13" i="27" s="1"/>
  <c r="AH11" i="1"/>
  <c r="H11" i="16" s="1"/>
  <c r="V10" i="1"/>
  <c r="AL8" i="1"/>
  <c r="AP7" i="1"/>
  <c r="AT6" i="1"/>
  <c r="AF5" i="1"/>
  <c r="AO4" i="1"/>
  <c r="AO15" i="1"/>
  <c r="AI4" i="1"/>
  <c r="H4" i="27" s="1"/>
  <c r="AO27" i="1"/>
  <c r="AS45" i="1"/>
  <c r="AC40" i="1"/>
  <c r="AH37" i="1"/>
  <c r="AC32" i="1"/>
  <c r="AH29" i="1"/>
  <c r="AC24" i="1"/>
  <c r="AH21" i="1"/>
  <c r="AC16" i="1"/>
  <c r="AH13" i="1"/>
  <c r="H13" i="16" s="1"/>
  <c r="AE11" i="1"/>
  <c r="AJ8" i="1"/>
  <c r="AO7" i="1"/>
  <c r="AR6" i="1"/>
  <c r="AE5" i="1"/>
  <c r="AN4" i="1"/>
  <c r="AE3" i="1"/>
  <c r="AA5" i="1"/>
  <c r="W45" i="1"/>
  <c r="AT28" i="1"/>
  <c r="W18" i="1"/>
  <c r="AM6" i="1"/>
  <c r="AT24" i="1"/>
  <c r="A3" i="25"/>
  <c r="A4" i="25"/>
  <c r="A5" i="25"/>
  <c r="A6" i="25"/>
  <c r="A7" i="25"/>
  <c r="A8" i="25"/>
  <c r="A9" i="25"/>
  <c r="A10" i="25"/>
  <c r="A11" i="25"/>
  <c r="A12" i="25"/>
  <c r="A13" i="25"/>
  <c r="A14" i="25"/>
  <c r="A15" i="25"/>
  <c r="A16" i="25"/>
  <c r="A2" i="25"/>
  <c r="AW2" i="11"/>
  <c r="AY3" i="11"/>
  <c r="AY4" i="11"/>
  <c r="AY5" i="11"/>
  <c r="AY6" i="11"/>
  <c r="AY7" i="11"/>
  <c r="AY8" i="11"/>
  <c r="AY9" i="11"/>
  <c r="AY10" i="11"/>
  <c r="AY11" i="11"/>
  <c r="AY12" i="11"/>
  <c r="AY13" i="11"/>
  <c r="AY14" i="11"/>
  <c r="AY15" i="11"/>
  <c r="AY16" i="11"/>
  <c r="AY2" i="11"/>
  <c r="AW252" i="1" l="1"/>
  <c r="AW253" i="1"/>
  <c r="AW254" i="1"/>
  <c r="AW255" i="1"/>
  <c r="AW256" i="1"/>
  <c r="AW2" i="1"/>
  <c r="S3" i="24"/>
  <c r="T3" i="24"/>
  <c r="U3" i="24"/>
  <c r="V3" i="24"/>
  <c r="W3" i="24"/>
  <c r="X3" i="24"/>
  <c r="Y3" i="24"/>
  <c r="Z3" i="24"/>
  <c r="AA3" i="24"/>
  <c r="R3" i="24"/>
  <c r="G3" i="23"/>
  <c r="H3" i="23"/>
  <c r="I3" i="23"/>
  <c r="J3" i="23"/>
  <c r="K3" i="23"/>
  <c r="G4" i="23"/>
  <c r="H4" i="23"/>
  <c r="I4" i="23"/>
  <c r="J4" i="23"/>
  <c r="K4" i="23"/>
  <c r="G5" i="23"/>
  <c r="H5" i="23"/>
  <c r="I5" i="23"/>
  <c r="J5" i="23"/>
  <c r="K5" i="23"/>
  <c r="G6" i="23"/>
  <c r="H6" i="23"/>
  <c r="I6" i="23"/>
  <c r="J6" i="23"/>
  <c r="K6" i="23"/>
  <c r="G7" i="23"/>
  <c r="H7" i="23"/>
  <c r="I7" i="23"/>
  <c r="J7" i="23"/>
  <c r="K7" i="23"/>
  <c r="G8" i="23"/>
  <c r="H8" i="23"/>
  <c r="I8" i="23"/>
  <c r="J8" i="23"/>
  <c r="K8" i="23"/>
  <c r="G9" i="23"/>
  <c r="H9" i="23"/>
  <c r="I9" i="23"/>
  <c r="J9" i="23"/>
  <c r="K9" i="23"/>
  <c r="G10" i="23"/>
  <c r="H10" i="23"/>
  <c r="I10" i="23"/>
  <c r="J10" i="23"/>
  <c r="K10" i="23"/>
  <c r="G11" i="23"/>
  <c r="H11" i="23"/>
  <c r="I11" i="23"/>
  <c r="J11" i="23"/>
  <c r="K11" i="23"/>
  <c r="G12" i="23"/>
  <c r="H12" i="23"/>
  <c r="I12" i="23"/>
  <c r="J12" i="23"/>
  <c r="K12" i="23"/>
  <c r="G13" i="23"/>
  <c r="H13" i="23"/>
  <c r="I13" i="23"/>
  <c r="J13" i="23"/>
  <c r="K13" i="23"/>
  <c r="G14" i="23"/>
  <c r="H14" i="23"/>
  <c r="I14" i="23"/>
  <c r="J14" i="23"/>
  <c r="K14" i="23"/>
  <c r="G15" i="23"/>
  <c r="H15" i="23"/>
  <c r="I15" i="23"/>
  <c r="J15" i="23"/>
  <c r="K15" i="23"/>
  <c r="G16" i="23"/>
  <c r="H16" i="23"/>
  <c r="I16" i="23"/>
  <c r="J16" i="23"/>
  <c r="K16" i="23"/>
  <c r="K2" i="23"/>
  <c r="J2" i="23"/>
  <c r="I2" i="23"/>
  <c r="H2" i="23"/>
  <c r="G2" i="23"/>
  <c r="G3" i="22"/>
  <c r="H3" i="22"/>
  <c r="I3" i="22"/>
  <c r="J3" i="22"/>
  <c r="K3" i="22"/>
  <c r="G4" i="22"/>
  <c r="H4" i="22"/>
  <c r="I4" i="22"/>
  <c r="J4" i="22"/>
  <c r="K4" i="22"/>
  <c r="G5" i="22"/>
  <c r="H5" i="22"/>
  <c r="I5" i="22"/>
  <c r="J5" i="22"/>
  <c r="K5" i="22"/>
  <c r="G6" i="22"/>
  <c r="H6" i="22"/>
  <c r="I6" i="22"/>
  <c r="J6" i="22"/>
  <c r="K6" i="22"/>
  <c r="G7" i="22"/>
  <c r="H7" i="22"/>
  <c r="I7" i="22"/>
  <c r="J7" i="22"/>
  <c r="K7" i="22"/>
  <c r="G8" i="22"/>
  <c r="H8" i="22"/>
  <c r="I8" i="22"/>
  <c r="J8" i="22"/>
  <c r="K8" i="22"/>
  <c r="G9" i="22"/>
  <c r="H9" i="22"/>
  <c r="I9" i="22"/>
  <c r="J9" i="22"/>
  <c r="K9" i="22"/>
  <c r="G10" i="22"/>
  <c r="H10" i="22"/>
  <c r="I10" i="22"/>
  <c r="J10" i="22"/>
  <c r="K10" i="22"/>
  <c r="G11" i="22"/>
  <c r="H11" i="22"/>
  <c r="I11" i="22"/>
  <c r="J11" i="22"/>
  <c r="K11" i="22"/>
  <c r="G12" i="22"/>
  <c r="H12" i="22"/>
  <c r="I12" i="22"/>
  <c r="J12" i="22"/>
  <c r="K12" i="22"/>
  <c r="G13" i="22"/>
  <c r="H13" i="22"/>
  <c r="I13" i="22"/>
  <c r="J13" i="22"/>
  <c r="K13" i="22"/>
  <c r="G14" i="22"/>
  <c r="H14" i="22"/>
  <c r="I14" i="22"/>
  <c r="J14" i="22"/>
  <c r="K14" i="22"/>
  <c r="G15" i="22"/>
  <c r="H15" i="22"/>
  <c r="I15" i="22"/>
  <c r="J15" i="22"/>
  <c r="K15" i="22"/>
  <c r="G16" i="22"/>
  <c r="H16" i="22"/>
  <c r="I16" i="22"/>
  <c r="J16" i="22"/>
  <c r="K16" i="22"/>
  <c r="K2" i="22"/>
  <c r="J2" i="22"/>
  <c r="I2" i="22"/>
  <c r="H2" i="22"/>
  <c r="G2" i="22"/>
  <c r="I3" i="19"/>
  <c r="H3" i="19"/>
  <c r="G3" i="19"/>
  <c r="J3" i="19"/>
  <c r="K3" i="19"/>
  <c r="G4" i="19"/>
  <c r="H4" i="19"/>
  <c r="I4" i="19"/>
  <c r="J4" i="19"/>
  <c r="K4" i="19"/>
  <c r="G5" i="19"/>
  <c r="H5" i="19"/>
  <c r="I5" i="19"/>
  <c r="J5" i="19"/>
  <c r="K5" i="19"/>
  <c r="G6" i="19"/>
  <c r="H6" i="19"/>
  <c r="I6" i="19"/>
  <c r="J6" i="19"/>
  <c r="K6" i="19"/>
  <c r="G7" i="19"/>
  <c r="H7" i="19"/>
  <c r="I7" i="19"/>
  <c r="J7" i="19"/>
  <c r="K7" i="19"/>
  <c r="G8" i="19"/>
  <c r="H8" i="19"/>
  <c r="I8" i="19"/>
  <c r="J8" i="19"/>
  <c r="K8" i="19"/>
  <c r="G9" i="19"/>
  <c r="H9" i="19"/>
  <c r="I9" i="19"/>
  <c r="J9" i="19"/>
  <c r="K9" i="19"/>
  <c r="G10" i="19"/>
  <c r="H10" i="19"/>
  <c r="I10" i="19"/>
  <c r="J10" i="19"/>
  <c r="K10" i="19"/>
  <c r="G11" i="19"/>
  <c r="H11" i="19"/>
  <c r="I11" i="19"/>
  <c r="J11" i="19"/>
  <c r="K11" i="19"/>
  <c r="G12" i="19"/>
  <c r="H12" i="19"/>
  <c r="I12" i="19"/>
  <c r="J12" i="19"/>
  <c r="K12" i="19"/>
  <c r="G13" i="19"/>
  <c r="H13" i="19"/>
  <c r="I13" i="19"/>
  <c r="J13" i="19"/>
  <c r="K13" i="19"/>
  <c r="G14" i="19"/>
  <c r="H14" i="19"/>
  <c r="I14" i="19"/>
  <c r="J14" i="19"/>
  <c r="K14" i="19"/>
  <c r="G15" i="19"/>
  <c r="H15" i="19"/>
  <c r="I15" i="19"/>
  <c r="J15" i="19"/>
  <c r="K15" i="19"/>
  <c r="G16" i="19"/>
  <c r="H16" i="19"/>
  <c r="I16" i="19"/>
  <c r="J16" i="19"/>
  <c r="K16" i="19"/>
  <c r="J2" i="19"/>
  <c r="I2" i="19"/>
  <c r="H2" i="19"/>
  <c r="G2" i="19"/>
  <c r="I3" i="8" l="1"/>
  <c r="I4" i="8"/>
  <c r="I5" i="8"/>
  <c r="I6" i="8"/>
  <c r="I7" i="8"/>
  <c r="I8" i="8"/>
  <c r="I9" i="8"/>
  <c r="I10" i="8"/>
  <c r="I11" i="8"/>
  <c r="I12" i="8"/>
  <c r="I13" i="8"/>
  <c r="I14" i="8"/>
  <c r="I15" i="8"/>
  <c r="I16" i="8"/>
  <c r="I2" i="8"/>
  <c r="Q3" i="24" l="1" a="1"/>
  <c r="Q3" i="24" s="1"/>
  <c r="AI3" i="4"/>
  <c r="AI4" i="4"/>
  <c r="AI5" i="4"/>
  <c r="AI6" i="4"/>
  <c r="AI7" i="4"/>
  <c r="AI8" i="4"/>
  <c r="AI9" i="4"/>
  <c r="AI10" i="4"/>
  <c r="AI11" i="4"/>
  <c r="AI12" i="4"/>
  <c r="AI13" i="4"/>
  <c r="AI14" i="4"/>
  <c r="AI15" i="4"/>
  <c r="AI16" i="4"/>
  <c r="AI2" i="4"/>
  <c r="I3" i="5"/>
  <c r="I4" i="5"/>
  <c r="I5" i="5"/>
  <c r="I6" i="5"/>
  <c r="I7" i="5"/>
  <c r="I8" i="5"/>
  <c r="I9" i="5"/>
  <c r="I10" i="5"/>
  <c r="I11" i="5"/>
  <c r="I12" i="5"/>
  <c r="I13" i="5"/>
  <c r="I14" i="5"/>
  <c r="I15" i="5"/>
  <c r="I16" i="5"/>
  <c r="I2" i="5"/>
  <c r="S252" i="1"/>
  <c r="S253" i="1"/>
  <c r="S254" i="1"/>
  <c r="S255" i="1"/>
  <c r="S256" i="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 i="2"/>
  <c r="A3" i="21"/>
  <c r="N3" i="23" s="1"/>
  <c r="B3" i="21"/>
  <c r="D3" i="21" s="1"/>
  <c r="C3" i="21"/>
  <c r="A4" i="21"/>
  <c r="N4" i="23" s="1"/>
  <c r="B4" i="21"/>
  <c r="D4" i="21" s="1"/>
  <c r="C4" i="21"/>
  <c r="A5" i="21"/>
  <c r="B5" i="21"/>
  <c r="D5" i="21" s="1"/>
  <c r="C5" i="21"/>
  <c r="A6" i="21"/>
  <c r="H6" i="21" s="1"/>
  <c r="B6" i="21"/>
  <c r="D6" i="21" s="1"/>
  <c r="C6" i="21"/>
  <c r="A7" i="21"/>
  <c r="N7" i="23" s="1"/>
  <c r="B7" i="21"/>
  <c r="D7" i="21" s="1"/>
  <c r="C7" i="21"/>
  <c r="A8" i="21"/>
  <c r="H8" i="21" s="1"/>
  <c r="B8" i="21"/>
  <c r="D8" i="21" s="1"/>
  <c r="C8" i="21"/>
  <c r="A9" i="21"/>
  <c r="B9" i="21"/>
  <c r="D9" i="21" s="1"/>
  <c r="C9" i="21"/>
  <c r="A10" i="21"/>
  <c r="N10" i="23" s="1"/>
  <c r="B10" i="21"/>
  <c r="D10" i="21" s="1"/>
  <c r="C10" i="21"/>
  <c r="A11" i="21"/>
  <c r="B11" i="21"/>
  <c r="D11" i="21" s="1"/>
  <c r="C11" i="21"/>
  <c r="A12" i="21"/>
  <c r="N12" i="23" s="1"/>
  <c r="B12" i="21"/>
  <c r="D12" i="21" s="1"/>
  <c r="C12" i="21"/>
  <c r="A13" i="21"/>
  <c r="N13" i="23" s="1"/>
  <c r="B13" i="21"/>
  <c r="D13" i="21" s="1"/>
  <c r="C13" i="21"/>
  <c r="A14" i="21"/>
  <c r="N14" i="23" s="1"/>
  <c r="B14" i="21"/>
  <c r="D14" i="21" s="1"/>
  <c r="C14" i="21"/>
  <c r="A15" i="21"/>
  <c r="B15" i="21"/>
  <c r="D15" i="21" s="1"/>
  <c r="C15" i="21"/>
  <c r="A16" i="21"/>
  <c r="H16" i="21" s="1"/>
  <c r="B16" i="21"/>
  <c r="D16" i="21" s="1"/>
  <c r="C16" i="21"/>
  <c r="A17" i="21"/>
  <c r="B17" i="21"/>
  <c r="D17" i="21" s="1"/>
  <c r="C17" i="21"/>
  <c r="A18" i="21"/>
  <c r="B18" i="21"/>
  <c r="D18" i="21" s="1"/>
  <c r="C18" i="21"/>
  <c r="A19" i="21"/>
  <c r="B19" i="21"/>
  <c r="D19" i="21" s="1"/>
  <c r="C19" i="21"/>
  <c r="A20" i="21"/>
  <c r="B20" i="21"/>
  <c r="D20" i="21" s="1"/>
  <c r="C20" i="21"/>
  <c r="A21" i="21"/>
  <c r="B21" i="21"/>
  <c r="D21" i="21" s="1"/>
  <c r="C21" i="21"/>
  <c r="A22" i="21"/>
  <c r="B22" i="21"/>
  <c r="D22" i="21" s="1"/>
  <c r="C22" i="21"/>
  <c r="A23" i="21"/>
  <c r="B23" i="21"/>
  <c r="D23" i="21" s="1"/>
  <c r="C23" i="21"/>
  <c r="A24" i="21"/>
  <c r="B24" i="21"/>
  <c r="D24" i="21" s="1"/>
  <c r="C24" i="21"/>
  <c r="A25" i="21"/>
  <c r="B25" i="21"/>
  <c r="D25" i="21" s="1"/>
  <c r="C25" i="21"/>
  <c r="A26" i="21"/>
  <c r="B26" i="21"/>
  <c r="D26" i="21" s="1"/>
  <c r="C26" i="21"/>
  <c r="A27" i="21"/>
  <c r="B27" i="21"/>
  <c r="D27" i="21" s="1"/>
  <c r="C27" i="21"/>
  <c r="A28" i="21"/>
  <c r="H28" i="21" s="1"/>
  <c r="B28" i="21"/>
  <c r="D28" i="21" s="1"/>
  <c r="C28" i="21"/>
  <c r="A29" i="21"/>
  <c r="B29" i="21"/>
  <c r="D29" i="21" s="1"/>
  <c r="C29" i="21"/>
  <c r="A30" i="21"/>
  <c r="H30" i="21" s="1"/>
  <c r="B30" i="21"/>
  <c r="D30" i="21" s="1"/>
  <c r="C30" i="21"/>
  <c r="A31" i="21"/>
  <c r="B31" i="21"/>
  <c r="D31" i="21" s="1"/>
  <c r="C31" i="21"/>
  <c r="A32" i="21"/>
  <c r="B32" i="21"/>
  <c r="D32" i="21" s="1"/>
  <c r="C32" i="21"/>
  <c r="A33" i="21"/>
  <c r="B33" i="21"/>
  <c r="D33" i="21" s="1"/>
  <c r="C33" i="21"/>
  <c r="A34" i="21"/>
  <c r="H34" i="21" s="1"/>
  <c r="B34" i="21"/>
  <c r="D34" i="21" s="1"/>
  <c r="C34" i="21"/>
  <c r="A35" i="21"/>
  <c r="B35" i="21"/>
  <c r="D35" i="21" s="1"/>
  <c r="C35" i="21"/>
  <c r="A36" i="21"/>
  <c r="B36" i="21"/>
  <c r="D36" i="21" s="1"/>
  <c r="C36" i="21"/>
  <c r="A37" i="21"/>
  <c r="B37" i="21"/>
  <c r="D37" i="21" s="1"/>
  <c r="C37" i="21"/>
  <c r="A38" i="21"/>
  <c r="B38" i="21"/>
  <c r="D38" i="21" s="1"/>
  <c r="C38" i="21"/>
  <c r="A39" i="21"/>
  <c r="B39" i="21"/>
  <c r="D39" i="21" s="1"/>
  <c r="C39" i="21"/>
  <c r="A40" i="21"/>
  <c r="B40" i="21"/>
  <c r="D40" i="21" s="1"/>
  <c r="C40" i="21"/>
  <c r="A41" i="21"/>
  <c r="B41" i="21"/>
  <c r="D41" i="21" s="1"/>
  <c r="C41" i="21"/>
  <c r="A42" i="21"/>
  <c r="B42" i="21"/>
  <c r="D42" i="21" s="1"/>
  <c r="C42" i="21"/>
  <c r="A43" i="21"/>
  <c r="B43" i="21"/>
  <c r="D43" i="21" s="1"/>
  <c r="C43" i="21"/>
  <c r="A44" i="21"/>
  <c r="B44" i="21"/>
  <c r="D44" i="21" s="1"/>
  <c r="C44" i="21"/>
  <c r="A45" i="21"/>
  <c r="B45" i="21"/>
  <c r="D45" i="21" s="1"/>
  <c r="C45" i="21"/>
  <c r="A46" i="21"/>
  <c r="H46" i="21" s="1"/>
  <c r="B46" i="21"/>
  <c r="D46" i="21" s="1"/>
  <c r="C46" i="21"/>
  <c r="A47" i="21"/>
  <c r="B47" i="21"/>
  <c r="D47" i="21" s="1"/>
  <c r="C47" i="21"/>
  <c r="A48" i="21"/>
  <c r="B48" i="21"/>
  <c r="D48" i="21" s="1"/>
  <c r="C48" i="21"/>
  <c r="A49" i="21"/>
  <c r="B49" i="21"/>
  <c r="D49" i="21" s="1"/>
  <c r="C49" i="21"/>
  <c r="A50" i="21"/>
  <c r="B50" i="21"/>
  <c r="D50" i="21" s="1"/>
  <c r="C50" i="21"/>
  <c r="A51" i="21"/>
  <c r="B51" i="21"/>
  <c r="D51" i="21" s="1"/>
  <c r="C51" i="21"/>
  <c r="A52" i="21"/>
  <c r="B52" i="21"/>
  <c r="D52" i="21" s="1"/>
  <c r="C52" i="21"/>
  <c r="A53" i="21"/>
  <c r="B53" i="21"/>
  <c r="D53" i="21" s="1"/>
  <c r="C53" i="21"/>
  <c r="A54" i="21"/>
  <c r="H54" i="21" s="1"/>
  <c r="B54" i="21"/>
  <c r="D54" i="21" s="1"/>
  <c r="C54" i="21"/>
  <c r="A55" i="21"/>
  <c r="B55" i="21"/>
  <c r="D55" i="21" s="1"/>
  <c r="C55" i="21"/>
  <c r="A56" i="21"/>
  <c r="B56" i="21"/>
  <c r="D56" i="21" s="1"/>
  <c r="C56" i="21"/>
  <c r="A57" i="21"/>
  <c r="B57" i="21"/>
  <c r="D57" i="21" s="1"/>
  <c r="C57" i="21"/>
  <c r="A58" i="21"/>
  <c r="B58" i="21"/>
  <c r="D58" i="21" s="1"/>
  <c r="C58" i="21"/>
  <c r="A59" i="21"/>
  <c r="B59" i="21"/>
  <c r="D59" i="21" s="1"/>
  <c r="C59" i="21"/>
  <c r="A60" i="21"/>
  <c r="B60" i="21"/>
  <c r="D60" i="21" s="1"/>
  <c r="C60" i="21"/>
  <c r="A61" i="21"/>
  <c r="B61" i="21"/>
  <c r="D61" i="21" s="1"/>
  <c r="C61" i="21"/>
  <c r="A62" i="21"/>
  <c r="H62" i="21" s="1"/>
  <c r="B62" i="21"/>
  <c r="D62" i="21" s="1"/>
  <c r="C62" i="21"/>
  <c r="A63" i="21"/>
  <c r="B63" i="21"/>
  <c r="D63" i="21" s="1"/>
  <c r="C63" i="21"/>
  <c r="A64" i="21"/>
  <c r="B64" i="21"/>
  <c r="D64" i="21" s="1"/>
  <c r="C64" i="21"/>
  <c r="A65" i="21"/>
  <c r="B65" i="21"/>
  <c r="D65" i="21" s="1"/>
  <c r="C65" i="21"/>
  <c r="A66" i="21"/>
  <c r="H66" i="21" s="1"/>
  <c r="B66" i="21"/>
  <c r="D66" i="21" s="1"/>
  <c r="C66" i="21"/>
  <c r="A67" i="21"/>
  <c r="B67" i="21"/>
  <c r="D67" i="21" s="1"/>
  <c r="C67" i="21"/>
  <c r="A68" i="21"/>
  <c r="B68" i="21"/>
  <c r="D68" i="21" s="1"/>
  <c r="C68" i="21"/>
  <c r="A69" i="21"/>
  <c r="B69" i="21"/>
  <c r="D69" i="21" s="1"/>
  <c r="C69" i="21"/>
  <c r="A70" i="21"/>
  <c r="B70" i="21"/>
  <c r="D70" i="21" s="1"/>
  <c r="C70" i="21"/>
  <c r="A71" i="21"/>
  <c r="B71" i="21"/>
  <c r="D71" i="21" s="1"/>
  <c r="C71" i="21"/>
  <c r="A72" i="21"/>
  <c r="B72" i="21"/>
  <c r="D72" i="21" s="1"/>
  <c r="C72" i="21"/>
  <c r="A73" i="21"/>
  <c r="B73" i="21"/>
  <c r="D73" i="21" s="1"/>
  <c r="C73" i="21"/>
  <c r="A74" i="21"/>
  <c r="B74" i="21"/>
  <c r="D74" i="21" s="1"/>
  <c r="C74" i="21"/>
  <c r="A75" i="21"/>
  <c r="B75" i="21"/>
  <c r="D75" i="21" s="1"/>
  <c r="C75" i="21"/>
  <c r="A76" i="21"/>
  <c r="H76" i="21" s="1"/>
  <c r="B76" i="21"/>
  <c r="D76" i="21" s="1"/>
  <c r="C76" i="21"/>
  <c r="A77" i="21"/>
  <c r="B77" i="21"/>
  <c r="D77" i="21" s="1"/>
  <c r="C77" i="21"/>
  <c r="A78" i="21"/>
  <c r="H78" i="21" s="1"/>
  <c r="B78" i="21"/>
  <c r="D78" i="21" s="1"/>
  <c r="C78" i="21"/>
  <c r="A79" i="21"/>
  <c r="B79" i="21"/>
  <c r="D79" i="21" s="1"/>
  <c r="C79" i="21"/>
  <c r="A80" i="21"/>
  <c r="B80" i="21"/>
  <c r="D80" i="21" s="1"/>
  <c r="C80" i="21"/>
  <c r="A81" i="21"/>
  <c r="B81" i="21"/>
  <c r="D81" i="21" s="1"/>
  <c r="C81" i="21"/>
  <c r="A82" i="21"/>
  <c r="H82" i="21" s="1"/>
  <c r="B82" i="21"/>
  <c r="D82" i="21" s="1"/>
  <c r="C82" i="21"/>
  <c r="A83" i="21"/>
  <c r="B83" i="21"/>
  <c r="D83" i="21" s="1"/>
  <c r="C83" i="21"/>
  <c r="A84" i="21"/>
  <c r="B84" i="21"/>
  <c r="D84" i="21" s="1"/>
  <c r="C84" i="21"/>
  <c r="A85" i="21"/>
  <c r="B85" i="21"/>
  <c r="D85" i="21" s="1"/>
  <c r="C85" i="21"/>
  <c r="A86" i="21"/>
  <c r="B86" i="21"/>
  <c r="D86" i="21" s="1"/>
  <c r="C86" i="21"/>
  <c r="A87" i="21"/>
  <c r="B87" i="21"/>
  <c r="D87" i="21" s="1"/>
  <c r="C87" i="21"/>
  <c r="A88" i="21"/>
  <c r="B88" i="21"/>
  <c r="D88" i="21" s="1"/>
  <c r="C88" i="21"/>
  <c r="A89" i="21"/>
  <c r="B89" i="21"/>
  <c r="D89" i="21" s="1"/>
  <c r="C89" i="21"/>
  <c r="A90" i="21"/>
  <c r="H90" i="21" s="1"/>
  <c r="B90" i="21"/>
  <c r="D90" i="21" s="1"/>
  <c r="C90" i="21"/>
  <c r="A91" i="21"/>
  <c r="B91" i="21"/>
  <c r="D91" i="21" s="1"/>
  <c r="C91" i="21"/>
  <c r="A92" i="21"/>
  <c r="B92" i="21"/>
  <c r="D92" i="21" s="1"/>
  <c r="C92" i="21"/>
  <c r="A93" i="21"/>
  <c r="B93" i="21"/>
  <c r="D93" i="21" s="1"/>
  <c r="C93" i="21"/>
  <c r="A94" i="21"/>
  <c r="B94" i="21"/>
  <c r="D94" i="21" s="1"/>
  <c r="C94" i="21"/>
  <c r="A95" i="21"/>
  <c r="B95" i="21"/>
  <c r="D95" i="21" s="1"/>
  <c r="C95" i="21"/>
  <c r="A96" i="21"/>
  <c r="B96" i="21"/>
  <c r="D96" i="21" s="1"/>
  <c r="C96" i="21"/>
  <c r="A97" i="21"/>
  <c r="B97" i="21"/>
  <c r="D97" i="21" s="1"/>
  <c r="C97" i="21"/>
  <c r="A98" i="21"/>
  <c r="H98" i="21" s="1"/>
  <c r="B98" i="21"/>
  <c r="D98" i="21" s="1"/>
  <c r="C98" i="21"/>
  <c r="A99" i="21"/>
  <c r="B99" i="21"/>
  <c r="D99" i="21" s="1"/>
  <c r="C99" i="21"/>
  <c r="A100" i="21"/>
  <c r="B100" i="21"/>
  <c r="D100" i="21" s="1"/>
  <c r="C100" i="21"/>
  <c r="A101" i="21"/>
  <c r="B101" i="21"/>
  <c r="D101" i="21" s="1"/>
  <c r="C101" i="21"/>
  <c r="A102" i="21"/>
  <c r="B102" i="21"/>
  <c r="D102" i="21" s="1"/>
  <c r="C102" i="21"/>
  <c r="A103" i="21"/>
  <c r="B103" i="21"/>
  <c r="D103" i="21" s="1"/>
  <c r="C103" i="21"/>
  <c r="A104" i="21"/>
  <c r="H104" i="21" s="1"/>
  <c r="B104" i="21"/>
  <c r="D104" i="21" s="1"/>
  <c r="C104" i="21"/>
  <c r="A105" i="21"/>
  <c r="B105" i="21"/>
  <c r="D105" i="21" s="1"/>
  <c r="C105" i="21"/>
  <c r="A106" i="21"/>
  <c r="H106" i="21" s="1"/>
  <c r="B106" i="21"/>
  <c r="D106" i="21" s="1"/>
  <c r="C106" i="21"/>
  <c r="A107" i="21"/>
  <c r="B107" i="21"/>
  <c r="D107" i="21" s="1"/>
  <c r="C107" i="21"/>
  <c r="A108" i="21"/>
  <c r="H108" i="21" s="1"/>
  <c r="B108" i="21"/>
  <c r="D108" i="21" s="1"/>
  <c r="C108" i="21"/>
  <c r="A109" i="21"/>
  <c r="B109" i="21"/>
  <c r="D109" i="21" s="1"/>
  <c r="C109" i="21"/>
  <c r="A110" i="21"/>
  <c r="B110" i="21"/>
  <c r="D110" i="21" s="1"/>
  <c r="C110" i="21"/>
  <c r="A111" i="21"/>
  <c r="B111" i="21"/>
  <c r="D111" i="21" s="1"/>
  <c r="C111" i="21"/>
  <c r="A112" i="21"/>
  <c r="H112" i="21" s="1"/>
  <c r="B112" i="21"/>
  <c r="D112" i="21" s="1"/>
  <c r="C112" i="21"/>
  <c r="A113" i="21"/>
  <c r="B113" i="21"/>
  <c r="D113" i="21" s="1"/>
  <c r="C113" i="21"/>
  <c r="A114" i="21"/>
  <c r="H114" i="21" s="1"/>
  <c r="B114" i="21"/>
  <c r="C114" i="21"/>
  <c r="A115" i="21"/>
  <c r="B115" i="21"/>
  <c r="D115" i="21" s="1"/>
  <c r="C115" i="21"/>
  <c r="A116" i="21"/>
  <c r="B116" i="21"/>
  <c r="D116" i="21" s="1"/>
  <c r="C116" i="21"/>
  <c r="A117" i="21"/>
  <c r="B117" i="21"/>
  <c r="D117" i="21" s="1"/>
  <c r="C117" i="21"/>
  <c r="A118" i="21"/>
  <c r="H118" i="21" s="1"/>
  <c r="B118" i="21"/>
  <c r="D118" i="21" s="1"/>
  <c r="C118" i="21"/>
  <c r="A119" i="21"/>
  <c r="B119" i="21"/>
  <c r="D119" i="21" s="1"/>
  <c r="C119" i="21"/>
  <c r="A120" i="21"/>
  <c r="B120" i="21"/>
  <c r="D120" i="21" s="1"/>
  <c r="C120" i="21"/>
  <c r="A121" i="21"/>
  <c r="B121" i="21"/>
  <c r="D121" i="21" s="1"/>
  <c r="C121" i="21"/>
  <c r="A122" i="21"/>
  <c r="B122" i="21"/>
  <c r="D122" i="21" s="1"/>
  <c r="C122" i="21"/>
  <c r="A123" i="21"/>
  <c r="B123" i="21"/>
  <c r="D123" i="21" s="1"/>
  <c r="C123" i="21"/>
  <c r="A124" i="21"/>
  <c r="B124" i="21"/>
  <c r="D124" i="21" s="1"/>
  <c r="C124" i="21"/>
  <c r="A125" i="21"/>
  <c r="B125" i="21"/>
  <c r="D125" i="21" s="1"/>
  <c r="C125" i="21"/>
  <c r="A126" i="21"/>
  <c r="H126" i="21" s="1"/>
  <c r="B126" i="21"/>
  <c r="D126" i="21" s="1"/>
  <c r="C126" i="21"/>
  <c r="A127" i="21"/>
  <c r="B127" i="21"/>
  <c r="D127" i="21" s="1"/>
  <c r="C127" i="21"/>
  <c r="A128" i="21"/>
  <c r="B128" i="21"/>
  <c r="D128" i="21" s="1"/>
  <c r="C128" i="21"/>
  <c r="A129" i="21"/>
  <c r="B129" i="21"/>
  <c r="D129" i="21" s="1"/>
  <c r="C129" i="21"/>
  <c r="A130" i="21"/>
  <c r="B130" i="21"/>
  <c r="D130" i="21" s="1"/>
  <c r="C130" i="21"/>
  <c r="A131" i="21"/>
  <c r="B131" i="21"/>
  <c r="D131" i="21" s="1"/>
  <c r="C131" i="21"/>
  <c r="A132" i="21"/>
  <c r="B132" i="21"/>
  <c r="D132" i="21" s="1"/>
  <c r="C132" i="21"/>
  <c r="A133" i="21"/>
  <c r="B133" i="21"/>
  <c r="D133" i="21" s="1"/>
  <c r="C133" i="21"/>
  <c r="A134" i="21"/>
  <c r="B134" i="21"/>
  <c r="D134" i="21" s="1"/>
  <c r="C134" i="21"/>
  <c r="A135" i="21"/>
  <c r="B135" i="21"/>
  <c r="D135" i="21" s="1"/>
  <c r="C135" i="21"/>
  <c r="A136" i="21"/>
  <c r="B136" i="21"/>
  <c r="D136" i="21" s="1"/>
  <c r="C136" i="21"/>
  <c r="A137" i="21"/>
  <c r="B137" i="21"/>
  <c r="D137" i="21" s="1"/>
  <c r="C137" i="21"/>
  <c r="A138" i="21"/>
  <c r="B138" i="21"/>
  <c r="D138" i="21" s="1"/>
  <c r="C138" i="21"/>
  <c r="A139" i="21"/>
  <c r="B139" i="21"/>
  <c r="D139" i="21" s="1"/>
  <c r="C139" i="21"/>
  <c r="A140" i="21"/>
  <c r="B140" i="21"/>
  <c r="D140" i="21" s="1"/>
  <c r="C140" i="21"/>
  <c r="A141" i="21"/>
  <c r="B141" i="21"/>
  <c r="D141" i="21" s="1"/>
  <c r="C141" i="21"/>
  <c r="A142" i="21"/>
  <c r="B142" i="21"/>
  <c r="D142" i="21" s="1"/>
  <c r="C142" i="21"/>
  <c r="A143" i="21"/>
  <c r="B143" i="21"/>
  <c r="D143" i="21" s="1"/>
  <c r="C143" i="21"/>
  <c r="A144" i="21"/>
  <c r="B144" i="21"/>
  <c r="D144" i="21" s="1"/>
  <c r="C144" i="21"/>
  <c r="A145" i="21"/>
  <c r="B145" i="21"/>
  <c r="D145" i="21" s="1"/>
  <c r="C145" i="21"/>
  <c r="A146" i="21"/>
  <c r="H146" i="21" s="1"/>
  <c r="B146" i="21"/>
  <c r="D146" i="21" s="1"/>
  <c r="C146" i="21"/>
  <c r="A147" i="21"/>
  <c r="B147" i="21"/>
  <c r="D147" i="21" s="1"/>
  <c r="C147" i="21"/>
  <c r="A148" i="21"/>
  <c r="H148" i="21" s="1"/>
  <c r="B148" i="21"/>
  <c r="D148" i="21" s="1"/>
  <c r="C148" i="21"/>
  <c r="A149" i="21"/>
  <c r="B149" i="21"/>
  <c r="D149" i="21" s="1"/>
  <c r="C149" i="21"/>
  <c r="A150" i="21"/>
  <c r="B150" i="21"/>
  <c r="D150" i="21" s="1"/>
  <c r="C150" i="21"/>
  <c r="A151" i="21"/>
  <c r="B151" i="21"/>
  <c r="D151" i="21" s="1"/>
  <c r="C151" i="21"/>
  <c r="A152" i="21"/>
  <c r="B152" i="21"/>
  <c r="D152" i="21" s="1"/>
  <c r="C152" i="21"/>
  <c r="A153" i="21"/>
  <c r="B153" i="21"/>
  <c r="D153" i="21" s="1"/>
  <c r="C153" i="21"/>
  <c r="A154" i="21"/>
  <c r="B154" i="21"/>
  <c r="D154" i="21" s="1"/>
  <c r="C154" i="21"/>
  <c r="A155" i="21"/>
  <c r="B155" i="21"/>
  <c r="D155" i="21" s="1"/>
  <c r="C155" i="21"/>
  <c r="A156" i="21"/>
  <c r="B156" i="21"/>
  <c r="D156" i="21" s="1"/>
  <c r="C156" i="21"/>
  <c r="A157" i="21"/>
  <c r="B157" i="21"/>
  <c r="D157" i="21" s="1"/>
  <c r="C157" i="21"/>
  <c r="A158" i="21"/>
  <c r="H158" i="21" s="1"/>
  <c r="B158" i="21"/>
  <c r="D158" i="21" s="1"/>
  <c r="C158" i="21"/>
  <c r="A159" i="21"/>
  <c r="B159" i="21"/>
  <c r="D159" i="21" s="1"/>
  <c r="C159" i="21"/>
  <c r="A160" i="21"/>
  <c r="B160" i="21"/>
  <c r="D160" i="21" s="1"/>
  <c r="C160" i="21"/>
  <c r="A161" i="21"/>
  <c r="B161" i="21"/>
  <c r="D161" i="21" s="1"/>
  <c r="C161" i="21"/>
  <c r="A162" i="21"/>
  <c r="B162" i="21"/>
  <c r="D162" i="21" s="1"/>
  <c r="C162" i="21"/>
  <c r="A163" i="21"/>
  <c r="B163" i="21"/>
  <c r="D163" i="21" s="1"/>
  <c r="C163" i="21"/>
  <c r="A164" i="21"/>
  <c r="B164" i="21"/>
  <c r="D164" i="21" s="1"/>
  <c r="C164" i="21"/>
  <c r="A165" i="21"/>
  <c r="B165" i="21"/>
  <c r="D165" i="21" s="1"/>
  <c r="C165" i="21"/>
  <c r="A166" i="21"/>
  <c r="B166" i="21"/>
  <c r="D166" i="21" s="1"/>
  <c r="C166" i="21"/>
  <c r="A167" i="21"/>
  <c r="B167" i="21"/>
  <c r="D167" i="21" s="1"/>
  <c r="C167" i="21"/>
  <c r="A168" i="21"/>
  <c r="B168" i="21"/>
  <c r="D168" i="21" s="1"/>
  <c r="C168" i="21"/>
  <c r="A169" i="21"/>
  <c r="B169" i="21"/>
  <c r="D169" i="21" s="1"/>
  <c r="C169" i="21"/>
  <c r="A170" i="21"/>
  <c r="H170" i="21" s="1"/>
  <c r="B170" i="21"/>
  <c r="D170" i="21" s="1"/>
  <c r="C170" i="21"/>
  <c r="A171" i="21"/>
  <c r="B171" i="21"/>
  <c r="D171" i="21" s="1"/>
  <c r="C171" i="21"/>
  <c r="A172" i="21"/>
  <c r="H172" i="21" s="1"/>
  <c r="B172" i="21"/>
  <c r="D172" i="21" s="1"/>
  <c r="C172" i="21"/>
  <c r="A173" i="21"/>
  <c r="B173" i="21"/>
  <c r="D173" i="21" s="1"/>
  <c r="C173" i="21"/>
  <c r="A174" i="21"/>
  <c r="B174" i="21"/>
  <c r="D174" i="21" s="1"/>
  <c r="C174" i="21"/>
  <c r="A175" i="21"/>
  <c r="B175" i="21"/>
  <c r="D175" i="21" s="1"/>
  <c r="C175" i="21"/>
  <c r="A176" i="21"/>
  <c r="B176" i="21"/>
  <c r="D176" i="21" s="1"/>
  <c r="C176" i="21"/>
  <c r="A177" i="21"/>
  <c r="B177" i="21"/>
  <c r="D177" i="21" s="1"/>
  <c r="C177" i="21"/>
  <c r="A178" i="21"/>
  <c r="H178" i="21" s="1"/>
  <c r="B178" i="21"/>
  <c r="D178" i="21" s="1"/>
  <c r="C178" i="21"/>
  <c r="A179" i="21"/>
  <c r="B179" i="21"/>
  <c r="D179" i="21" s="1"/>
  <c r="C179" i="21"/>
  <c r="A180" i="21"/>
  <c r="B180" i="21"/>
  <c r="D180" i="21" s="1"/>
  <c r="C180" i="21"/>
  <c r="A181" i="21"/>
  <c r="B181" i="21"/>
  <c r="D181" i="21" s="1"/>
  <c r="C181" i="21"/>
  <c r="A182" i="21"/>
  <c r="B182" i="21"/>
  <c r="D182" i="21" s="1"/>
  <c r="C182" i="21"/>
  <c r="A183" i="21"/>
  <c r="B183" i="21"/>
  <c r="D183" i="21" s="1"/>
  <c r="C183" i="21"/>
  <c r="A184" i="21"/>
  <c r="H184" i="21" s="1"/>
  <c r="B184" i="21"/>
  <c r="D184" i="21" s="1"/>
  <c r="C184" i="21"/>
  <c r="A185" i="21"/>
  <c r="B185" i="21"/>
  <c r="D185" i="21" s="1"/>
  <c r="C185" i="21"/>
  <c r="A186" i="21"/>
  <c r="B186" i="21"/>
  <c r="D186" i="21" s="1"/>
  <c r="C186" i="21"/>
  <c r="A187" i="21"/>
  <c r="B187" i="21"/>
  <c r="D187" i="21" s="1"/>
  <c r="C187" i="21"/>
  <c r="A188" i="21"/>
  <c r="B188" i="21"/>
  <c r="D188" i="21" s="1"/>
  <c r="C188" i="21"/>
  <c r="A189" i="21"/>
  <c r="B189" i="21"/>
  <c r="D189" i="21" s="1"/>
  <c r="C189" i="21"/>
  <c r="A190" i="21"/>
  <c r="H190" i="21" s="1"/>
  <c r="B190" i="21"/>
  <c r="D190" i="21" s="1"/>
  <c r="C190" i="21"/>
  <c r="A191" i="21"/>
  <c r="B191" i="21"/>
  <c r="D191" i="21" s="1"/>
  <c r="C191" i="21"/>
  <c r="A192" i="21"/>
  <c r="H192" i="21" s="1"/>
  <c r="B192" i="21"/>
  <c r="D192" i="21" s="1"/>
  <c r="C192" i="21"/>
  <c r="A193" i="21"/>
  <c r="B193" i="21"/>
  <c r="D193" i="21" s="1"/>
  <c r="C193" i="21"/>
  <c r="A194" i="21"/>
  <c r="B194" i="21"/>
  <c r="D194" i="21" s="1"/>
  <c r="C194" i="21"/>
  <c r="A195" i="21"/>
  <c r="B195" i="21"/>
  <c r="D195" i="21" s="1"/>
  <c r="C195" i="21"/>
  <c r="A196" i="21"/>
  <c r="B196" i="21"/>
  <c r="D196" i="21" s="1"/>
  <c r="C196" i="21"/>
  <c r="A197" i="21"/>
  <c r="B197" i="21"/>
  <c r="D197" i="21" s="1"/>
  <c r="C197" i="21"/>
  <c r="A198" i="21"/>
  <c r="B198" i="21"/>
  <c r="D198" i="21" s="1"/>
  <c r="C198" i="21"/>
  <c r="A199" i="21"/>
  <c r="B199" i="21"/>
  <c r="D199" i="21" s="1"/>
  <c r="C199" i="21"/>
  <c r="A200" i="21"/>
  <c r="H200" i="21" s="1"/>
  <c r="B200" i="21"/>
  <c r="D200" i="21" s="1"/>
  <c r="C200" i="21"/>
  <c r="A201" i="21"/>
  <c r="B201" i="21"/>
  <c r="D201" i="21" s="1"/>
  <c r="C201" i="21"/>
  <c r="A202" i="21"/>
  <c r="H202" i="21" s="1"/>
  <c r="B202" i="21"/>
  <c r="D202" i="21" s="1"/>
  <c r="C202" i="21"/>
  <c r="A203" i="21"/>
  <c r="B203" i="21"/>
  <c r="D203" i="21" s="1"/>
  <c r="C203" i="21"/>
  <c r="A204" i="21"/>
  <c r="H204" i="21" s="1"/>
  <c r="B204" i="21"/>
  <c r="D204" i="21" s="1"/>
  <c r="C204" i="21"/>
  <c r="A205" i="21"/>
  <c r="B205" i="21"/>
  <c r="D205" i="21" s="1"/>
  <c r="C205" i="21"/>
  <c r="A206" i="21"/>
  <c r="B206" i="21"/>
  <c r="D206" i="21" s="1"/>
  <c r="C206" i="21"/>
  <c r="A207" i="21"/>
  <c r="B207" i="21"/>
  <c r="D207" i="21" s="1"/>
  <c r="C207" i="21"/>
  <c r="A208" i="21"/>
  <c r="H208" i="21" s="1"/>
  <c r="B208" i="21"/>
  <c r="D208" i="21" s="1"/>
  <c r="C208" i="21"/>
  <c r="A209" i="21"/>
  <c r="B209" i="21"/>
  <c r="D209" i="21" s="1"/>
  <c r="C209" i="21"/>
  <c r="A210" i="21"/>
  <c r="H210" i="21" s="1"/>
  <c r="B210" i="21"/>
  <c r="D210" i="21" s="1"/>
  <c r="C210" i="21"/>
  <c r="A211" i="21"/>
  <c r="B211" i="21"/>
  <c r="D211" i="21" s="1"/>
  <c r="C211" i="21"/>
  <c r="A212" i="21"/>
  <c r="H212" i="21" s="1"/>
  <c r="B212" i="21"/>
  <c r="D212" i="21" s="1"/>
  <c r="C212" i="21"/>
  <c r="A213" i="21"/>
  <c r="B213" i="21"/>
  <c r="D213" i="21" s="1"/>
  <c r="C213" i="21"/>
  <c r="A214" i="21"/>
  <c r="B214" i="21"/>
  <c r="D214" i="21" s="1"/>
  <c r="C214" i="21"/>
  <c r="A215" i="21"/>
  <c r="B215" i="21"/>
  <c r="D215" i="21" s="1"/>
  <c r="C215" i="21"/>
  <c r="A216" i="21"/>
  <c r="B216" i="21"/>
  <c r="D216" i="21" s="1"/>
  <c r="C216" i="21"/>
  <c r="A217" i="21"/>
  <c r="B217" i="21"/>
  <c r="D217" i="21" s="1"/>
  <c r="C217" i="21"/>
  <c r="A218" i="21"/>
  <c r="B218" i="21"/>
  <c r="D218" i="21" s="1"/>
  <c r="C218" i="21"/>
  <c r="A219" i="21"/>
  <c r="B219" i="21"/>
  <c r="D219" i="21" s="1"/>
  <c r="C219" i="21"/>
  <c r="A220" i="21"/>
  <c r="H220" i="21" s="1"/>
  <c r="B220" i="21"/>
  <c r="D220" i="21" s="1"/>
  <c r="C220" i="21"/>
  <c r="A221" i="21"/>
  <c r="B221" i="21"/>
  <c r="D221" i="21" s="1"/>
  <c r="C221" i="21"/>
  <c r="A222" i="21"/>
  <c r="B222" i="21"/>
  <c r="D222" i="21" s="1"/>
  <c r="C222" i="21"/>
  <c r="A223" i="21"/>
  <c r="B223" i="21"/>
  <c r="D223" i="21" s="1"/>
  <c r="C223" i="21"/>
  <c r="A224" i="21"/>
  <c r="B224" i="21"/>
  <c r="D224" i="21" s="1"/>
  <c r="C224" i="21"/>
  <c r="A225" i="21"/>
  <c r="B225" i="21"/>
  <c r="D225" i="21" s="1"/>
  <c r="C225" i="21"/>
  <c r="A226" i="21"/>
  <c r="B226" i="21"/>
  <c r="D226" i="21" s="1"/>
  <c r="C226" i="21"/>
  <c r="A227" i="21"/>
  <c r="B227" i="21"/>
  <c r="D227" i="21" s="1"/>
  <c r="C227" i="21"/>
  <c r="A228" i="21"/>
  <c r="H228" i="21" s="1"/>
  <c r="B228" i="21"/>
  <c r="D228" i="21" s="1"/>
  <c r="C228" i="21"/>
  <c r="A229" i="21"/>
  <c r="B229" i="21"/>
  <c r="D229" i="21" s="1"/>
  <c r="C229" i="21"/>
  <c r="A230" i="21"/>
  <c r="B230" i="21"/>
  <c r="D230" i="21" s="1"/>
  <c r="C230" i="21"/>
  <c r="A231" i="21"/>
  <c r="B231" i="21"/>
  <c r="D231" i="21" s="1"/>
  <c r="C231" i="21"/>
  <c r="A232" i="21"/>
  <c r="H232" i="21" s="1"/>
  <c r="B232" i="21"/>
  <c r="D232" i="21" s="1"/>
  <c r="C232" i="21"/>
  <c r="A233" i="21"/>
  <c r="B233" i="21"/>
  <c r="D233" i="21" s="1"/>
  <c r="C233" i="21"/>
  <c r="A234" i="21"/>
  <c r="B234" i="21"/>
  <c r="D234" i="21" s="1"/>
  <c r="C234" i="21"/>
  <c r="A235" i="21"/>
  <c r="B235" i="21"/>
  <c r="D235" i="21" s="1"/>
  <c r="C235" i="21"/>
  <c r="A236" i="21"/>
  <c r="B236" i="21"/>
  <c r="D236" i="21" s="1"/>
  <c r="C236" i="21"/>
  <c r="A237" i="21"/>
  <c r="B237" i="21"/>
  <c r="D237" i="21" s="1"/>
  <c r="C237" i="21"/>
  <c r="A238" i="21"/>
  <c r="B238" i="21"/>
  <c r="D238" i="21" s="1"/>
  <c r="C238" i="21"/>
  <c r="A239" i="21"/>
  <c r="B239" i="21"/>
  <c r="D239" i="21" s="1"/>
  <c r="C239" i="21"/>
  <c r="A240" i="21"/>
  <c r="H240" i="21" s="1"/>
  <c r="B240" i="21"/>
  <c r="D240" i="21" s="1"/>
  <c r="C240" i="21"/>
  <c r="A241" i="21"/>
  <c r="B241" i="21"/>
  <c r="D241" i="21" s="1"/>
  <c r="C241" i="21"/>
  <c r="A242" i="21"/>
  <c r="B242" i="21"/>
  <c r="D242" i="21" s="1"/>
  <c r="C242" i="21"/>
  <c r="A243" i="21"/>
  <c r="B243" i="21"/>
  <c r="D243" i="21" s="1"/>
  <c r="C243" i="21"/>
  <c r="A244" i="21"/>
  <c r="H244" i="21" s="1"/>
  <c r="B244" i="21"/>
  <c r="D244" i="21" s="1"/>
  <c r="C244" i="21"/>
  <c r="A245" i="21"/>
  <c r="B245" i="21"/>
  <c r="D245" i="21" s="1"/>
  <c r="C245" i="21"/>
  <c r="A246" i="21"/>
  <c r="B246" i="21"/>
  <c r="D246" i="21" s="1"/>
  <c r="C246" i="21"/>
  <c r="A247" i="21"/>
  <c r="B247" i="21"/>
  <c r="D247" i="21" s="1"/>
  <c r="C247" i="21"/>
  <c r="A248" i="21"/>
  <c r="B248" i="21"/>
  <c r="D248" i="21" s="1"/>
  <c r="C248" i="21"/>
  <c r="A249" i="21"/>
  <c r="B249" i="21"/>
  <c r="D249" i="21" s="1"/>
  <c r="C249" i="21"/>
  <c r="A250" i="21"/>
  <c r="B250" i="21"/>
  <c r="D250" i="21" s="1"/>
  <c r="C250" i="21"/>
  <c r="C2" i="21"/>
  <c r="B2" i="21"/>
  <c r="D2" i="21" s="1"/>
  <c r="B3" i="16"/>
  <c r="D3" i="16" s="1"/>
  <c r="C3" i="16"/>
  <c r="B4" i="16"/>
  <c r="D4" i="16" s="1"/>
  <c r="C4" i="16"/>
  <c r="B5" i="16"/>
  <c r="D5" i="16" s="1"/>
  <c r="C5" i="16"/>
  <c r="B6" i="16"/>
  <c r="D6" i="16" s="1"/>
  <c r="C6" i="16"/>
  <c r="B7" i="16"/>
  <c r="D7" i="16" s="1"/>
  <c r="C7" i="16"/>
  <c r="B8" i="16"/>
  <c r="D8" i="16" s="1"/>
  <c r="C8" i="16"/>
  <c r="B9" i="16"/>
  <c r="D9" i="16" s="1"/>
  <c r="C9" i="16"/>
  <c r="B10" i="16"/>
  <c r="D10" i="16" s="1"/>
  <c r="C10" i="16"/>
  <c r="B11" i="16"/>
  <c r="D11" i="16" s="1"/>
  <c r="C11" i="16"/>
  <c r="B12" i="16"/>
  <c r="D12" i="16" s="1"/>
  <c r="C12" i="16"/>
  <c r="B13" i="16"/>
  <c r="D13" i="16" s="1"/>
  <c r="C13" i="16"/>
  <c r="B14" i="16"/>
  <c r="D14" i="16" s="1"/>
  <c r="C14" i="16"/>
  <c r="B15" i="16"/>
  <c r="D15" i="16" s="1"/>
  <c r="C15" i="16"/>
  <c r="B16" i="16"/>
  <c r="D16" i="16" s="1"/>
  <c r="C16" i="16"/>
  <c r="C2" i="16"/>
  <c r="B2" i="16"/>
  <c r="D2" i="16" s="1"/>
  <c r="A3" i="18"/>
  <c r="B3" i="18"/>
  <c r="C3" i="18"/>
  <c r="A4" i="18"/>
  <c r="H4" i="18" s="1"/>
  <c r="B4" i="18"/>
  <c r="C4" i="18"/>
  <c r="A5" i="18"/>
  <c r="B5" i="18"/>
  <c r="C5" i="18"/>
  <c r="A6" i="18"/>
  <c r="H6" i="18" s="1"/>
  <c r="B6" i="18"/>
  <c r="C6" i="18"/>
  <c r="A7" i="18"/>
  <c r="B7" i="18"/>
  <c r="C7" i="18"/>
  <c r="A8" i="18"/>
  <c r="H8" i="18" s="1"/>
  <c r="B8" i="18"/>
  <c r="C8" i="18"/>
  <c r="A9" i="18"/>
  <c r="B9" i="18"/>
  <c r="C9" i="18"/>
  <c r="A10" i="18"/>
  <c r="H10" i="18" s="1"/>
  <c r="B10" i="18"/>
  <c r="C10" i="18"/>
  <c r="A11" i="18"/>
  <c r="B11" i="18"/>
  <c r="C11" i="18"/>
  <c r="A12" i="18"/>
  <c r="H12" i="18" s="1"/>
  <c r="B12" i="18"/>
  <c r="C12" i="18"/>
  <c r="A13" i="18"/>
  <c r="B13" i="18"/>
  <c r="C13" i="18"/>
  <c r="A14" i="18"/>
  <c r="H14" i="18" s="1"/>
  <c r="B14" i="18"/>
  <c r="C14" i="18"/>
  <c r="A15" i="18"/>
  <c r="B15" i="18"/>
  <c r="C15" i="18"/>
  <c r="A16" i="18"/>
  <c r="H16" i="18" s="1"/>
  <c r="B16" i="18"/>
  <c r="C16" i="18"/>
  <c r="C2" i="18"/>
  <c r="B2" i="18"/>
  <c r="A2" i="18"/>
  <c r="H2" i="18" s="1"/>
  <c r="C3" i="4"/>
  <c r="D3" i="4"/>
  <c r="E3" i="4"/>
  <c r="C4" i="4"/>
  <c r="D4" i="4"/>
  <c r="E4" i="4"/>
  <c r="C5" i="4"/>
  <c r="D5" i="4"/>
  <c r="E5" i="4"/>
  <c r="C6" i="4"/>
  <c r="D6" i="4"/>
  <c r="E6" i="4"/>
  <c r="C7" i="4"/>
  <c r="D7" i="4"/>
  <c r="E7" i="4"/>
  <c r="C8" i="4"/>
  <c r="D8" i="4"/>
  <c r="E8" i="4"/>
  <c r="C9" i="4"/>
  <c r="D9" i="4"/>
  <c r="E9" i="4"/>
  <c r="C10" i="4"/>
  <c r="D10" i="4"/>
  <c r="E10" i="4"/>
  <c r="C11" i="4"/>
  <c r="D11" i="4"/>
  <c r="E11" i="4"/>
  <c r="C12" i="4"/>
  <c r="D12" i="4"/>
  <c r="E12" i="4"/>
  <c r="C13" i="4"/>
  <c r="D13" i="4"/>
  <c r="E13" i="4"/>
  <c r="C14" i="4"/>
  <c r="D14" i="4"/>
  <c r="E14" i="4"/>
  <c r="C15" i="4"/>
  <c r="D15" i="4"/>
  <c r="E15" i="4"/>
  <c r="C16" i="4"/>
  <c r="D16" i="4"/>
  <c r="E16" i="4"/>
  <c r="E2" i="4"/>
  <c r="D2" i="4"/>
  <c r="C2" i="4"/>
  <c r="C3" i="14"/>
  <c r="D3" i="14"/>
  <c r="C4" i="14"/>
  <c r="D4" i="14"/>
  <c r="C5" i="14"/>
  <c r="D5" i="14"/>
  <c r="C6" i="14"/>
  <c r="D6" i="14"/>
  <c r="C7" i="14"/>
  <c r="D7" i="14"/>
  <c r="C8" i="14"/>
  <c r="D8" i="14"/>
  <c r="C9" i="14"/>
  <c r="D9" i="14"/>
  <c r="C10" i="14"/>
  <c r="D10" i="14"/>
  <c r="C11" i="14"/>
  <c r="D11" i="14"/>
  <c r="C12" i="14"/>
  <c r="D12" i="14"/>
  <c r="C13" i="14"/>
  <c r="D13" i="14"/>
  <c r="C14" i="14"/>
  <c r="D14" i="14"/>
  <c r="C15" i="14"/>
  <c r="D15" i="14"/>
  <c r="C16" i="14"/>
  <c r="D16" i="14"/>
  <c r="C251" i="14"/>
  <c r="D251" i="14"/>
  <c r="D2" i="14"/>
  <c r="C2" i="14"/>
  <c r="J3" i="5"/>
  <c r="J4" i="5"/>
  <c r="J5" i="5"/>
  <c r="J6" i="5"/>
  <c r="J7" i="5"/>
  <c r="J8" i="5"/>
  <c r="J9" i="5"/>
  <c r="J10" i="5"/>
  <c r="J11" i="5"/>
  <c r="J12" i="5"/>
  <c r="J13" i="5"/>
  <c r="J14" i="5"/>
  <c r="J15" i="5"/>
  <c r="J16" i="5"/>
  <c r="A3" i="5"/>
  <c r="B3" i="5"/>
  <c r="C3" i="5"/>
  <c r="A4" i="5"/>
  <c r="H4" i="5" s="1"/>
  <c r="B4" i="5"/>
  <c r="C4" i="5"/>
  <c r="A5" i="5"/>
  <c r="H5" i="5" s="1"/>
  <c r="B5" i="5"/>
  <c r="C5" i="5"/>
  <c r="A6" i="5"/>
  <c r="B6" i="5"/>
  <c r="C6" i="5"/>
  <c r="A7" i="5"/>
  <c r="H7" i="5" s="1"/>
  <c r="B7" i="5"/>
  <c r="C7" i="5"/>
  <c r="A8" i="5"/>
  <c r="H8" i="5" s="1"/>
  <c r="B8" i="5"/>
  <c r="C8" i="5"/>
  <c r="A9" i="5"/>
  <c r="H9" i="5" s="1"/>
  <c r="B9" i="5"/>
  <c r="C9" i="5"/>
  <c r="A10" i="5"/>
  <c r="H10" i="5" s="1"/>
  <c r="B10" i="5"/>
  <c r="C10" i="5"/>
  <c r="A11" i="5"/>
  <c r="H11" i="5" s="1"/>
  <c r="B11" i="5"/>
  <c r="C11" i="5"/>
  <c r="A12" i="5"/>
  <c r="H12" i="5" s="1"/>
  <c r="B12" i="5"/>
  <c r="C12" i="5"/>
  <c r="A13" i="5"/>
  <c r="H13" i="5" s="1"/>
  <c r="B13" i="5"/>
  <c r="C13" i="5"/>
  <c r="A14" i="5"/>
  <c r="B14" i="5"/>
  <c r="C14" i="5"/>
  <c r="A15" i="5"/>
  <c r="B15" i="5"/>
  <c r="C15" i="5"/>
  <c r="A16" i="5"/>
  <c r="H16" i="5" s="1"/>
  <c r="B16" i="5"/>
  <c r="C16" i="5"/>
  <c r="A2" i="5"/>
  <c r="C2" i="5"/>
  <c r="B2" i="5"/>
  <c r="C3" i="22"/>
  <c r="B3" i="22"/>
  <c r="A3" i="22"/>
  <c r="E3" i="22"/>
  <c r="F3" i="22"/>
  <c r="L3" i="22"/>
  <c r="C4" i="22"/>
  <c r="B4" i="22"/>
  <c r="A4" i="22"/>
  <c r="E4" i="22"/>
  <c r="F4" i="22"/>
  <c r="L4" i="22"/>
  <c r="C5" i="22"/>
  <c r="B5" i="22"/>
  <c r="A5" i="22"/>
  <c r="E5" i="22"/>
  <c r="F5" i="22"/>
  <c r="L5" i="22"/>
  <c r="C6" i="22"/>
  <c r="B6" i="22"/>
  <c r="A6" i="22"/>
  <c r="E6" i="22"/>
  <c r="F6" i="22"/>
  <c r="L6" i="22"/>
  <c r="C7" i="22"/>
  <c r="B7" i="22"/>
  <c r="A7" i="22"/>
  <c r="E7" i="22"/>
  <c r="F7" i="22"/>
  <c r="L7" i="22"/>
  <c r="C8" i="22"/>
  <c r="B8" i="22"/>
  <c r="A8" i="22"/>
  <c r="E8" i="22"/>
  <c r="F8" i="22"/>
  <c r="L8" i="22"/>
  <c r="C9" i="22"/>
  <c r="B9" i="22"/>
  <c r="A9" i="22"/>
  <c r="E9" i="22"/>
  <c r="F9" i="22"/>
  <c r="L9" i="22"/>
  <c r="C10" i="22"/>
  <c r="B10" i="22"/>
  <c r="A10" i="22"/>
  <c r="E10" i="22"/>
  <c r="F10" i="22"/>
  <c r="L10" i="22"/>
  <c r="C11" i="22"/>
  <c r="B11" i="22"/>
  <c r="A11" i="22"/>
  <c r="E11" i="22"/>
  <c r="F11" i="22"/>
  <c r="L11" i="22"/>
  <c r="C12" i="22"/>
  <c r="B12" i="22"/>
  <c r="A12" i="22"/>
  <c r="E12" i="22"/>
  <c r="F12" i="22"/>
  <c r="L12" i="22"/>
  <c r="C13" i="22"/>
  <c r="B13" i="22"/>
  <c r="A13" i="22"/>
  <c r="E13" i="22"/>
  <c r="F13" i="22"/>
  <c r="L13" i="22"/>
  <c r="C14" i="22"/>
  <c r="B14" i="22"/>
  <c r="A14" i="22"/>
  <c r="E14" i="22"/>
  <c r="F14" i="22"/>
  <c r="L14" i="22"/>
  <c r="C15" i="22"/>
  <c r="B15" i="22"/>
  <c r="A15" i="22"/>
  <c r="E15" i="22"/>
  <c r="F15" i="22"/>
  <c r="L15" i="22"/>
  <c r="C16" i="22"/>
  <c r="B16" i="22"/>
  <c r="A16" i="22"/>
  <c r="E16" i="22"/>
  <c r="F16" i="22"/>
  <c r="L16" i="22"/>
  <c r="A2" i="22"/>
  <c r="B2" i="22"/>
  <c r="C2" i="22"/>
  <c r="C3" i="19"/>
  <c r="B3" i="19"/>
  <c r="A3" i="19"/>
  <c r="E3" i="19"/>
  <c r="F3" i="19"/>
  <c r="L3" i="19"/>
  <c r="O3" i="19"/>
  <c r="P3" i="19"/>
  <c r="Q3" i="19"/>
  <c r="R3" i="19"/>
  <c r="S3" i="19"/>
  <c r="T3" i="19"/>
  <c r="W3" i="19"/>
  <c r="C4" i="19"/>
  <c r="B4" i="19"/>
  <c r="A4" i="19"/>
  <c r="E4" i="19"/>
  <c r="F4" i="19"/>
  <c r="L4" i="19"/>
  <c r="N4" i="19"/>
  <c r="O4" i="19"/>
  <c r="P4" i="19"/>
  <c r="Q4" i="19"/>
  <c r="R4" i="19"/>
  <c r="S4" i="19"/>
  <c r="T4" i="19"/>
  <c r="W4" i="19"/>
  <c r="C5" i="19"/>
  <c r="B5" i="19"/>
  <c r="A5" i="19"/>
  <c r="E5" i="19"/>
  <c r="F5" i="19"/>
  <c r="L5" i="19"/>
  <c r="O5" i="19"/>
  <c r="P5" i="19"/>
  <c r="Q5" i="19"/>
  <c r="R5" i="19"/>
  <c r="S5" i="19"/>
  <c r="T5" i="19"/>
  <c r="W5" i="19"/>
  <c r="C6" i="19"/>
  <c r="B6" i="19"/>
  <c r="A6" i="19"/>
  <c r="E6" i="19"/>
  <c r="F6" i="19"/>
  <c r="L6" i="19"/>
  <c r="O6" i="19"/>
  <c r="P6" i="19"/>
  <c r="Q6" i="19"/>
  <c r="R6" i="19"/>
  <c r="S6" i="19"/>
  <c r="T6" i="19"/>
  <c r="W6" i="19"/>
  <c r="C7" i="19"/>
  <c r="B7" i="19"/>
  <c r="A7" i="19"/>
  <c r="E7" i="19"/>
  <c r="F7" i="19"/>
  <c r="L7" i="19"/>
  <c r="O7" i="19"/>
  <c r="P7" i="19"/>
  <c r="Q7" i="19"/>
  <c r="R7" i="19"/>
  <c r="S7" i="19"/>
  <c r="T7" i="19"/>
  <c r="W7" i="19"/>
  <c r="C8" i="19"/>
  <c r="B8" i="19"/>
  <c r="A8" i="19"/>
  <c r="E8" i="19"/>
  <c r="F8" i="19"/>
  <c r="L8" i="19"/>
  <c r="O8" i="19"/>
  <c r="P8" i="19"/>
  <c r="Q8" i="19"/>
  <c r="R8" i="19"/>
  <c r="S8" i="19"/>
  <c r="T8" i="19"/>
  <c r="W8" i="19"/>
  <c r="C9" i="19"/>
  <c r="B9" i="19"/>
  <c r="A9" i="19"/>
  <c r="E9" i="19"/>
  <c r="F9" i="19"/>
  <c r="L9" i="19"/>
  <c r="O9" i="19"/>
  <c r="P9" i="19"/>
  <c r="Q9" i="19"/>
  <c r="R9" i="19"/>
  <c r="S9" i="19"/>
  <c r="T9" i="19"/>
  <c r="W9" i="19"/>
  <c r="C10" i="19"/>
  <c r="B10" i="19"/>
  <c r="A10" i="19"/>
  <c r="E10" i="19"/>
  <c r="F10" i="19"/>
  <c r="L10" i="19"/>
  <c r="O10" i="19"/>
  <c r="P10" i="19"/>
  <c r="Q10" i="19"/>
  <c r="R10" i="19"/>
  <c r="S10" i="19"/>
  <c r="T10" i="19"/>
  <c r="W10" i="19"/>
  <c r="C11" i="19"/>
  <c r="B11" i="19"/>
  <c r="A11" i="19"/>
  <c r="E11" i="19"/>
  <c r="F11" i="19"/>
  <c r="L11" i="19"/>
  <c r="O11" i="19"/>
  <c r="P11" i="19"/>
  <c r="Q11" i="19"/>
  <c r="R11" i="19"/>
  <c r="S11" i="19"/>
  <c r="T11" i="19"/>
  <c r="W11" i="19"/>
  <c r="C12" i="19"/>
  <c r="B12" i="19"/>
  <c r="A12" i="19"/>
  <c r="E12" i="19"/>
  <c r="F12" i="19"/>
  <c r="L12" i="19"/>
  <c r="O12" i="19"/>
  <c r="P12" i="19"/>
  <c r="Q12" i="19"/>
  <c r="R12" i="19"/>
  <c r="S12" i="19"/>
  <c r="T12" i="19"/>
  <c r="W12" i="19"/>
  <c r="C13" i="19"/>
  <c r="B13" i="19"/>
  <c r="A13" i="19"/>
  <c r="E13" i="19"/>
  <c r="F13" i="19"/>
  <c r="L13" i="19"/>
  <c r="N13" i="19"/>
  <c r="O13" i="19"/>
  <c r="P13" i="19"/>
  <c r="Q13" i="19"/>
  <c r="R13" i="19"/>
  <c r="S13" i="19"/>
  <c r="T13" i="19"/>
  <c r="W13" i="19"/>
  <c r="C14" i="19"/>
  <c r="B14" i="19"/>
  <c r="A14" i="19"/>
  <c r="E14" i="19"/>
  <c r="F14" i="19"/>
  <c r="L14" i="19"/>
  <c r="O14" i="19"/>
  <c r="P14" i="19"/>
  <c r="Q14" i="19"/>
  <c r="R14" i="19"/>
  <c r="S14" i="19"/>
  <c r="T14" i="19"/>
  <c r="W14" i="19"/>
  <c r="C15" i="19"/>
  <c r="B15" i="19"/>
  <c r="A15" i="19"/>
  <c r="E15" i="19"/>
  <c r="F15" i="19"/>
  <c r="L15" i="19"/>
  <c r="O15" i="19"/>
  <c r="P15" i="19"/>
  <c r="Q15" i="19"/>
  <c r="R15" i="19"/>
  <c r="S15" i="19"/>
  <c r="T15" i="19"/>
  <c r="W15" i="19"/>
  <c r="C16" i="19"/>
  <c r="B16" i="19"/>
  <c r="A16" i="19"/>
  <c r="E16" i="19"/>
  <c r="F16" i="19"/>
  <c r="L16" i="19"/>
  <c r="N16" i="19"/>
  <c r="O16" i="19"/>
  <c r="P16" i="19"/>
  <c r="Q16" i="19"/>
  <c r="R16" i="19"/>
  <c r="S16" i="19"/>
  <c r="T16" i="19"/>
  <c r="W16" i="19"/>
  <c r="A2" i="19"/>
  <c r="B2" i="19"/>
  <c r="C2" i="19"/>
  <c r="C3" i="8"/>
  <c r="B3" i="8"/>
  <c r="A3" i="8"/>
  <c r="C4" i="8"/>
  <c r="B4" i="8"/>
  <c r="A4" i="8"/>
  <c r="C5" i="8"/>
  <c r="B5" i="8"/>
  <c r="A5" i="8"/>
  <c r="C6" i="8"/>
  <c r="B6" i="8"/>
  <c r="A6" i="8"/>
  <c r="C7" i="8"/>
  <c r="B7" i="8"/>
  <c r="A7" i="8"/>
  <c r="C8" i="8"/>
  <c r="B8" i="8"/>
  <c r="A8" i="8"/>
  <c r="C9" i="8"/>
  <c r="B9" i="8"/>
  <c r="A9" i="8"/>
  <c r="C10" i="8"/>
  <c r="B10" i="8"/>
  <c r="A10" i="8"/>
  <c r="C11" i="8"/>
  <c r="B11" i="8"/>
  <c r="A11" i="8"/>
  <c r="C12" i="8"/>
  <c r="B12" i="8"/>
  <c r="A12" i="8"/>
  <c r="C13" i="8"/>
  <c r="B13" i="8"/>
  <c r="A13" i="8"/>
  <c r="C14" i="8"/>
  <c r="B14" i="8"/>
  <c r="A14" i="8"/>
  <c r="C15" i="8"/>
  <c r="B15" i="8"/>
  <c r="A15" i="8"/>
  <c r="C16" i="8"/>
  <c r="B16" i="8"/>
  <c r="A16" i="8"/>
  <c r="A2" i="8"/>
  <c r="B2" i="8"/>
  <c r="C2" i="8"/>
  <c r="C3" i="20"/>
  <c r="D3" i="20"/>
  <c r="E3" i="20"/>
  <c r="C4" i="20"/>
  <c r="D4" i="20"/>
  <c r="E4" i="20"/>
  <c r="C5" i="20"/>
  <c r="D5" i="20"/>
  <c r="E5" i="20"/>
  <c r="C6" i="20"/>
  <c r="D6" i="20"/>
  <c r="E6" i="20"/>
  <c r="C7" i="20"/>
  <c r="D7" i="20"/>
  <c r="E7" i="20"/>
  <c r="C8" i="20"/>
  <c r="D8" i="20"/>
  <c r="E8" i="20"/>
  <c r="C9" i="20"/>
  <c r="D9" i="20"/>
  <c r="E9" i="20"/>
  <c r="C10" i="20"/>
  <c r="D10" i="20"/>
  <c r="E10" i="20"/>
  <c r="C11" i="20"/>
  <c r="D11" i="20"/>
  <c r="E11" i="20"/>
  <c r="C12" i="20"/>
  <c r="D12" i="20"/>
  <c r="E12" i="20"/>
  <c r="C13" i="20"/>
  <c r="D13" i="20"/>
  <c r="E13" i="20"/>
  <c r="C14" i="20"/>
  <c r="D14" i="20"/>
  <c r="E14" i="20"/>
  <c r="C15" i="20"/>
  <c r="D15" i="20"/>
  <c r="E15" i="20"/>
  <c r="C16" i="20"/>
  <c r="D16" i="20"/>
  <c r="E16" i="20"/>
  <c r="E2" i="20"/>
  <c r="D2" i="20"/>
  <c r="C2" i="20"/>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A3" i="2"/>
  <c r="D3" i="11" s="1"/>
  <c r="B3" i="2"/>
  <c r="A4" i="2"/>
  <c r="D4" i="11" s="1"/>
  <c r="B4" i="2"/>
  <c r="A5" i="2"/>
  <c r="D5" i="11" s="1"/>
  <c r="B5" i="2"/>
  <c r="A6" i="2"/>
  <c r="D6" i="11" s="1"/>
  <c r="B6" i="2"/>
  <c r="A7" i="2"/>
  <c r="D7" i="11" s="1"/>
  <c r="B7" i="2"/>
  <c r="A8" i="2"/>
  <c r="D8" i="11" s="1"/>
  <c r="B8" i="2"/>
  <c r="A9" i="2"/>
  <c r="D9" i="11" s="1"/>
  <c r="B9" i="2"/>
  <c r="A10" i="2"/>
  <c r="D10" i="11" s="1"/>
  <c r="B10" i="2"/>
  <c r="A11" i="2"/>
  <c r="D11" i="11" s="1"/>
  <c r="B11" i="2"/>
  <c r="A12" i="2"/>
  <c r="D12" i="11" s="1"/>
  <c r="B12" i="2"/>
  <c r="A13" i="2"/>
  <c r="D13" i="11" s="1"/>
  <c r="B13" i="2"/>
  <c r="A14" i="2"/>
  <c r="D14" i="11" s="1"/>
  <c r="B14" i="2"/>
  <c r="A15" i="2"/>
  <c r="D15" i="11" s="1"/>
  <c r="B15" i="2"/>
  <c r="A16" i="2"/>
  <c r="D16" i="11" s="1"/>
  <c r="B16" i="2"/>
  <c r="A17" i="2"/>
  <c r="B17" i="2"/>
  <c r="A18" i="2"/>
  <c r="B18" i="2"/>
  <c r="A19" i="2"/>
  <c r="B19" i="2"/>
  <c r="A20" i="2"/>
  <c r="B20" i="2"/>
  <c r="A21" i="2"/>
  <c r="B21" i="2"/>
  <c r="A22" i="2"/>
  <c r="B22" i="2"/>
  <c r="A23" i="2"/>
  <c r="B23" i="2"/>
  <c r="A24" i="2"/>
  <c r="B24" i="2"/>
  <c r="A25" i="2"/>
  <c r="B25" i="2"/>
  <c r="A26" i="2"/>
  <c r="B26" i="2"/>
  <c r="A27" i="2"/>
  <c r="B27" i="2"/>
  <c r="A28" i="2"/>
  <c r="B28" i="2"/>
  <c r="A29" i="2"/>
  <c r="B29" i="2"/>
  <c r="A30" i="2"/>
  <c r="B30" i="2"/>
  <c r="A31" i="2"/>
  <c r="B31" i="2"/>
  <c r="A32" i="2"/>
  <c r="B32" i="2"/>
  <c r="A33" i="2"/>
  <c r="B33" i="2"/>
  <c r="A34" i="2"/>
  <c r="B34" i="2"/>
  <c r="A35" i="2"/>
  <c r="B35" i="2"/>
  <c r="A36" i="2"/>
  <c r="B36" i="2"/>
  <c r="A37" i="2"/>
  <c r="B37" i="2"/>
  <c r="A38" i="2"/>
  <c r="B38" i="2"/>
  <c r="A39" i="2"/>
  <c r="B39" i="2"/>
  <c r="A40" i="2"/>
  <c r="B40" i="2"/>
  <c r="A41" i="2"/>
  <c r="B41" i="2"/>
  <c r="A42" i="2"/>
  <c r="B42" i="2"/>
  <c r="A43" i="2"/>
  <c r="B43" i="2"/>
  <c r="A44" i="2"/>
  <c r="B44" i="2"/>
  <c r="A45" i="2"/>
  <c r="B45" i="2"/>
  <c r="A46" i="2"/>
  <c r="B46" i="2"/>
  <c r="A47" i="2"/>
  <c r="B47" i="2"/>
  <c r="A48" i="2"/>
  <c r="B48" i="2"/>
  <c r="A49" i="2"/>
  <c r="B49" i="2"/>
  <c r="A50" i="2"/>
  <c r="B50" i="2"/>
  <c r="A51" i="2"/>
  <c r="B51" i="2"/>
  <c r="A52" i="2"/>
  <c r="B52" i="2"/>
  <c r="A53" i="2"/>
  <c r="B53" i="2"/>
  <c r="A54" i="2"/>
  <c r="B54" i="2"/>
  <c r="A55" i="2"/>
  <c r="B55" i="2"/>
  <c r="A56" i="2"/>
  <c r="B56" i="2"/>
  <c r="A57" i="2"/>
  <c r="B57" i="2"/>
  <c r="A58" i="2"/>
  <c r="B58" i="2"/>
  <c r="A59" i="2"/>
  <c r="B59" i="2"/>
  <c r="A60" i="2"/>
  <c r="B60" i="2"/>
  <c r="A61" i="2"/>
  <c r="B61" i="2"/>
  <c r="A62" i="2"/>
  <c r="B62" i="2"/>
  <c r="A63" i="2"/>
  <c r="B63" i="2"/>
  <c r="A64" i="2"/>
  <c r="B64" i="2"/>
  <c r="A65" i="2"/>
  <c r="B65" i="2"/>
  <c r="A66" i="2"/>
  <c r="B66" i="2"/>
  <c r="A67" i="2"/>
  <c r="B67" i="2"/>
  <c r="A68" i="2"/>
  <c r="B68" i="2"/>
  <c r="A69" i="2"/>
  <c r="B69" i="2"/>
  <c r="A70" i="2"/>
  <c r="B70" i="2"/>
  <c r="A71" i="2"/>
  <c r="B71" i="2"/>
  <c r="A72" i="2"/>
  <c r="B72" i="2"/>
  <c r="A73" i="2"/>
  <c r="B73" i="2"/>
  <c r="A74" i="2"/>
  <c r="B74" i="2"/>
  <c r="A75" i="2"/>
  <c r="B75" i="2"/>
  <c r="A76" i="2"/>
  <c r="B76" i="2"/>
  <c r="A77" i="2"/>
  <c r="B77" i="2"/>
  <c r="A78" i="2"/>
  <c r="B78" i="2"/>
  <c r="A79" i="2"/>
  <c r="B79" i="2"/>
  <c r="A80" i="2"/>
  <c r="B80" i="2"/>
  <c r="A81" i="2"/>
  <c r="B81" i="2"/>
  <c r="A82" i="2"/>
  <c r="B82" i="2"/>
  <c r="A83" i="2"/>
  <c r="B83" i="2"/>
  <c r="A84" i="2"/>
  <c r="B84" i="2"/>
  <c r="A85" i="2"/>
  <c r="B85" i="2"/>
  <c r="A86" i="2"/>
  <c r="B86" i="2"/>
  <c r="A87" i="2"/>
  <c r="B87" i="2"/>
  <c r="A88" i="2"/>
  <c r="B88" i="2"/>
  <c r="A89" i="2"/>
  <c r="B89" i="2"/>
  <c r="A90" i="2"/>
  <c r="B90" i="2"/>
  <c r="A91" i="2"/>
  <c r="B91" i="2"/>
  <c r="A92" i="2"/>
  <c r="B92" i="2"/>
  <c r="A93" i="2"/>
  <c r="B93" i="2"/>
  <c r="A94" i="2"/>
  <c r="B94" i="2"/>
  <c r="A95" i="2"/>
  <c r="B95" i="2"/>
  <c r="A96" i="2"/>
  <c r="B96" i="2"/>
  <c r="A97" i="2"/>
  <c r="B97" i="2"/>
  <c r="A98" i="2"/>
  <c r="B98" i="2"/>
  <c r="A99" i="2"/>
  <c r="B99" i="2"/>
  <c r="A100" i="2"/>
  <c r="B100" i="2"/>
  <c r="A101" i="2"/>
  <c r="B101" i="2"/>
  <c r="A102" i="2"/>
  <c r="B102" i="2"/>
  <c r="A103" i="2"/>
  <c r="B103" i="2"/>
  <c r="A104" i="2"/>
  <c r="B104" i="2"/>
  <c r="A105" i="2"/>
  <c r="B105" i="2"/>
  <c r="A106" i="2"/>
  <c r="B106" i="2"/>
  <c r="A107" i="2"/>
  <c r="B107" i="2"/>
  <c r="A108" i="2"/>
  <c r="B108" i="2"/>
  <c r="A109" i="2"/>
  <c r="B109" i="2"/>
  <c r="A110" i="2"/>
  <c r="B110" i="2"/>
  <c r="A111" i="2"/>
  <c r="B111" i="2"/>
  <c r="A112" i="2"/>
  <c r="B112" i="2"/>
  <c r="A113" i="2"/>
  <c r="B113" i="2"/>
  <c r="A114" i="2"/>
  <c r="B114" i="2"/>
  <c r="A115" i="2"/>
  <c r="B115" i="2"/>
  <c r="A116" i="2"/>
  <c r="B116" i="2"/>
  <c r="A117" i="2"/>
  <c r="B117" i="2"/>
  <c r="A118" i="2"/>
  <c r="B118" i="2"/>
  <c r="A119" i="2"/>
  <c r="B119" i="2"/>
  <c r="A120" i="2"/>
  <c r="B120" i="2"/>
  <c r="A121" i="2"/>
  <c r="B121" i="2"/>
  <c r="A122" i="2"/>
  <c r="B122" i="2"/>
  <c r="A123" i="2"/>
  <c r="B123" i="2"/>
  <c r="A124" i="2"/>
  <c r="B124" i="2"/>
  <c r="A125" i="2"/>
  <c r="B125" i="2"/>
  <c r="A126" i="2"/>
  <c r="B126" i="2"/>
  <c r="A127" i="2"/>
  <c r="B127" i="2"/>
  <c r="A128" i="2"/>
  <c r="B128" i="2"/>
  <c r="A129" i="2"/>
  <c r="B129" i="2"/>
  <c r="A130" i="2"/>
  <c r="B130" i="2"/>
  <c r="A131" i="2"/>
  <c r="B131" i="2"/>
  <c r="A132" i="2"/>
  <c r="B132" i="2"/>
  <c r="A133" i="2"/>
  <c r="B133" i="2"/>
  <c r="A134" i="2"/>
  <c r="B134" i="2"/>
  <c r="A135" i="2"/>
  <c r="B135" i="2"/>
  <c r="A136" i="2"/>
  <c r="B136" i="2"/>
  <c r="A137" i="2"/>
  <c r="B137" i="2"/>
  <c r="A138" i="2"/>
  <c r="B138" i="2"/>
  <c r="A139" i="2"/>
  <c r="B139" i="2"/>
  <c r="A140" i="2"/>
  <c r="B140" i="2"/>
  <c r="A141" i="2"/>
  <c r="B141" i="2"/>
  <c r="A142" i="2"/>
  <c r="B142" i="2"/>
  <c r="A143" i="2"/>
  <c r="B143" i="2"/>
  <c r="A144" i="2"/>
  <c r="B144" i="2"/>
  <c r="A145" i="2"/>
  <c r="B145" i="2"/>
  <c r="A146" i="2"/>
  <c r="B146" i="2"/>
  <c r="A147" i="2"/>
  <c r="B147" i="2"/>
  <c r="A148" i="2"/>
  <c r="B148" i="2"/>
  <c r="A149" i="2"/>
  <c r="B149" i="2"/>
  <c r="A150" i="2"/>
  <c r="B150" i="2"/>
  <c r="A151" i="2"/>
  <c r="B151" i="2"/>
  <c r="A152" i="2"/>
  <c r="B152" i="2"/>
  <c r="A153" i="2"/>
  <c r="B153" i="2"/>
  <c r="A154" i="2"/>
  <c r="B154" i="2"/>
  <c r="A155" i="2"/>
  <c r="B155" i="2"/>
  <c r="A156" i="2"/>
  <c r="B156" i="2"/>
  <c r="A157" i="2"/>
  <c r="B157" i="2"/>
  <c r="A158" i="2"/>
  <c r="B158" i="2"/>
  <c r="A159" i="2"/>
  <c r="B159" i="2"/>
  <c r="A160" i="2"/>
  <c r="B160" i="2"/>
  <c r="A161" i="2"/>
  <c r="B161" i="2"/>
  <c r="A162" i="2"/>
  <c r="B162" i="2"/>
  <c r="A163" i="2"/>
  <c r="B163" i="2"/>
  <c r="A164" i="2"/>
  <c r="B164" i="2"/>
  <c r="A165" i="2"/>
  <c r="B165" i="2"/>
  <c r="A166" i="2"/>
  <c r="B166" i="2"/>
  <c r="A167" i="2"/>
  <c r="B167" i="2"/>
  <c r="A168" i="2"/>
  <c r="B168" i="2"/>
  <c r="A169" i="2"/>
  <c r="B169" i="2"/>
  <c r="A170" i="2"/>
  <c r="B170" i="2"/>
  <c r="A171" i="2"/>
  <c r="B171" i="2"/>
  <c r="A172" i="2"/>
  <c r="B172" i="2"/>
  <c r="A173" i="2"/>
  <c r="B173" i="2"/>
  <c r="A174" i="2"/>
  <c r="B174" i="2"/>
  <c r="A175" i="2"/>
  <c r="B175" i="2"/>
  <c r="A176" i="2"/>
  <c r="B176" i="2"/>
  <c r="A177" i="2"/>
  <c r="B177" i="2"/>
  <c r="A178" i="2"/>
  <c r="B178" i="2"/>
  <c r="A179" i="2"/>
  <c r="B179" i="2"/>
  <c r="A180" i="2"/>
  <c r="B180" i="2"/>
  <c r="A181" i="2"/>
  <c r="B181" i="2"/>
  <c r="A182" i="2"/>
  <c r="B182" i="2"/>
  <c r="A183" i="2"/>
  <c r="B183" i="2"/>
  <c r="A184" i="2"/>
  <c r="B184" i="2"/>
  <c r="A185" i="2"/>
  <c r="B185" i="2"/>
  <c r="A186" i="2"/>
  <c r="B186" i="2"/>
  <c r="A187" i="2"/>
  <c r="B187" i="2"/>
  <c r="A188" i="2"/>
  <c r="B188" i="2"/>
  <c r="A189" i="2"/>
  <c r="B189" i="2"/>
  <c r="A190" i="2"/>
  <c r="B190" i="2"/>
  <c r="A191" i="2"/>
  <c r="B191" i="2"/>
  <c r="A192" i="2"/>
  <c r="B192" i="2"/>
  <c r="A193" i="2"/>
  <c r="B193" i="2"/>
  <c r="A194" i="2"/>
  <c r="B194" i="2"/>
  <c r="A195" i="2"/>
  <c r="B195" i="2"/>
  <c r="A196" i="2"/>
  <c r="B196" i="2"/>
  <c r="A197" i="2"/>
  <c r="B197" i="2"/>
  <c r="A198" i="2"/>
  <c r="B198" i="2"/>
  <c r="A199" i="2"/>
  <c r="B199" i="2"/>
  <c r="A200" i="2"/>
  <c r="B200" i="2"/>
  <c r="A201" i="2"/>
  <c r="B201" i="2"/>
  <c r="A202" i="2"/>
  <c r="B202" i="2"/>
  <c r="A203" i="2"/>
  <c r="B203" i="2"/>
  <c r="A204" i="2"/>
  <c r="B204" i="2"/>
  <c r="A205" i="2"/>
  <c r="B205" i="2"/>
  <c r="A206" i="2"/>
  <c r="B206" i="2"/>
  <c r="A207" i="2"/>
  <c r="B207" i="2"/>
  <c r="A208" i="2"/>
  <c r="B208" i="2"/>
  <c r="A209" i="2"/>
  <c r="B209" i="2"/>
  <c r="A210" i="2"/>
  <c r="B210" i="2"/>
  <c r="A211" i="2"/>
  <c r="B211" i="2"/>
  <c r="A212" i="2"/>
  <c r="B212" i="2"/>
  <c r="A213" i="2"/>
  <c r="B213" i="2"/>
  <c r="A214" i="2"/>
  <c r="B214" i="2"/>
  <c r="A215" i="2"/>
  <c r="B215" i="2"/>
  <c r="A216" i="2"/>
  <c r="B216" i="2"/>
  <c r="A217" i="2"/>
  <c r="B217" i="2"/>
  <c r="A218" i="2"/>
  <c r="B218" i="2"/>
  <c r="A219" i="2"/>
  <c r="B219" i="2"/>
  <c r="A220" i="2"/>
  <c r="B220" i="2"/>
  <c r="A221" i="2"/>
  <c r="B221" i="2"/>
  <c r="A222" i="2"/>
  <c r="B222" i="2"/>
  <c r="A223" i="2"/>
  <c r="B223" i="2"/>
  <c r="A224" i="2"/>
  <c r="B224" i="2"/>
  <c r="A225" i="2"/>
  <c r="B225" i="2"/>
  <c r="A226" i="2"/>
  <c r="B226" i="2"/>
  <c r="A227" i="2"/>
  <c r="B227" i="2"/>
  <c r="A228" i="2"/>
  <c r="B228" i="2"/>
  <c r="A229" i="2"/>
  <c r="B229" i="2"/>
  <c r="A230" i="2"/>
  <c r="B230" i="2"/>
  <c r="A231" i="2"/>
  <c r="B231" i="2"/>
  <c r="A232" i="2"/>
  <c r="B232" i="2"/>
  <c r="A233" i="2"/>
  <c r="B233" i="2"/>
  <c r="A234" i="2"/>
  <c r="B234" i="2"/>
  <c r="A235" i="2"/>
  <c r="B235" i="2"/>
  <c r="A236" i="2"/>
  <c r="B236" i="2"/>
  <c r="A237" i="2"/>
  <c r="B237" i="2"/>
  <c r="A238" i="2"/>
  <c r="B238" i="2"/>
  <c r="A239" i="2"/>
  <c r="B239" i="2"/>
  <c r="A240" i="2"/>
  <c r="B240" i="2"/>
  <c r="A241" i="2"/>
  <c r="B241" i="2"/>
  <c r="A242" i="2"/>
  <c r="B242" i="2"/>
  <c r="A243" i="2"/>
  <c r="B243" i="2"/>
  <c r="A244" i="2"/>
  <c r="B244" i="2"/>
  <c r="A245" i="2"/>
  <c r="B245" i="2"/>
  <c r="A246" i="2"/>
  <c r="B246" i="2"/>
  <c r="A247" i="2"/>
  <c r="B247" i="2"/>
  <c r="A248" i="2"/>
  <c r="B248" i="2"/>
  <c r="A249" i="2"/>
  <c r="B249" i="2"/>
  <c r="A250" i="2"/>
  <c r="B250" i="2"/>
  <c r="A251" i="2"/>
  <c r="B251" i="2"/>
  <c r="C2" i="2"/>
  <c r="B2" i="2"/>
  <c r="A2" i="2"/>
  <c r="D2" i="11" s="1"/>
  <c r="P3" i="8"/>
  <c r="P4" i="8"/>
  <c r="P5" i="8"/>
  <c r="P6" i="8"/>
  <c r="P7" i="8"/>
  <c r="P8" i="8"/>
  <c r="P9" i="8"/>
  <c r="P10" i="8"/>
  <c r="P11" i="8"/>
  <c r="P12" i="8"/>
  <c r="P13" i="8"/>
  <c r="P14" i="8"/>
  <c r="P15" i="8"/>
  <c r="P16" i="8"/>
  <c r="P2" i="8"/>
  <c r="E3" i="8"/>
  <c r="E4" i="8"/>
  <c r="E5" i="8"/>
  <c r="E6" i="8"/>
  <c r="E7" i="8"/>
  <c r="E8" i="8"/>
  <c r="E9" i="8"/>
  <c r="E10" i="8"/>
  <c r="E11" i="8"/>
  <c r="E12" i="8"/>
  <c r="E13" i="8"/>
  <c r="E14" i="8"/>
  <c r="E15" i="8"/>
  <c r="E16" i="8"/>
  <c r="E2" i="8"/>
  <c r="P3" i="22"/>
  <c r="P4" i="22"/>
  <c r="P5" i="22"/>
  <c r="P6" i="22"/>
  <c r="P7" i="22"/>
  <c r="P8" i="22"/>
  <c r="P9" i="22"/>
  <c r="P10" i="22"/>
  <c r="P11" i="22"/>
  <c r="P12" i="22"/>
  <c r="P13" i="22"/>
  <c r="P14" i="22"/>
  <c r="P15" i="22"/>
  <c r="P16" i="22"/>
  <c r="P2" i="22"/>
  <c r="E2" i="22"/>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 i="17"/>
  <c r="H5" i="21"/>
  <c r="N6" i="23"/>
  <c r="H221" i="21"/>
  <c r="H229" i="21"/>
  <c r="H233" i="21"/>
  <c r="H237" i="21"/>
  <c r="H241" i="21"/>
  <c r="H245" i="21"/>
  <c r="H249" i="21"/>
  <c r="A2" i="21"/>
  <c r="N2" i="23" s="1"/>
  <c r="A3" i="16"/>
  <c r="A4" i="16"/>
  <c r="A5" i="16"/>
  <c r="A6" i="16"/>
  <c r="A7" i="16"/>
  <c r="A8" i="16"/>
  <c r="A9" i="16"/>
  <c r="A10" i="16"/>
  <c r="A11" i="16"/>
  <c r="A12" i="16"/>
  <c r="A13" i="16"/>
  <c r="A14" i="16"/>
  <c r="A15" i="16"/>
  <c r="A16" i="16"/>
  <c r="A2" i="16"/>
  <c r="J2" i="16" s="1"/>
  <c r="AV3" i="20"/>
  <c r="AV4" i="20"/>
  <c r="AV5" i="20"/>
  <c r="AV6" i="20"/>
  <c r="AV7" i="20"/>
  <c r="AV8" i="20"/>
  <c r="AV9" i="20"/>
  <c r="AV10" i="20"/>
  <c r="AV11" i="20"/>
  <c r="AV12" i="20"/>
  <c r="AV13" i="20"/>
  <c r="AV14" i="20"/>
  <c r="AV15" i="20"/>
  <c r="AV16" i="20"/>
  <c r="AV2" i="20"/>
  <c r="AI3" i="20"/>
  <c r="AI4" i="20"/>
  <c r="AI5" i="20"/>
  <c r="AI6" i="20"/>
  <c r="AI7" i="20"/>
  <c r="AI8" i="20"/>
  <c r="AI9" i="20"/>
  <c r="AI10" i="20"/>
  <c r="AI11" i="20"/>
  <c r="AI12" i="20"/>
  <c r="AI13" i="20"/>
  <c r="AI14" i="20"/>
  <c r="AI15" i="20"/>
  <c r="AI16" i="20"/>
  <c r="AI2" i="20"/>
  <c r="A3" i="11"/>
  <c r="V3" i="19" s="1"/>
  <c r="A4" i="11"/>
  <c r="V4" i="19" s="1"/>
  <c r="A5" i="11"/>
  <c r="V5" i="19" s="1"/>
  <c r="A6" i="11"/>
  <c r="V6" i="19" s="1"/>
  <c r="A7" i="11"/>
  <c r="V7" i="19" s="1"/>
  <c r="A8" i="11"/>
  <c r="V8" i="19" s="1"/>
  <c r="A9" i="11"/>
  <c r="V9" i="19" s="1"/>
  <c r="A10" i="11"/>
  <c r="V10" i="19" s="1"/>
  <c r="A11" i="11"/>
  <c r="V11" i="19" s="1"/>
  <c r="A12" i="11"/>
  <c r="V12" i="19" s="1"/>
  <c r="A13" i="11"/>
  <c r="V13" i="19" s="1"/>
  <c r="A14" i="11"/>
  <c r="V14" i="19" s="1"/>
  <c r="A15" i="11"/>
  <c r="V15" i="19" s="1"/>
  <c r="A16" i="11"/>
  <c r="V16" i="19" s="1"/>
  <c r="A2" i="11"/>
  <c r="P3" i="23"/>
  <c r="P4" i="23"/>
  <c r="P5" i="23"/>
  <c r="P6" i="23"/>
  <c r="P7" i="23"/>
  <c r="P8" i="23"/>
  <c r="P9" i="23"/>
  <c r="P10" i="23"/>
  <c r="P11" i="23"/>
  <c r="P12" i="23"/>
  <c r="P13" i="23"/>
  <c r="P14" i="23"/>
  <c r="P15" i="23"/>
  <c r="P16" i="23"/>
  <c r="P2" i="23"/>
  <c r="N5" i="23"/>
  <c r="N9" i="23"/>
  <c r="N11" i="23"/>
  <c r="N15" i="23"/>
  <c r="AW3" i="11"/>
  <c r="AW4" i="11"/>
  <c r="AW5" i="11"/>
  <c r="AW6" i="11"/>
  <c r="AW7" i="11"/>
  <c r="AW8" i="11"/>
  <c r="AW9" i="11"/>
  <c r="AW10" i="11"/>
  <c r="AW11" i="11"/>
  <c r="AW12" i="11"/>
  <c r="AW13" i="11"/>
  <c r="AW14" i="11"/>
  <c r="AW15" i="11"/>
  <c r="AW16" i="1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 i="21"/>
  <c r="AA3" i="20"/>
  <c r="AA4" i="20"/>
  <c r="AA5" i="20"/>
  <c r="AA6" i="20"/>
  <c r="AA7" i="20"/>
  <c r="AA8" i="20"/>
  <c r="AA9" i="20"/>
  <c r="AA10" i="20"/>
  <c r="AA11" i="20"/>
  <c r="AA12" i="20"/>
  <c r="AA13" i="20"/>
  <c r="AA14" i="20"/>
  <c r="AA15" i="20"/>
  <c r="AA16" i="20"/>
  <c r="AA2" i="20"/>
  <c r="W16" i="23"/>
  <c r="T16" i="23"/>
  <c r="S16" i="23"/>
  <c r="R16" i="23"/>
  <c r="Q16" i="23"/>
  <c r="O16" i="23"/>
  <c r="L16" i="23"/>
  <c r="F16" i="23"/>
  <c r="E16" i="23"/>
  <c r="A16" i="23"/>
  <c r="B16" i="23"/>
  <c r="C16" i="23"/>
  <c r="W15" i="23"/>
  <c r="T15" i="23"/>
  <c r="S15" i="23"/>
  <c r="R15" i="23"/>
  <c r="Q15" i="23"/>
  <c r="O15" i="23"/>
  <c r="L15" i="23"/>
  <c r="F15" i="23"/>
  <c r="E15" i="23"/>
  <c r="A15" i="23"/>
  <c r="B15" i="23"/>
  <c r="C15" i="23"/>
  <c r="W14" i="23"/>
  <c r="T14" i="23"/>
  <c r="S14" i="23"/>
  <c r="R14" i="23"/>
  <c r="Q14" i="23"/>
  <c r="O14" i="23"/>
  <c r="L14" i="23"/>
  <c r="F14" i="23"/>
  <c r="E14" i="23"/>
  <c r="A14" i="23"/>
  <c r="B14" i="23"/>
  <c r="C14" i="23"/>
  <c r="W13" i="23"/>
  <c r="T13" i="23"/>
  <c r="S13" i="23"/>
  <c r="R13" i="23"/>
  <c r="Q13" i="23"/>
  <c r="O13" i="23"/>
  <c r="L13" i="23"/>
  <c r="F13" i="23"/>
  <c r="E13" i="23"/>
  <c r="A13" i="23"/>
  <c r="B13" i="23"/>
  <c r="C13" i="23"/>
  <c r="W12" i="23"/>
  <c r="T12" i="23"/>
  <c r="S12" i="23"/>
  <c r="R12" i="23"/>
  <c r="Q12" i="23"/>
  <c r="O12" i="23"/>
  <c r="L12" i="23"/>
  <c r="F12" i="23"/>
  <c r="E12" i="23"/>
  <c r="A12" i="23"/>
  <c r="B12" i="23"/>
  <c r="C12" i="23"/>
  <c r="W11" i="23"/>
  <c r="T11" i="23"/>
  <c r="S11" i="23"/>
  <c r="R11" i="23"/>
  <c r="Q11" i="23"/>
  <c r="O11" i="23"/>
  <c r="L11" i="23"/>
  <c r="F11" i="23"/>
  <c r="E11" i="23"/>
  <c r="A11" i="23"/>
  <c r="B11" i="23"/>
  <c r="C11" i="23"/>
  <c r="W10" i="23"/>
  <c r="T10" i="23"/>
  <c r="S10" i="23"/>
  <c r="R10" i="23"/>
  <c r="Q10" i="23"/>
  <c r="O10" i="23"/>
  <c r="L10" i="23"/>
  <c r="F10" i="23"/>
  <c r="E10" i="23"/>
  <c r="A10" i="23"/>
  <c r="B10" i="23"/>
  <c r="C10" i="23"/>
  <c r="W9" i="23"/>
  <c r="T9" i="23"/>
  <c r="S9" i="23"/>
  <c r="R9" i="23"/>
  <c r="Q9" i="23"/>
  <c r="O9" i="23"/>
  <c r="L9" i="23"/>
  <c r="F9" i="23"/>
  <c r="E9" i="23"/>
  <c r="A9" i="23"/>
  <c r="B9" i="23"/>
  <c r="C9" i="23"/>
  <c r="W8" i="23"/>
  <c r="T8" i="23"/>
  <c r="S8" i="23"/>
  <c r="R8" i="23"/>
  <c r="Q8" i="23"/>
  <c r="O8" i="23"/>
  <c r="L8" i="23"/>
  <c r="F8" i="23"/>
  <c r="E8" i="23"/>
  <c r="A8" i="23"/>
  <c r="B8" i="23"/>
  <c r="C8" i="23"/>
  <c r="W7" i="23"/>
  <c r="T7" i="23"/>
  <c r="S7" i="23"/>
  <c r="R7" i="23"/>
  <c r="Q7" i="23"/>
  <c r="O7" i="23"/>
  <c r="L7" i="23"/>
  <c r="F7" i="23"/>
  <c r="E7" i="23"/>
  <c r="A7" i="23"/>
  <c r="B7" i="23"/>
  <c r="C7" i="23"/>
  <c r="W6" i="23"/>
  <c r="T6" i="23"/>
  <c r="S6" i="23"/>
  <c r="R6" i="23"/>
  <c r="Q6" i="23"/>
  <c r="O6" i="23"/>
  <c r="L6" i="23"/>
  <c r="F6" i="23"/>
  <c r="E6" i="23"/>
  <c r="A6" i="23"/>
  <c r="B6" i="23"/>
  <c r="C6" i="23"/>
  <c r="W5" i="23"/>
  <c r="T5" i="23"/>
  <c r="S5" i="23"/>
  <c r="R5" i="23"/>
  <c r="Q5" i="23"/>
  <c r="O5" i="23"/>
  <c r="L5" i="23"/>
  <c r="F5" i="23"/>
  <c r="E5" i="23"/>
  <c r="A5" i="23"/>
  <c r="B5" i="23"/>
  <c r="C5" i="23"/>
  <c r="W4" i="23"/>
  <c r="T4" i="23"/>
  <c r="S4" i="23"/>
  <c r="R4" i="23"/>
  <c r="Q4" i="23"/>
  <c r="O4" i="23"/>
  <c r="L4" i="23"/>
  <c r="F4" i="23"/>
  <c r="E4" i="23"/>
  <c r="A4" i="23"/>
  <c r="B4" i="23"/>
  <c r="C4" i="23"/>
  <c r="W3" i="23"/>
  <c r="T3" i="23"/>
  <c r="S3" i="23"/>
  <c r="R3" i="23"/>
  <c r="Q3" i="23"/>
  <c r="O3" i="23"/>
  <c r="L3" i="23"/>
  <c r="F3" i="23"/>
  <c r="E3" i="23"/>
  <c r="A3" i="23"/>
  <c r="B3" i="23"/>
  <c r="C3" i="23"/>
  <c r="W2" i="23"/>
  <c r="T2" i="23"/>
  <c r="S2" i="23"/>
  <c r="R2" i="23"/>
  <c r="Q2" i="23"/>
  <c r="O2" i="23"/>
  <c r="L2" i="23"/>
  <c r="F2" i="23"/>
  <c r="E2" i="23"/>
  <c r="A2" i="23"/>
  <c r="B2" i="23"/>
  <c r="C2" i="23"/>
  <c r="W16" i="22"/>
  <c r="T16" i="22"/>
  <c r="S16" i="22"/>
  <c r="R16" i="22"/>
  <c r="Q16" i="22"/>
  <c r="W15" i="22"/>
  <c r="T15" i="22"/>
  <c r="S15" i="22"/>
  <c r="R15" i="22"/>
  <c r="Q15" i="22"/>
  <c r="W14" i="22"/>
  <c r="T14" i="22"/>
  <c r="S14" i="22"/>
  <c r="R14" i="22"/>
  <c r="Q14" i="22"/>
  <c r="W13" i="22"/>
  <c r="T13" i="22"/>
  <c r="S13" i="22"/>
  <c r="R13" i="22"/>
  <c r="Q13" i="22"/>
  <c r="W12" i="22"/>
  <c r="T12" i="22"/>
  <c r="S12" i="22"/>
  <c r="R12" i="22"/>
  <c r="Q12" i="22"/>
  <c r="W11" i="22"/>
  <c r="T11" i="22"/>
  <c r="S11" i="22"/>
  <c r="R11" i="22"/>
  <c r="Q11" i="22"/>
  <c r="W10" i="22"/>
  <c r="T10" i="22"/>
  <c r="S10" i="22"/>
  <c r="R10" i="22"/>
  <c r="Q10" i="22"/>
  <c r="W9" i="22"/>
  <c r="T9" i="22"/>
  <c r="S9" i="22"/>
  <c r="R9" i="22"/>
  <c r="Q9" i="22"/>
  <c r="W8" i="22"/>
  <c r="T8" i="22"/>
  <c r="S8" i="22"/>
  <c r="R8" i="22"/>
  <c r="Q8" i="22"/>
  <c r="W7" i="22"/>
  <c r="T7" i="22"/>
  <c r="S7" i="22"/>
  <c r="R7" i="22"/>
  <c r="Q7" i="22"/>
  <c r="W6" i="22"/>
  <c r="T6" i="22"/>
  <c r="S6" i="22"/>
  <c r="R6" i="22"/>
  <c r="Q6" i="22"/>
  <c r="W5" i="22"/>
  <c r="T5" i="22"/>
  <c r="S5" i="22"/>
  <c r="R5" i="22"/>
  <c r="Q5" i="22"/>
  <c r="W4" i="22"/>
  <c r="T4" i="22"/>
  <c r="S4" i="22"/>
  <c r="R4" i="22"/>
  <c r="Q4" i="22"/>
  <c r="W3" i="22"/>
  <c r="T3" i="22"/>
  <c r="S3" i="22"/>
  <c r="R3" i="22"/>
  <c r="Q3" i="22"/>
  <c r="W2" i="22"/>
  <c r="T2" i="22"/>
  <c r="S2" i="22"/>
  <c r="R2" i="22"/>
  <c r="Q2" i="22"/>
  <c r="L2" i="22"/>
  <c r="F2" i="22"/>
  <c r="J250" i="21"/>
  <c r="J249" i="21"/>
  <c r="J248" i="21"/>
  <c r="J247" i="21"/>
  <c r="H247" i="21"/>
  <c r="J246" i="21"/>
  <c r="J245" i="21"/>
  <c r="J244" i="21"/>
  <c r="J243" i="21"/>
  <c r="H243" i="21"/>
  <c r="J242" i="21"/>
  <c r="J241" i="21"/>
  <c r="J240" i="21"/>
  <c r="J239" i="21"/>
  <c r="H239" i="21"/>
  <c r="J238" i="21"/>
  <c r="J237" i="21"/>
  <c r="J236" i="21"/>
  <c r="J235" i="21"/>
  <c r="H235" i="21"/>
  <c r="J234" i="21"/>
  <c r="J233" i="21"/>
  <c r="J232" i="21"/>
  <c r="J231" i="21"/>
  <c r="H231" i="21"/>
  <c r="J230" i="21"/>
  <c r="J229" i="21"/>
  <c r="J228" i="21"/>
  <c r="J227" i="21"/>
  <c r="H227" i="21"/>
  <c r="J226" i="21"/>
  <c r="J225" i="21"/>
  <c r="H225" i="21"/>
  <c r="J224" i="21"/>
  <c r="J223" i="21"/>
  <c r="H223" i="21"/>
  <c r="J222" i="21"/>
  <c r="J221" i="21"/>
  <c r="J220" i="21"/>
  <c r="J219" i="21"/>
  <c r="H219" i="21"/>
  <c r="J218" i="21"/>
  <c r="J217" i="21"/>
  <c r="H217" i="21"/>
  <c r="J216" i="21"/>
  <c r="J215" i="21"/>
  <c r="H215" i="21"/>
  <c r="J214" i="21"/>
  <c r="H214" i="21"/>
  <c r="J213" i="21"/>
  <c r="H213" i="21"/>
  <c r="J212" i="21"/>
  <c r="J211" i="21"/>
  <c r="H211" i="21"/>
  <c r="J210" i="21"/>
  <c r="J209" i="21"/>
  <c r="H209" i="21"/>
  <c r="J208" i="21"/>
  <c r="J207" i="21"/>
  <c r="H207" i="21"/>
  <c r="J206" i="21"/>
  <c r="J205" i="21"/>
  <c r="H205" i="21"/>
  <c r="J204" i="21"/>
  <c r="J203" i="21"/>
  <c r="H203" i="21"/>
  <c r="J202" i="21"/>
  <c r="J201" i="21"/>
  <c r="H201" i="21"/>
  <c r="J200" i="21"/>
  <c r="J199" i="21"/>
  <c r="H199" i="21"/>
  <c r="J198" i="21"/>
  <c r="H198" i="21"/>
  <c r="J197" i="21"/>
  <c r="H197" i="21"/>
  <c r="J196" i="21"/>
  <c r="J195" i="21"/>
  <c r="H195" i="21"/>
  <c r="J194" i="21"/>
  <c r="J193" i="21"/>
  <c r="H193" i="21"/>
  <c r="J192" i="21"/>
  <c r="J191" i="21"/>
  <c r="H191" i="21"/>
  <c r="J190" i="21"/>
  <c r="J189" i="21"/>
  <c r="H189" i="21"/>
  <c r="J188" i="21"/>
  <c r="J187" i="21"/>
  <c r="H187" i="21"/>
  <c r="J186" i="21"/>
  <c r="J185" i="21"/>
  <c r="H185" i="21"/>
  <c r="J184" i="21"/>
  <c r="J183" i="21"/>
  <c r="H183" i="21"/>
  <c r="J182" i="21"/>
  <c r="H182" i="21"/>
  <c r="J181" i="21"/>
  <c r="H181" i="21"/>
  <c r="J180" i="21"/>
  <c r="J179" i="21"/>
  <c r="H179" i="21"/>
  <c r="J178" i="21"/>
  <c r="J177" i="21"/>
  <c r="H177" i="21"/>
  <c r="J176" i="21"/>
  <c r="J175" i="21"/>
  <c r="H175" i="21"/>
  <c r="J174" i="21"/>
  <c r="J173" i="21"/>
  <c r="H173" i="21"/>
  <c r="J172" i="21"/>
  <c r="J171" i="21"/>
  <c r="H171" i="21"/>
  <c r="J170" i="21"/>
  <c r="J169" i="21"/>
  <c r="H169" i="21"/>
  <c r="J168" i="21"/>
  <c r="J167" i="21"/>
  <c r="H167" i="21"/>
  <c r="J166" i="21"/>
  <c r="H166" i="21"/>
  <c r="J165" i="21"/>
  <c r="H165" i="21"/>
  <c r="J164" i="21"/>
  <c r="J163" i="21"/>
  <c r="H163" i="21"/>
  <c r="J162" i="21"/>
  <c r="J161" i="21"/>
  <c r="H161" i="21"/>
  <c r="J160" i="21"/>
  <c r="J159" i="21"/>
  <c r="H159" i="21"/>
  <c r="J158" i="21"/>
  <c r="J157" i="21"/>
  <c r="H157" i="21"/>
  <c r="J156" i="21"/>
  <c r="J155" i="21"/>
  <c r="H155" i="21"/>
  <c r="J154" i="21"/>
  <c r="J153" i="21"/>
  <c r="H153" i="21"/>
  <c r="J152" i="21"/>
  <c r="J151" i="21"/>
  <c r="H151" i="21"/>
  <c r="J150" i="21"/>
  <c r="H150" i="21"/>
  <c r="J149" i="21"/>
  <c r="H149" i="21"/>
  <c r="J148" i="21"/>
  <c r="J147" i="21"/>
  <c r="H147" i="21"/>
  <c r="J146" i="21"/>
  <c r="J145" i="21"/>
  <c r="H145" i="21"/>
  <c r="J144" i="21"/>
  <c r="J143" i="21"/>
  <c r="H143" i="21"/>
  <c r="J142" i="21"/>
  <c r="J141" i="21"/>
  <c r="H141" i="21"/>
  <c r="J140" i="21"/>
  <c r="J139" i="21"/>
  <c r="H139" i="21"/>
  <c r="J138" i="21"/>
  <c r="H138" i="21"/>
  <c r="J137" i="21"/>
  <c r="H137" i="21"/>
  <c r="J136" i="21"/>
  <c r="J135" i="21"/>
  <c r="H135" i="21"/>
  <c r="J134" i="21"/>
  <c r="J133" i="21"/>
  <c r="H133" i="21"/>
  <c r="J132" i="21"/>
  <c r="J131" i="21"/>
  <c r="H131" i="21"/>
  <c r="J130" i="21"/>
  <c r="J129" i="21"/>
  <c r="H129" i="21"/>
  <c r="J128" i="21"/>
  <c r="J127" i="21"/>
  <c r="H127" i="21"/>
  <c r="J126" i="21"/>
  <c r="J125" i="21"/>
  <c r="H125" i="21"/>
  <c r="J124" i="21"/>
  <c r="J123" i="21"/>
  <c r="H123" i="21"/>
  <c r="J122" i="21"/>
  <c r="H122" i="21"/>
  <c r="J121" i="21"/>
  <c r="H121" i="21"/>
  <c r="J120" i="21"/>
  <c r="J119" i="21"/>
  <c r="H119" i="21"/>
  <c r="J118" i="21"/>
  <c r="J117" i="21"/>
  <c r="H117" i="21"/>
  <c r="J116" i="21"/>
  <c r="J115" i="21"/>
  <c r="H115" i="21"/>
  <c r="J114" i="21"/>
  <c r="D114" i="21"/>
  <c r="J113" i="21"/>
  <c r="H113" i="21"/>
  <c r="J112" i="21"/>
  <c r="J111" i="21"/>
  <c r="H111" i="21"/>
  <c r="J110" i="21"/>
  <c r="J109" i="21"/>
  <c r="H109" i="21"/>
  <c r="J108" i="21"/>
  <c r="J107" i="21"/>
  <c r="H107" i="21"/>
  <c r="J106" i="21"/>
  <c r="J105" i="21"/>
  <c r="H105" i="21"/>
  <c r="J104" i="21"/>
  <c r="J103" i="21"/>
  <c r="H103" i="21"/>
  <c r="J102" i="21"/>
  <c r="H102" i="21"/>
  <c r="J101" i="21"/>
  <c r="H101" i="21"/>
  <c r="J100" i="21"/>
  <c r="J99" i="21"/>
  <c r="H99" i="21"/>
  <c r="J98" i="21"/>
  <c r="J97" i="21"/>
  <c r="H97" i="21"/>
  <c r="J96" i="21"/>
  <c r="J95" i="21"/>
  <c r="H95" i="21"/>
  <c r="J94" i="21"/>
  <c r="J93" i="21"/>
  <c r="H93" i="21"/>
  <c r="J92" i="21"/>
  <c r="J91" i="21"/>
  <c r="H91" i="21"/>
  <c r="J90" i="21"/>
  <c r="J89" i="21"/>
  <c r="H89" i="21"/>
  <c r="J88" i="21"/>
  <c r="J87" i="21"/>
  <c r="H87" i="21"/>
  <c r="J86" i="21"/>
  <c r="J85" i="21"/>
  <c r="H85" i="21"/>
  <c r="J84" i="21"/>
  <c r="J83" i="21"/>
  <c r="H83" i="21"/>
  <c r="J82" i="21"/>
  <c r="J81" i="21"/>
  <c r="H81" i="21"/>
  <c r="J80" i="21"/>
  <c r="J79" i="21"/>
  <c r="H79" i="21"/>
  <c r="J78" i="21"/>
  <c r="J77" i="21"/>
  <c r="H77" i="21"/>
  <c r="J76" i="21"/>
  <c r="J75" i="21"/>
  <c r="H75" i="21"/>
  <c r="J74" i="21"/>
  <c r="J73" i="21"/>
  <c r="H73" i="21"/>
  <c r="J72" i="21"/>
  <c r="J71" i="21"/>
  <c r="H71" i="21"/>
  <c r="J70" i="21"/>
  <c r="J69" i="21"/>
  <c r="H69" i="21"/>
  <c r="J68" i="21"/>
  <c r="J67" i="21"/>
  <c r="H67" i="21"/>
  <c r="J66" i="21"/>
  <c r="J65" i="21"/>
  <c r="H65" i="21"/>
  <c r="J64" i="21"/>
  <c r="J63" i="21"/>
  <c r="H63" i="21"/>
  <c r="J62" i="21"/>
  <c r="J61" i="21"/>
  <c r="H61" i="21"/>
  <c r="J60" i="21"/>
  <c r="J59" i="21"/>
  <c r="H59" i="21"/>
  <c r="J58" i="21"/>
  <c r="H58" i="21"/>
  <c r="J57" i="21"/>
  <c r="H57" i="21"/>
  <c r="J56" i="21"/>
  <c r="J55" i="21"/>
  <c r="H55" i="21"/>
  <c r="J54" i="21"/>
  <c r="J53" i="21"/>
  <c r="H53" i="21"/>
  <c r="J52" i="21"/>
  <c r="J51" i="21"/>
  <c r="H51" i="21"/>
  <c r="J50" i="21"/>
  <c r="J49" i="21"/>
  <c r="H49" i="21"/>
  <c r="J48" i="21"/>
  <c r="J47" i="21"/>
  <c r="H47" i="21"/>
  <c r="J46" i="21"/>
  <c r="J45" i="21"/>
  <c r="H45" i="21"/>
  <c r="J44" i="21"/>
  <c r="J43" i="21"/>
  <c r="H43" i="21"/>
  <c r="J42" i="21"/>
  <c r="H42" i="21"/>
  <c r="J41" i="21"/>
  <c r="H41" i="21"/>
  <c r="J40" i="21"/>
  <c r="J39" i="21"/>
  <c r="H39" i="21"/>
  <c r="J38" i="21"/>
  <c r="J37" i="21"/>
  <c r="H37" i="21"/>
  <c r="J36" i="21"/>
  <c r="J35" i="21"/>
  <c r="H35" i="21"/>
  <c r="J34" i="21"/>
  <c r="J33" i="21"/>
  <c r="H33" i="21"/>
  <c r="J32" i="21"/>
  <c r="J31" i="21"/>
  <c r="H31" i="21"/>
  <c r="J30" i="21"/>
  <c r="J29" i="21"/>
  <c r="H29" i="21"/>
  <c r="J28" i="21"/>
  <c r="J27" i="21"/>
  <c r="H27" i="21"/>
  <c r="J26" i="21"/>
  <c r="H26" i="21"/>
  <c r="J25" i="21"/>
  <c r="H25" i="21"/>
  <c r="J24" i="21"/>
  <c r="J23" i="21"/>
  <c r="H23" i="21"/>
  <c r="J22" i="21"/>
  <c r="J21" i="21"/>
  <c r="H21" i="21"/>
  <c r="J20" i="21"/>
  <c r="J19" i="21"/>
  <c r="H19" i="21"/>
  <c r="J18" i="21"/>
  <c r="J17" i="21"/>
  <c r="J16" i="21"/>
  <c r="J15" i="21"/>
  <c r="H15" i="21"/>
  <c r="J14" i="21"/>
  <c r="H14" i="21"/>
  <c r="J13" i="21"/>
  <c r="J12" i="21"/>
  <c r="J11" i="21"/>
  <c r="H11" i="21"/>
  <c r="J10" i="21"/>
  <c r="J9" i="21"/>
  <c r="H9" i="21"/>
  <c r="J8" i="21"/>
  <c r="J7" i="21"/>
  <c r="H7" i="21"/>
  <c r="J6" i="21"/>
  <c r="J5" i="21"/>
  <c r="J4" i="21"/>
  <c r="J3" i="21"/>
  <c r="H3" i="21"/>
  <c r="J2" i="21"/>
  <c r="AJ5001" i="1"/>
  <c r="A3" i="17"/>
  <c r="D3" i="17"/>
  <c r="E3" i="17"/>
  <c r="A4" i="17"/>
  <c r="D4" i="17"/>
  <c r="E4" i="17"/>
  <c r="A5" i="17"/>
  <c r="D5" i="17"/>
  <c r="E5" i="17"/>
  <c r="A6" i="17"/>
  <c r="D6" i="17"/>
  <c r="E6" i="17"/>
  <c r="A7" i="17"/>
  <c r="D7" i="17"/>
  <c r="E7" i="17"/>
  <c r="A8" i="17"/>
  <c r="D8" i="17"/>
  <c r="E8" i="17"/>
  <c r="A9" i="17"/>
  <c r="D9" i="17"/>
  <c r="E9" i="17"/>
  <c r="A10" i="17"/>
  <c r="D10" i="17"/>
  <c r="E10" i="17"/>
  <c r="A11" i="17"/>
  <c r="D11" i="17"/>
  <c r="E11" i="17"/>
  <c r="A12" i="17"/>
  <c r="D12" i="17"/>
  <c r="E12" i="17"/>
  <c r="A13" i="17"/>
  <c r="D13" i="17"/>
  <c r="E13" i="17"/>
  <c r="A14" i="17"/>
  <c r="D14" i="17"/>
  <c r="E14" i="17"/>
  <c r="A15" i="17"/>
  <c r="D15" i="17"/>
  <c r="E15" i="17"/>
  <c r="A16" i="17"/>
  <c r="D16" i="17"/>
  <c r="E16" i="17"/>
  <c r="A17" i="17"/>
  <c r="D17" i="17"/>
  <c r="E17" i="17"/>
  <c r="A18" i="17"/>
  <c r="D18" i="17"/>
  <c r="E18" i="17"/>
  <c r="A19" i="17"/>
  <c r="D19" i="17"/>
  <c r="E19" i="17"/>
  <c r="A20" i="17"/>
  <c r="D20" i="17"/>
  <c r="E20" i="17"/>
  <c r="A21" i="17"/>
  <c r="D21" i="17"/>
  <c r="E21" i="17"/>
  <c r="A22" i="17"/>
  <c r="D22" i="17"/>
  <c r="E22" i="17"/>
  <c r="A23" i="17"/>
  <c r="D23" i="17"/>
  <c r="E23" i="17"/>
  <c r="A24" i="17"/>
  <c r="D24" i="17"/>
  <c r="E24" i="17"/>
  <c r="A25" i="17"/>
  <c r="D25" i="17"/>
  <c r="E25" i="17"/>
  <c r="A26" i="17"/>
  <c r="D26" i="17"/>
  <c r="E26" i="17"/>
  <c r="A27" i="17"/>
  <c r="D27" i="17"/>
  <c r="E27" i="17"/>
  <c r="A28" i="17"/>
  <c r="D28" i="17"/>
  <c r="E28" i="17"/>
  <c r="A29" i="17"/>
  <c r="D29" i="17"/>
  <c r="E29" i="17"/>
  <c r="A30" i="17"/>
  <c r="D30" i="17"/>
  <c r="E30" i="17"/>
  <c r="A31" i="17"/>
  <c r="D31" i="17"/>
  <c r="E31" i="17"/>
  <c r="A32" i="17"/>
  <c r="D32" i="17"/>
  <c r="E32" i="17"/>
  <c r="A33" i="17"/>
  <c r="D33" i="17"/>
  <c r="E33" i="17"/>
  <c r="A34" i="17"/>
  <c r="D34" i="17"/>
  <c r="E34" i="17"/>
  <c r="A35" i="17"/>
  <c r="D35" i="17"/>
  <c r="E35" i="17"/>
  <c r="A36" i="17"/>
  <c r="D36" i="17"/>
  <c r="E36" i="17"/>
  <c r="A37" i="17"/>
  <c r="D37" i="17"/>
  <c r="E37" i="17"/>
  <c r="A38" i="17"/>
  <c r="D38" i="17"/>
  <c r="E38" i="17"/>
  <c r="A39" i="17"/>
  <c r="D39" i="17"/>
  <c r="E39" i="17"/>
  <c r="A40" i="17"/>
  <c r="D40" i="17"/>
  <c r="E40" i="17"/>
  <c r="A41" i="17"/>
  <c r="D41" i="17"/>
  <c r="E41" i="17"/>
  <c r="A42" i="17"/>
  <c r="D42" i="17"/>
  <c r="E42" i="17"/>
  <c r="A43" i="17"/>
  <c r="D43" i="17"/>
  <c r="E43" i="17"/>
  <c r="A44" i="17"/>
  <c r="D44" i="17"/>
  <c r="E44" i="17"/>
  <c r="A45" i="17"/>
  <c r="D45" i="17"/>
  <c r="E45" i="17"/>
  <c r="A46" i="17"/>
  <c r="D46" i="17"/>
  <c r="E46" i="17"/>
  <c r="A47" i="17"/>
  <c r="D47" i="17"/>
  <c r="E47" i="17"/>
  <c r="A48" i="17"/>
  <c r="D48" i="17"/>
  <c r="E48" i="17"/>
  <c r="A49" i="17"/>
  <c r="D49" i="17"/>
  <c r="E49" i="17"/>
  <c r="A50" i="17"/>
  <c r="D50" i="17"/>
  <c r="E50" i="17"/>
  <c r="A51" i="17"/>
  <c r="D51" i="17"/>
  <c r="E51" i="17"/>
  <c r="A52" i="17"/>
  <c r="D52" i="17"/>
  <c r="E52" i="17"/>
  <c r="A53" i="17"/>
  <c r="D53" i="17"/>
  <c r="E53" i="17"/>
  <c r="A54" i="17"/>
  <c r="D54" i="17"/>
  <c r="E54" i="17"/>
  <c r="A55" i="17"/>
  <c r="D55" i="17"/>
  <c r="E55" i="17"/>
  <c r="A56" i="17"/>
  <c r="D56" i="17"/>
  <c r="E56" i="17"/>
  <c r="A57" i="17"/>
  <c r="D57" i="17"/>
  <c r="E57" i="17"/>
  <c r="A58" i="17"/>
  <c r="D58" i="17"/>
  <c r="E58" i="17"/>
  <c r="A59" i="17"/>
  <c r="D59" i="17"/>
  <c r="E59" i="17"/>
  <c r="A60" i="17"/>
  <c r="D60" i="17"/>
  <c r="E60" i="17"/>
  <c r="A61" i="17"/>
  <c r="D61" i="17"/>
  <c r="E61" i="17"/>
  <c r="A62" i="17"/>
  <c r="D62" i="17"/>
  <c r="E62" i="17"/>
  <c r="A63" i="17"/>
  <c r="D63" i="17"/>
  <c r="E63" i="17"/>
  <c r="A64" i="17"/>
  <c r="D64" i="17"/>
  <c r="E64" i="17"/>
  <c r="A65" i="17"/>
  <c r="D65" i="17"/>
  <c r="E65" i="17"/>
  <c r="A66" i="17"/>
  <c r="D66" i="17"/>
  <c r="E66" i="17"/>
  <c r="A67" i="17"/>
  <c r="D67" i="17"/>
  <c r="E67" i="17"/>
  <c r="A68" i="17"/>
  <c r="D68" i="17"/>
  <c r="E68" i="17"/>
  <c r="A69" i="17"/>
  <c r="D69" i="17"/>
  <c r="E69" i="17"/>
  <c r="A70" i="17"/>
  <c r="D70" i="17"/>
  <c r="E70" i="17"/>
  <c r="A71" i="17"/>
  <c r="D71" i="17"/>
  <c r="E71" i="17"/>
  <c r="A72" i="17"/>
  <c r="D72" i="17"/>
  <c r="E72" i="17"/>
  <c r="A73" i="17"/>
  <c r="D73" i="17"/>
  <c r="E73" i="17"/>
  <c r="A74" i="17"/>
  <c r="D74" i="17"/>
  <c r="E74" i="17"/>
  <c r="A75" i="17"/>
  <c r="D75" i="17"/>
  <c r="E75" i="17"/>
  <c r="A76" i="17"/>
  <c r="D76" i="17"/>
  <c r="E76" i="17"/>
  <c r="A77" i="17"/>
  <c r="D77" i="17"/>
  <c r="E77" i="17"/>
  <c r="A78" i="17"/>
  <c r="D78" i="17"/>
  <c r="E78" i="17"/>
  <c r="A79" i="17"/>
  <c r="D79" i="17"/>
  <c r="E79" i="17"/>
  <c r="A80" i="17"/>
  <c r="D80" i="17"/>
  <c r="E80" i="17"/>
  <c r="A81" i="17"/>
  <c r="D81" i="17"/>
  <c r="E81" i="17"/>
  <c r="A82" i="17"/>
  <c r="D82" i="17"/>
  <c r="E82" i="17"/>
  <c r="A83" i="17"/>
  <c r="D83" i="17"/>
  <c r="E83" i="17"/>
  <c r="A84" i="17"/>
  <c r="D84" i="17"/>
  <c r="E84" i="17"/>
  <c r="A85" i="17"/>
  <c r="D85" i="17"/>
  <c r="E85" i="17"/>
  <c r="A86" i="17"/>
  <c r="D86" i="17"/>
  <c r="E86" i="17"/>
  <c r="A87" i="17"/>
  <c r="D87" i="17"/>
  <c r="E87" i="17"/>
  <c r="A88" i="17"/>
  <c r="D88" i="17"/>
  <c r="E88" i="17"/>
  <c r="A89" i="17"/>
  <c r="D89" i="17"/>
  <c r="E89" i="17"/>
  <c r="A90" i="17"/>
  <c r="D90" i="17"/>
  <c r="E90" i="17"/>
  <c r="A91" i="17"/>
  <c r="D91" i="17"/>
  <c r="E91" i="17"/>
  <c r="A92" i="17"/>
  <c r="D92" i="17"/>
  <c r="E92" i="17"/>
  <c r="A93" i="17"/>
  <c r="D93" i="17"/>
  <c r="E93" i="17"/>
  <c r="A94" i="17"/>
  <c r="D94" i="17"/>
  <c r="E94" i="17"/>
  <c r="A95" i="17"/>
  <c r="D95" i="17"/>
  <c r="E95" i="17"/>
  <c r="A96" i="17"/>
  <c r="D96" i="17"/>
  <c r="E96" i="17"/>
  <c r="A97" i="17"/>
  <c r="D97" i="17"/>
  <c r="E97" i="17"/>
  <c r="A98" i="17"/>
  <c r="D98" i="17"/>
  <c r="E98" i="17"/>
  <c r="A99" i="17"/>
  <c r="D99" i="17"/>
  <c r="E99" i="17"/>
  <c r="A100" i="17"/>
  <c r="D100" i="17"/>
  <c r="E100" i="17"/>
  <c r="A101" i="17"/>
  <c r="D101" i="17"/>
  <c r="E101" i="17"/>
  <c r="A102" i="17"/>
  <c r="D102" i="17"/>
  <c r="E102" i="17"/>
  <c r="A103" i="17"/>
  <c r="D103" i="17"/>
  <c r="E103" i="17"/>
  <c r="A104" i="17"/>
  <c r="D104" i="17"/>
  <c r="E104" i="17"/>
  <c r="A105" i="17"/>
  <c r="D105" i="17"/>
  <c r="E105" i="17"/>
  <c r="A106" i="17"/>
  <c r="D106" i="17"/>
  <c r="E106" i="17"/>
  <c r="A107" i="17"/>
  <c r="D107" i="17"/>
  <c r="E107" i="17"/>
  <c r="A108" i="17"/>
  <c r="D108" i="17"/>
  <c r="E108" i="17"/>
  <c r="A109" i="17"/>
  <c r="D109" i="17"/>
  <c r="E109" i="17"/>
  <c r="A110" i="17"/>
  <c r="D110" i="17"/>
  <c r="E110" i="17"/>
  <c r="A111" i="17"/>
  <c r="D111" i="17"/>
  <c r="E111" i="17"/>
  <c r="A112" i="17"/>
  <c r="D112" i="17"/>
  <c r="E112" i="17"/>
  <c r="A113" i="17"/>
  <c r="D113" i="17"/>
  <c r="E113" i="17"/>
  <c r="A114" i="17"/>
  <c r="D114" i="17"/>
  <c r="E114" i="17"/>
  <c r="A115" i="17"/>
  <c r="D115" i="17"/>
  <c r="E115" i="17"/>
  <c r="A116" i="17"/>
  <c r="D116" i="17"/>
  <c r="E116" i="17"/>
  <c r="A117" i="17"/>
  <c r="D117" i="17"/>
  <c r="E117" i="17"/>
  <c r="A118" i="17"/>
  <c r="D118" i="17"/>
  <c r="E118" i="17"/>
  <c r="A119" i="17"/>
  <c r="D119" i="17"/>
  <c r="E119" i="17"/>
  <c r="A120" i="17"/>
  <c r="D120" i="17"/>
  <c r="E120" i="17"/>
  <c r="A121" i="17"/>
  <c r="D121" i="17"/>
  <c r="E121" i="17"/>
  <c r="A122" i="17"/>
  <c r="D122" i="17"/>
  <c r="E122" i="17"/>
  <c r="A123" i="17"/>
  <c r="D123" i="17"/>
  <c r="E123" i="17"/>
  <c r="A124" i="17"/>
  <c r="D124" i="17"/>
  <c r="E124" i="17"/>
  <c r="A125" i="17"/>
  <c r="D125" i="17"/>
  <c r="E125" i="17"/>
  <c r="A126" i="17"/>
  <c r="D126" i="17"/>
  <c r="E126" i="17"/>
  <c r="A127" i="17"/>
  <c r="D127" i="17"/>
  <c r="E127" i="17"/>
  <c r="A128" i="17"/>
  <c r="D128" i="17"/>
  <c r="E128" i="17"/>
  <c r="A129" i="17"/>
  <c r="D129" i="17"/>
  <c r="E129" i="17"/>
  <c r="A130" i="17"/>
  <c r="D130" i="17"/>
  <c r="E130" i="17"/>
  <c r="A131" i="17"/>
  <c r="D131" i="17"/>
  <c r="E131" i="17"/>
  <c r="A132" i="17"/>
  <c r="D132" i="17"/>
  <c r="E132" i="17"/>
  <c r="A133" i="17"/>
  <c r="D133" i="17"/>
  <c r="E133" i="17"/>
  <c r="A134" i="17"/>
  <c r="D134" i="17"/>
  <c r="E134" i="17"/>
  <c r="A135" i="17"/>
  <c r="D135" i="17"/>
  <c r="E135" i="17"/>
  <c r="A136" i="17"/>
  <c r="D136" i="17"/>
  <c r="E136" i="17"/>
  <c r="A137" i="17"/>
  <c r="D137" i="17"/>
  <c r="E137" i="17"/>
  <c r="A138" i="17"/>
  <c r="D138" i="17"/>
  <c r="E138" i="17"/>
  <c r="A139" i="17"/>
  <c r="D139" i="17"/>
  <c r="E139" i="17"/>
  <c r="A140" i="17"/>
  <c r="D140" i="17"/>
  <c r="E140" i="17"/>
  <c r="A141" i="17"/>
  <c r="D141" i="17"/>
  <c r="E141" i="17"/>
  <c r="A142" i="17"/>
  <c r="D142" i="17"/>
  <c r="E142" i="17"/>
  <c r="A143" i="17"/>
  <c r="D143" i="17"/>
  <c r="E143" i="17"/>
  <c r="A144" i="17"/>
  <c r="D144" i="17"/>
  <c r="E144" i="17"/>
  <c r="A145" i="17"/>
  <c r="D145" i="17"/>
  <c r="E145" i="17"/>
  <c r="A146" i="17"/>
  <c r="D146" i="17"/>
  <c r="E146" i="17"/>
  <c r="A147" i="17"/>
  <c r="D147" i="17"/>
  <c r="E147" i="17"/>
  <c r="A148" i="17"/>
  <c r="D148" i="17"/>
  <c r="E148" i="17"/>
  <c r="A149" i="17"/>
  <c r="D149" i="17"/>
  <c r="E149" i="17"/>
  <c r="A150" i="17"/>
  <c r="D150" i="17"/>
  <c r="E150" i="17"/>
  <c r="A151" i="17"/>
  <c r="D151" i="17"/>
  <c r="E151" i="17"/>
  <c r="A152" i="17"/>
  <c r="D152" i="17"/>
  <c r="E152" i="17"/>
  <c r="A153" i="17"/>
  <c r="D153" i="17"/>
  <c r="E153" i="17"/>
  <c r="A154" i="17"/>
  <c r="D154" i="17"/>
  <c r="E154" i="17"/>
  <c r="A155" i="17"/>
  <c r="D155" i="17"/>
  <c r="E155" i="17"/>
  <c r="A156" i="17"/>
  <c r="D156" i="17"/>
  <c r="E156" i="17"/>
  <c r="A157" i="17"/>
  <c r="D157" i="17"/>
  <c r="E157" i="17"/>
  <c r="A158" i="17"/>
  <c r="D158" i="17"/>
  <c r="E158" i="17"/>
  <c r="A159" i="17"/>
  <c r="D159" i="17"/>
  <c r="E159" i="17"/>
  <c r="A160" i="17"/>
  <c r="D160" i="17"/>
  <c r="E160" i="17"/>
  <c r="A161" i="17"/>
  <c r="D161" i="17"/>
  <c r="E161" i="17"/>
  <c r="A162" i="17"/>
  <c r="D162" i="17"/>
  <c r="E162" i="17"/>
  <c r="A163" i="17"/>
  <c r="D163" i="17"/>
  <c r="E163" i="17"/>
  <c r="A164" i="17"/>
  <c r="D164" i="17"/>
  <c r="E164" i="17"/>
  <c r="A165" i="17"/>
  <c r="D165" i="17"/>
  <c r="E165" i="17"/>
  <c r="A166" i="17"/>
  <c r="D166" i="17"/>
  <c r="E166" i="17"/>
  <c r="A167" i="17"/>
  <c r="D167" i="17"/>
  <c r="E167" i="17"/>
  <c r="A168" i="17"/>
  <c r="D168" i="17"/>
  <c r="E168" i="17"/>
  <c r="A169" i="17"/>
  <c r="D169" i="17"/>
  <c r="E169" i="17"/>
  <c r="A170" i="17"/>
  <c r="D170" i="17"/>
  <c r="E170" i="17"/>
  <c r="A171" i="17"/>
  <c r="D171" i="17"/>
  <c r="E171" i="17"/>
  <c r="A172" i="17"/>
  <c r="D172" i="17"/>
  <c r="E172" i="17"/>
  <c r="A173" i="17"/>
  <c r="D173" i="17"/>
  <c r="E173" i="17"/>
  <c r="A174" i="17"/>
  <c r="D174" i="17"/>
  <c r="E174" i="17"/>
  <c r="A175" i="17"/>
  <c r="D175" i="17"/>
  <c r="E175" i="17"/>
  <c r="A176" i="17"/>
  <c r="D176" i="17"/>
  <c r="E176" i="17"/>
  <c r="A177" i="17"/>
  <c r="D177" i="17"/>
  <c r="E177" i="17"/>
  <c r="A178" i="17"/>
  <c r="D178" i="17"/>
  <c r="E178" i="17"/>
  <c r="A179" i="17"/>
  <c r="D179" i="17"/>
  <c r="E179" i="17"/>
  <c r="A180" i="17"/>
  <c r="D180" i="17"/>
  <c r="E180" i="17"/>
  <c r="A181" i="17"/>
  <c r="D181" i="17"/>
  <c r="E181" i="17"/>
  <c r="A182" i="17"/>
  <c r="D182" i="17"/>
  <c r="E182" i="17"/>
  <c r="A183" i="17"/>
  <c r="D183" i="17"/>
  <c r="E183" i="17"/>
  <c r="A184" i="17"/>
  <c r="D184" i="17"/>
  <c r="E184" i="17"/>
  <c r="A185" i="17"/>
  <c r="D185" i="17"/>
  <c r="E185" i="17"/>
  <c r="A186" i="17"/>
  <c r="D186" i="17"/>
  <c r="E186" i="17"/>
  <c r="A187" i="17"/>
  <c r="D187" i="17"/>
  <c r="E187" i="17"/>
  <c r="A188" i="17"/>
  <c r="D188" i="17"/>
  <c r="E188" i="17"/>
  <c r="A189" i="17"/>
  <c r="D189" i="17"/>
  <c r="E189" i="17"/>
  <c r="A190" i="17"/>
  <c r="D190" i="17"/>
  <c r="E190" i="17"/>
  <c r="A191" i="17"/>
  <c r="D191" i="17"/>
  <c r="E191" i="17"/>
  <c r="A192" i="17"/>
  <c r="D192" i="17"/>
  <c r="E192" i="17"/>
  <c r="A193" i="17"/>
  <c r="D193" i="17"/>
  <c r="E193" i="17"/>
  <c r="A194" i="17"/>
  <c r="D194" i="17"/>
  <c r="E194" i="17"/>
  <c r="A195" i="17"/>
  <c r="D195" i="17"/>
  <c r="E195" i="17"/>
  <c r="A196" i="17"/>
  <c r="D196" i="17"/>
  <c r="E196" i="17"/>
  <c r="A197" i="17"/>
  <c r="D197" i="17"/>
  <c r="E197" i="17"/>
  <c r="A198" i="17"/>
  <c r="D198" i="17"/>
  <c r="E198" i="17"/>
  <c r="A199" i="17"/>
  <c r="D199" i="17"/>
  <c r="E199" i="17"/>
  <c r="A200" i="17"/>
  <c r="D200" i="17"/>
  <c r="E200" i="17"/>
  <c r="A201" i="17"/>
  <c r="D201" i="17"/>
  <c r="E201" i="17"/>
  <c r="A202" i="17"/>
  <c r="D202" i="17"/>
  <c r="E202" i="17"/>
  <c r="A203" i="17"/>
  <c r="D203" i="17"/>
  <c r="E203" i="17"/>
  <c r="A204" i="17"/>
  <c r="D204" i="17"/>
  <c r="E204" i="17"/>
  <c r="A205" i="17"/>
  <c r="D205" i="17"/>
  <c r="E205" i="17"/>
  <c r="A206" i="17"/>
  <c r="D206" i="17"/>
  <c r="E206" i="17"/>
  <c r="A207" i="17"/>
  <c r="D207" i="17"/>
  <c r="E207" i="17"/>
  <c r="A208" i="17"/>
  <c r="D208" i="17"/>
  <c r="E208" i="17"/>
  <c r="A209" i="17"/>
  <c r="D209" i="17"/>
  <c r="E209" i="17"/>
  <c r="A210" i="17"/>
  <c r="D210" i="17"/>
  <c r="E210" i="17"/>
  <c r="A211" i="17"/>
  <c r="D211" i="17"/>
  <c r="E211" i="17"/>
  <c r="A212" i="17"/>
  <c r="D212" i="17"/>
  <c r="E212" i="17"/>
  <c r="A213" i="17"/>
  <c r="D213" i="17"/>
  <c r="E213" i="17"/>
  <c r="A214" i="17"/>
  <c r="D214" i="17"/>
  <c r="E214" i="17"/>
  <c r="A215" i="17"/>
  <c r="D215" i="17"/>
  <c r="E215" i="17"/>
  <c r="A216" i="17"/>
  <c r="D216" i="17"/>
  <c r="E216" i="17"/>
  <c r="A217" i="17"/>
  <c r="D217" i="17"/>
  <c r="E217" i="17"/>
  <c r="A218" i="17"/>
  <c r="D218" i="17"/>
  <c r="E218" i="17"/>
  <c r="A219" i="17"/>
  <c r="D219" i="17"/>
  <c r="E219" i="17"/>
  <c r="A220" i="17"/>
  <c r="D220" i="17"/>
  <c r="E220" i="17"/>
  <c r="A221" i="17"/>
  <c r="D221" i="17"/>
  <c r="E221" i="17"/>
  <c r="A222" i="17"/>
  <c r="D222" i="17"/>
  <c r="E222" i="17"/>
  <c r="A223" i="17"/>
  <c r="D223" i="17"/>
  <c r="E223" i="17"/>
  <c r="A224" i="17"/>
  <c r="D224" i="17"/>
  <c r="E224" i="17"/>
  <c r="A225" i="17"/>
  <c r="D225" i="17"/>
  <c r="E225" i="17"/>
  <c r="A226" i="17"/>
  <c r="D226" i="17"/>
  <c r="E226" i="17"/>
  <c r="A227" i="17"/>
  <c r="D227" i="17"/>
  <c r="E227" i="17"/>
  <c r="A228" i="17"/>
  <c r="D228" i="17"/>
  <c r="E228" i="17"/>
  <c r="A229" i="17"/>
  <c r="D229" i="17"/>
  <c r="E229" i="17"/>
  <c r="A230" i="17"/>
  <c r="D230" i="17"/>
  <c r="E230" i="17"/>
  <c r="A231" i="17"/>
  <c r="D231" i="17"/>
  <c r="E231" i="17"/>
  <c r="A232" i="17"/>
  <c r="D232" i="17"/>
  <c r="E232" i="17"/>
  <c r="A233" i="17"/>
  <c r="D233" i="17"/>
  <c r="E233" i="17"/>
  <c r="A234" i="17"/>
  <c r="D234" i="17"/>
  <c r="E234" i="17"/>
  <c r="A235" i="17"/>
  <c r="D235" i="17"/>
  <c r="E235" i="17"/>
  <c r="A236" i="17"/>
  <c r="D236" i="17"/>
  <c r="E236" i="17"/>
  <c r="A237" i="17"/>
  <c r="D237" i="17"/>
  <c r="E237" i="17"/>
  <c r="A238" i="17"/>
  <c r="D238" i="17"/>
  <c r="E238" i="17"/>
  <c r="A239" i="17"/>
  <c r="D239" i="17"/>
  <c r="E239" i="17"/>
  <c r="A240" i="17"/>
  <c r="D240" i="17"/>
  <c r="E240" i="17"/>
  <c r="A241" i="17"/>
  <c r="D241" i="17"/>
  <c r="E241" i="17"/>
  <c r="A242" i="17"/>
  <c r="D242" i="17"/>
  <c r="E242" i="17"/>
  <c r="A243" i="17"/>
  <c r="D243" i="17"/>
  <c r="E243" i="17"/>
  <c r="A244" i="17"/>
  <c r="D244" i="17"/>
  <c r="E244" i="17"/>
  <c r="A245" i="17"/>
  <c r="D245" i="17"/>
  <c r="E245" i="17"/>
  <c r="A246" i="17"/>
  <c r="D246" i="17"/>
  <c r="E246" i="17"/>
  <c r="A247" i="17"/>
  <c r="D247" i="17"/>
  <c r="E247" i="17"/>
  <c r="A248" i="17"/>
  <c r="D248" i="17"/>
  <c r="E248" i="17"/>
  <c r="A249" i="17"/>
  <c r="D249" i="17"/>
  <c r="E249" i="17"/>
  <c r="A250" i="17"/>
  <c r="D250" i="17"/>
  <c r="E250" i="17"/>
  <c r="A251" i="17"/>
  <c r="D251" i="17"/>
  <c r="E251" i="17"/>
  <c r="N3" i="17"/>
  <c r="N4" i="17"/>
  <c r="N5" i="17"/>
  <c r="N6" i="17"/>
  <c r="N7" i="17"/>
  <c r="N8" i="17"/>
  <c r="N9" i="17"/>
  <c r="N10" i="17"/>
  <c r="N11" i="17"/>
  <c r="N12" i="17"/>
  <c r="N13" i="17"/>
  <c r="N14" i="17"/>
  <c r="N15" i="17"/>
  <c r="N16" i="17"/>
  <c r="N17" i="17"/>
  <c r="N18" i="17"/>
  <c r="N19" i="17"/>
  <c r="N20" i="17"/>
  <c r="N21" i="17"/>
  <c r="N22" i="17"/>
  <c r="N23" i="17"/>
  <c r="N24" i="17"/>
  <c r="N25" i="17"/>
  <c r="N26" i="17"/>
  <c r="N27" i="17"/>
  <c r="N28" i="17"/>
  <c r="N29" i="17"/>
  <c r="N30" i="17"/>
  <c r="N31" i="17"/>
  <c r="N32" i="17"/>
  <c r="N33" i="17"/>
  <c r="N34" i="17"/>
  <c r="N35" i="17"/>
  <c r="N36" i="17"/>
  <c r="N37" i="17"/>
  <c r="N38" i="17"/>
  <c r="N39" i="17"/>
  <c r="N40" i="17"/>
  <c r="N41" i="17"/>
  <c r="N42" i="17"/>
  <c r="N43" i="17"/>
  <c r="N44" i="17"/>
  <c r="N45" i="17"/>
  <c r="N46" i="17"/>
  <c r="N47" i="17"/>
  <c r="N48" i="17"/>
  <c r="N49" i="17"/>
  <c r="N50" i="17"/>
  <c r="N51" i="17"/>
  <c r="N52" i="17"/>
  <c r="N53" i="17"/>
  <c r="N54" i="17"/>
  <c r="N55" i="17"/>
  <c r="N56" i="17"/>
  <c r="N57" i="17"/>
  <c r="N58" i="17"/>
  <c r="N59" i="17"/>
  <c r="N60" i="17"/>
  <c r="N61" i="17"/>
  <c r="N62" i="17"/>
  <c r="N63" i="17"/>
  <c r="N64" i="17"/>
  <c r="N65" i="17"/>
  <c r="N66" i="17"/>
  <c r="N67" i="17"/>
  <c r="N68" i="17"/>
  <c r="N69" i="17"/>
  <c r="N70" i="17"/>
  <c r="N71" i="17"/>
  <c r="N72" i="17"/>
  <c r="N73" i="17"/>
  <c r="N74" i="17"/>
  <c r="N75" i="17"/>
  <c r="N76" i="17"/>
  <c r="N77" i="17"/>
  <c r="N78" i="17"/>
  <c r="N79" i="17"/>
  <c r="N80" i="17"/>
  <c r="N81" i="17"/>
  <c r="N82" i="17"/>
  <c r="N83" i="17"/>
  <c r="N84" i="17"/>
  <c r="N85" i="17"/>
  <c r="N86" i="17"/>
  <c r="N87" i="17"/>
  <c r="N88" i="17"/>
  <c r="N89" i="17"/>
  <c r="N90" i="17"/>
  <c r="N91" i="17"/>
  <c r="N92" i="17"/>
  <c r="N93" i="17"/>
  <c r="N94" i="17"/>
  <c r="N95" i="17"/>
  <c r="N96" i="17"/>
  <c r="N97" i="17"/>
  <c r="N98" i="17"/>
  <c r="N99" i="17"/>
  <c r="N100" i="17"/>
  <c r="N101" i="17"/>
  <c r="N102" i="17"/>
  <c r="N103" i="17"/>
  <c r="N104" i="17"/>
  <c r="N105" i="17"/>
  <c r="N106" i="17"/>
  <c r="N107" i="17"/>
  <c r="N108" i="17"/>
  <c r="N109" i="17"/>
  <c r="N110" i="17"/>
  <c r="N111" i="17"/>
  <c r="N112" i="17"/>
  <c r="N113" i="17"/>
  <c r="N114" i="17"/>
  <c r="N115" i="17"/>
  <c r="N116" i="17"/>
  <c r="N117" i="17"/>
  <c r="N118" i="17"/>
  <c r="N119" i="17"/>
  <c r="N120" i="17"/>
  <c r="N121" i="17"/>
  <c r="N122" i="17"/>
  <c r="N123" i="17"/>
  <c r="N124" i="17"/>
  <c r="N125" i="17"/>
  <c r="N126" i="17"/>
  <c r="N127" i="17"/>
  <c r="N128" i="17"/>
  <c r="N129" i="17"/>
  <c r="N130" i="17"/>
  <c r="N131" i="17"/>
  <c r="N132" i="17"/>
  <c r="N133" i="17"/>
  <c r="N134" i="17"/>
  <c r="N135" i="17"/>
  <c r="N136" i="17"/>
  <c r="N137" i="17"/>
  <c r="N138" i="17"/>
  <c r="N139" i="17"/>
  <c r="N140" i="17"/>
  <c r="N141" i="17"/>
  <c r="N142" i="17"/>
  <c r="N143" i="17"/>
  <c r="N144" i="17"/>
  <c r="N145" i="17"/>
  <c r="N146" i="17"/>
  <c r="N147" i="17"/>
  <c r="N148" i="17"/>
  <c r="N149" i="17"/>
  <c r="N150" i="17"/>
  <c r="N151" i="17"/>
  <c r="N152" i="17"/>
  <c r="N153" i="17"/>
  <c r="N154" i="17"/>
  <c r="N155" i="17"/>
  <c r="N156" i="17"/>
  <c r="N157" i="17"/>
  <c r="N158" i="17"/>
  <c r="N159" i="17"/>
  <c r="N160" i="17"/>
  <c r="N161" i="17"/>
  <c r="N162" i="17"/>
  <c r="N163" i="17"/>
  <c r="N164" i="17"/>
  <c r="N165" i="17"/>
  <c r="N166" i="17"/>
  <c r="N167" i="17"/>
  <c r="N168" i="17"/>
  <c r="N169" i="17"/>
  <c r="N170" i="17"/>
  <c r="N171" i="17"/>
  <c r="N172" i="17"/>
  <c r="N173" i="17"/>
  <c r="N174" i="17"/>
  <c r="N175" i="17"/>
  <c r="N176" i="17"/>
  <c r="N177" i="17"/>
  <c r="N178" i="17"/>
  <c r="N179" i="17"/>
  <c r="N180" i="17"/>
  <c r="N181" i="17"/>
  <c r="N182" i="17"/>
  <c r="N183" i="17"/>
  <c r="N184" i="17"/>
  <c r="N185" i="17"/>
  <c r="N186" i="17"/>
  <c r="N187" i="17"/>
  <c r="N188" i="17"/>
  <c r="N189" i="17"/>
  <c r="N190" i="17"/>
  <c r="N191" i="17"/>
  <c r="N192" i="17"/>
  <c r="N193" i="17"/>
  <c r="N194" i="17"/>
  <c r="N195" i="17"/>
  <c r="N196" i="17"/>
  <c r="N197" i="17"/>
  <c r="N198" i="17"/>
  <c r="N199" i="17"/>
  <c r="N200" i="17"/>
  <c r="N201" i="17"/>
  <c r="N202" i="17"/>
  <c r="N203" i="17"/>
  <c r="N204" i="17"/>
  <c r="N205" i="17"/>
  <c r="N206" i="17"/>
  <c r="N207" i="17"/>
  <c r="N208" i="17"/>
  <c r="N209" i="17"/>
  <c r="N210" i="17"/>
  <c r="N211" i="17"/>
  <c r="N212" i="17"/>
  <c r="N213" i="17"/>
  <c r="N214" i="17"/>
  <c r="N215" i="17"/>
  <c r="N216" i="17"/>
  <c r="N217" i="17"/>
  <c r="N218" i="17"/>
  <c r="N219" i="17"/>
  <c r="N220" i="17"/>
  <c r="N221" i="17"/>
  <c r="N222" i="17"/>
  <c r="N223" i="17"/>
  <c r="N224" i="17"/>
  <c r="N225" i="17"/>
  <c r="N226" i="17"/>
  <c r="N227" i="17"/>
  <c r="N228" i="17"/>
  <c r="N229" i="17"/>
  <c r="N230" i="17"/>
  <c r="N231" i="17"/>
  <c r="N232" i="17"/>
  <c r="N233" i="17"/>
  <c r="N234" i="17"/>
  <c r="N235" i="17"/>
  <c r="N236" i="17"/>
  <c r="N237" i="17"/>
  <c r="N238" i="17"/>
  <c r="N239" i="17"/>
  <c r="N240" i="17"/>
  <c r="N241" i="17"/>
  <c r="N242" i="17"/>
  <c r="N243" i="17"/>
  <c r="N244" i="17"/>
  <c r="N245" i="17"/>
  <c r="N246" i="17"/>
  <c r="N247" i="17"/>
  <c r="N248" i="17"/>
  <c r="N249" i="17"/>
  <c r="N250" i="17"/>
  <c r="N251" i="17"/>
  <c r="N2" i="17"/>
  <c r="AV2" i="11"/>
  <c r="E2" i="17"/>
  <c r="D2" i="17"/>
  <c r="A2" i="17"/>
  <c r="H3" i="18"/>
  <c r="I3" i="18"/>
  <c r="J3" i="18"/>
  <c r="I4" i="18"/>
  <c r="J4" i="18"/>
  <c r="H5" i="18"/>
  <c r="I5" i="18"/>
  <c r="J5" i="18"/>
  <c r="I6" i="18"/>
  <c r="J6" i="18"/>
  <c r="H7" i="18"/>
  <c r="I7" i="18"/>
  <c r="J7" i="18"/>
  <c r="I8" i="18"/>
  <c r="J8" i="18"/>
  <c r="H9" i="18"/>
  <c r="I9" i="18"/>
  <c r="J9" i="18"/>
  <c r="I10" i="18"/>
  <c r="J10" i="18"/>
  <c r="H11" i="18"/>
  <c r="I11" i="18"/>
  <c r="J11" i="18"/>
  <c r="I12" i="18"/>
  <c r="J12" i="18"/>
  <c r="H13" i="18"/>
  <c r="I13" i="18"/>
  <c r="J13" i="18"/>
  <c r="I14" i="18"/>
  <c r="J14" i="18"/>
  <c r="H15" i="18"/>
  <c r="I15" i="18"/>
  <c r="J15" i="18"/>
  <c r="I16" i="18"/>
  <c r="J16" i="18"/>
  <c r="F3" i="8"/>
  <c r="K3" i="8"/>
  <c r="L3" i="8"/>
  <c r="F4" i="8"/>
  <c r="K4" i="8"/>
  <c r="L4" i="8"/>
  <c r="F5" i="8"/>
  <c r="K5" i="8"/>
  <c r="L5" i="8"/>
  <c r="F6" i="8"/>
  <c r="K6" i="8"/>
  <c r="L6" i="8"/>
  <c r="F7" i="8"/>
  <c r="K7" i="8"/>
  <c r="L7" i="8"/>
  <c r="F8" i="8"/>
  <c r="K8" i="8"/>
  <c r="L8" i="8"/>
  <c r="F9" i="8"/>
  <c r="K9" i="8"/>
  <c r="L9" i="8"/>
  <c r="F10" i="8"/>
  <c r="K10" i="8"/>
  <c r="L10" i="8"/>
  <c r="F11" i="8"/>
  <c r="K11" i="8"/>
  <c r="L11" i="8"/>
  <c r="F12" i="8"/>
  <c r="K12" i="8"/>
  <c r="L12" i="8"/>
  <c r="F13" i="8"/>
  <c r="K13" i="8"/>
  <c r="L13" i="8"/>
  <c r="F14" i="8"/>
  <c r="K14" i="8"/>
  <c r="L14" i="8"/>
  <c r="F15" i="8"/>
  <c r="K15" i="8"/>
  <c r="L15" i="8"/>
  <c r="F16" i="8"/>
  <c r="K16" i="8"/>
  <c r="L16" i="8"/>
  <c r="Q3" i="8"/>
  <c r="R3" i="8"/>
  <c r="S3" i="8"/>
  <c r="Q4" i="8"/>
  <c r="R4" i="8"/>
  <c r="S4" i="8"/>
  <c r="Q5" i="8"/>
  <c r="R5" i="8"/>
  <c r="S5" i="8"/>
  <c r="Q6" i="8"/>
  <c r="R6" i="8"/>
  <c r="S6" i="8"/>
  <c r="Q7" i="8"/>
  <c r="R7" i="8"/>
  <c r="S7" i="8"/>
  <c r="Q8" i="8"/>
  <c r="R8" i="8"/>
  <c r="S8" i="8"/>
  <c r="Q9" i="8"/>
  <c r="R9" i="8"/>
  <c r="S9" i="8"/>
  <c r="Q10" i="8"/>
  <c r="R10" i="8"/>
  <c r="S10" i="8"/>
  <c r="Q11" i="8"/>
  <c r="R11" i="8"/>
  <c r="S11" i="8"/>
  <c r="Q12" i="8"/>
  <c r="R12" i="8"/>
  <c r="S12" i="8"/>
  <c r="Q13" i="8"/>
  <c r="R13" i="8"/>
  <c r="S13" i="8"/>
  <c r="Q14" i="8"/>
  <c r="R14" i="8"/>
  <c r="S14" i="8"/>
  <c r="Q15" i="8"/>
  <c r="R15" i="8"/>
  <c r="S15" i="8"/>
  <c r="Q16" i="8"/>
  <c r="R16" i="8"/>
  <c r="S16" i="8"/>
  <c r="W2" i="19"/>
  <c r="T2" i="19"/>
  <c r="S2" i="19"/>
  <c r="R2" i="19"/>
  <c r="Q2" i="19"/>
  <c r="P2" i="19"/>
  <c r="O2" i="19"/>
  <c r="L2" i="19"/>
  <c r="K2" i="19"/>
  <c r="F2" i="19"/>
  <c r="E2" i="19"/>
  <c r="J2" i="18"/>
  <c r="I2" i="18"/>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N16" i="22" l="1"/>
  <c r="J16" i="16"/>
  <c r="G16" i="16"/>
  <c r="O16" i="22" s="1"/>
  <c r="N15" i="22"/>
  <c r="J15" i="16"/>
  <c r="G15" i="16"/>
  <c r="O15" i="22" s="1"/>
  <c r="N14" i="22"/>
  <c r="J14" i="16"/>
  <c r="G14" i="16"/>
  <c r="O14" i="22" s="1"/>
  <c r="N13" i="22"/>
  <c r="J13" i="16"/>
  <c r="G13" i="16"/>
  <c r="O13" i="22" s="1"/>
  <c r="N12" i="22"/>
  <c r="J12" i="16"/>
  <c r="G12" i="16"/>
  <c r="O12" i="22" s="1"/>
  <c r="N11" i="22"/>
  <c r="J11" i="16"/>
  <c r="G11" i="16"/>
  <c r="O11" i="22" s="1"/>
  <c r="N11" i="19"/>
  <c r="N10" i="22"/>
  <c r="J10" i="16"/>
  <c r="G10" i="16"/>
  <c r="O10" i="22" s="1"/>
  <c r="N9" i="22"/>
  <c r="J9" i="16"/>
  <c r="G9" i="16"/>
  <c r="O9" i="22" s="1"/>
  <c r="N8" i="22"/>
  <c r="J8" i="16"/>
  <c r="G8" i="16"/>
  <c r="O8" i="22" s="1"/>
  <c r="N7" i="22"/>
  <c r="J7" i="16"/>
  <c r="G7" i="16"/>
  <c r="O7" i="22" s="1"/>
  <c r="N6" i="22"/>
  <c r="J6" i="16"/>
  <c r="G6" i="16"/>
  <c r="O6" i="22" s="1"/>
  <c r="N5" i="22"/>
  <c r="J5" i="16"/>
  <c r="G5" i="16"/>
  <c r="O5" i="22" s="1"/>
  <c r="N4" i="22"/>
  <c r="J4" i="16"/>
  <c r="G4" i="16"/>
  <c r="O4" i="22" s="1"/>
  <c r="N3" i="22"/>
  <c r="J3" i="16"/>
  <c r="G3" i="16"/>
  <c r="O3" i="22" s="1"/>
  <c r="N2" i="22"/>
  <c r="G2" i="16"/>
  <c r="O2" i="22" s="1"/>
  <c r="BI15" i="11"/>
  <c r="F15" i="27"/>
  <c r="AZ14" i="11"/>
  <c r="BI12" i="11"/>
  <c r="F12" i="27"/>
  <c r="AZ11" i="11"/>
  <c r="BI9" i="11"/>
  <c r="F9" i="27"/>
  <c r="AZ8" i="11"/>
  <c r="BI6" i="11"/>
  <c r="F6" i="27"/>
  <c r="AZ5" i="11"/>
  <c r="BI3" i="11"/>
  <c r="F3" i="27"/>
  <c r="BC16" i="11"/>
  <c r="BG15" i="11"/>
  <c r="E15" i="27"/>
  <c r="BA14" i="11"/>
  <c r="BC13" i="11"/>
  <c r="BG12" i="11"/>
  <c r="E12" i="27"/>
  <c r="BA11" i="11"/>
  <c r="BC10" i="11"/>
  <c r="BG9" i="11"/>
  <c r="E9" i="27"/>
  <c r="BA8" i="11"/>
  <c r="BC7" i="11"/>
  <c r="BG6" i="11"/>
  <c r="E6" i="27"/>
  <c r="BA5" i="11"/>
  <c r="BC4" i="11"/>
  <c r="BB16" i="11"/>
  <c r="BF15" i="11"/>
  <c r="BD14" i="11"/>
  <c r="BB13" i="11"/>
  <c r="BF12" i="11"/>
  <c r="BD11" i="11"/>
  <c r="BB10" i="11"/>
  <c r="BF9" i="11"/>
  <c r="BD8" i="11"/>
  <c r="BB7" i="11"/>
  <c r="BF6" i="11"/>
  <c r="BD5" i="11"/>
  <c r="BB4" i="11"/>
  <c r="BF3" i="11"/>
  <c r="AU16" i="11"/>
  <c r="BE15" i="11"/>
  <c r="BH14" i="11"/>
  <c r="AU13" i="11"/>
  <c r="BE12" i="11"/>
  <c r="BH11" i="11"/>
  <c r="AU10" i="11"/>
  <c r="BE9" i="11"/>
  <c r="BH8" i="11"/>
  <c r="AU7" i="11"/>
  <c r="BE6" i="11"/>
  <c r="BH5" i="11"/>
  <c r="AU4" i="11"/>
  <c r="BE3" i="11"/>
  <c r="AZ16" i="11"/>
  <c r="BA16" i="11"/>
  <c r="BC15" i="11"/>
  <c r="BG14" i="11"/>
  <c r="E14" i="27"/>
  <c r="BA13" i="11"/>
  <c r="BC12" i="11"/>
  <c r="BG11" i="11"/>
  <c r="E11" i="27"/>
  <c r="BA10" i="11"/>
  <c r="BC9" i="11"/>
  <c r="BG8" i="11"/>
  <c r="E8" i="27"/>
  <c r="BA7" i="11"/>
  <c r="BC6" i="11"/>
  <c r="BG5" i="11"/>
  <c r="E5" i="27"/>
  <c r="BA4" i="11"/>
  <c r="BC3" i="11"/>
  <c r="BD16" i="11"/>
  <c r="BB15" i="11"/>
  <c r="BF14" i="11"/>
  <c r="BD13" i="11"/>
  <c r="BB12" i="11"/>
  <c r="BF11" i="11"/>
  <c r="BD10" i="11"/>
  <c r="BB9" i="11"/>
  <c r="BF8" i="11"/>
  <c r="BD7" i="11"/>
  <c r="BB6" i="11"/>
  <c r="BF5" i="11"/>
  <c r="BD4" i="11"/>
  <c r="BB3" i="11"/>
  <c r="BH16" i="11"/>
  <c r="AU15" i="11"/>
  <c r="BE14" i="11"/>
  <c r="BH13" i="11"/>
  <c r="AU12" i="11"/>
  <c r="BE11" i="11"/>
  <c r="BH10" i="11"/>
  <c r="AU9" i="11"/>
  <c r="BE8" i="11"/>
  <c r="BH7" i="11"/>
  <c r="AU6" i="11"/>
  <c r="BE5" i="11"/>
  <c r="BH4" i="11"/>
  <c r="BG16" i="11"/>
  <c r="E16" i="27"/>
  <c r="BA15" i="11"/>
  <c r="BC14" i="11"/>
  <c r="BG13" i="11"/>
  <c r="E13" i="27"/>
  <c r="BA12" i="11"/>
  <c r="BE16" i="11"/>
  <c r="BH15" i="11"/>
  <c r="AU14" i="11"/>
  <c r="BE13" i="11"/>
  <c r="BH12" i="11"/>
  <c r="AU11" i="11"/>
  <c r="BE10" i="11"/>
  <c r="BH9" i="11"/>
  <c r="AU8" i="11"/>
  <c r="F14" i="27"/>
  <c r="BC11" i="11"/>
  <c r="F10" i="27"/>
  <c r="BA3" i="11"/>
  <c r="E4" i="27"/>
  <c r="AZ10" i="11"/>
  <c r="BD12" i="11"/>
  <c r="BB11" i="11"/>
  <c r="E10" i="27"/>
  <c r="BF10" i="11"/>
  <c r="BD15" i="11"/>
  <c r="F11" i="27"/>
  <c r="BB14" i="11"/>
  <c r="AZ15" i="11"/>
  <c r="AZ12" i="11"/>
  <c r="BI7" i="11"/>
  <c r="BD6" i="11"/>
  <c r="E3" i="27"/>
  <c r="BI8" i="11"/>
  <c r="BG7" i="11"/>
  <c r="BH6" i="11"/>
  <c r="BI5" i="11"/>
  <c r="BI4" i="11"/>
  <c r="BI13" i="11"/>
  <c r="BF7" i="11"/>
  <c r="BG4" i="11"/>
  <c r="BF13" i="11"/>
  <c r="BD9" i="11"/>
  <c r="BC8" i="11"/>
  <c r="BE7" i="11"/>
  <c r="AZ6" i="11"/>
  <c r="BC5" i="11"/>
  <c r="BF4" i="11"/>
  <c r="BD3" i="11"/>
  <c r="F16" i="27"/>
  <c r="AZ13" i="11"/>
  <c r="BB8" i="11"/>
  <c r="AZ7" i="11"/>
  <c r="BA6" i="11"/>
  <c r="BB5" i="11"/>
  <c r="BE4" i="11"/>
  <c r="BH3" i="11"/>
  <c r="BI16" i="11"/>
  <c r="F13" i="27"/>
  <c r="BI10" i="11"/>
  <c r="AZ9" i="11"/>
  <c r="F8" i="27"/>
  <c r="F7" i="27"/>
  <c r="AU5" i="11"/>
  <c r="AZ4" i="11"/>
  <c r="BG3" i="11"/>
  <c r="BF16" i="11"/>
  <c r="BI14" i="11"/>
  <c r="BG10" i="11"/>
  <c r="BA9" i="11"/>
  <c r="E7" i="27"/>
  <c r="F5" i="27"/>
  <c r="F4" i="27"/>
  <c r="BI11" i="11"/>
  <c r="AU3" i="11"/>
  <c r="AZ3" i="11"/>
  <c r="H13" i="21"/>
  <c r="N7" i="19"/>
  <c r="H2" i="21"/>
  <c r="N8" i="19"/>
  <c r="N12" i="19"/>
  <c r="N5" i="19"/>
  <c r="N9" i="19"/>
  <c r="N10" i="19"/>
  <c r="H4" i="21"/>
  <c r="U253" i="1"/>
  <c r="U254" i="1"/>
  <c r="U256" i="1"/>
  <c r="U255" i="1"/>
  <c r="U252" i="1"/>
  <c r="AV256" i="1"/>
  <c r="AV252" i="1"/>
  <c r="AV255" i="1"/>
  <c r="AV254" i="1"/>
  <c r="AV2" i="1"/>
  <c r="BD2" i="11" s="1"/>
  <c r="AV253" i="1"/>
  <c r="V254" i="1"/>
  <c r="V253" i="1"/>
  <c r="X255" i="1"/>
  <c r="Y256" i="1"/>
  <c r="V256" i="1"/>
  <c r="V252" i="1"/>
  <c r="W253" i="1"/>
  <c r="AU2" i="1"/>
  <c r="BH2" i="11" s="1"/>
  <c r="AQ2" i="1"/>
  <c r="BE2" i="11" s="1"/>
  <c r="AM2" i="1"/>
  <c r="AU2" i="11" s="1"/>
  <c r="AI2" i="1"/>
  <c r="AE2" i="1"/>
  <c r="AA2" i="1"/>
  <c r="Z254" i="1"/>
  <c r="AT2" i="1"/>
  <c r="BI2" i="11" s="1"/>
  <c r="AP2" i="1"/>
  <c r="AL2" i="1"/>
  <c r="AZ2" i="11" s="1"/>
  <c r="AH2" i="1"/>
  <c r="AD2" i="1"/>
  <c r="Z255" i="1"/>
  <c r="AS2" i="1"/>
  <c r="BG2" i="11" s="1"/>
  <c r="AK2" i="1"/>
  <c r="BA2" i="11" s="1"/>
  <c r="AC2" i="1"/>
  <c r="Z256" i="1"/>
  <c r="AR2" i="1"/>
  <c r="BF2" i="11" s="1"/>
  <c r="AJ2" i="1"/>
  <c r="AB2" i="1"/>
  <c r="F2" i="14"/>
  <c r="AO2" i="1"/>
  <c r="BC2" i="11" s="1"/>
  <c r="Y253" i="1"/>
  <c r="AN2" i="1"/>
  <c r="BB2" i="11" s="1"/>
  <c r="Y254" i="1"/>
  <c r="AG2" i="1"/>
  <c r="E2" i="27" s="1"/>
  <c r="Z252" i="1"/>
  <c r="Y255" i="1"/>
  <c r="AF2" i="1"/>
  <c r="Z253" i="1"/>
  <c r="X252" i="1"/>
  <c r="X256" i="1"/>
  <c r="W254" i="1"/>
  <c r="X253" i="1"/>
  <c r="W255" i="1"/>
  <c r="Y252" i="1"/>
  <c r="X254" i="1"/>
  <c r="W252" i="1"/>
  <c r="W256" i="1"/>
  <c r="V255" i="1"/>
  <c r="H14" i="5"/>
  <c r="N14" i="19"/>
  <c r="H6" i="5"/>
  <c r="N6" i="19"/>
  <c r="H15" i="5"/>
  <c r="N15" i="19"/>
  <c r="H3" i="5"/>
  <c r="N3" i="19"/>
  <c r="H22" i="21"/>
  <c r="H134" i="21"/>
  <c r="H194" i="21"/>
  <c r="H50" i="21"/>
  <c r="H110" i="21"/>
  <c r="H10" i="21"/>
  <c r="H38" i="21"/>
  <c r="H70" i="21"/>
  <c r="H162" i="21"/>
  <c r="H18" i="21"/>
  <c r="H94" i="21"/>
  <c r="H130" i="21"/>
  <c r="H174" i="21"/>
  <c r="H206" i="21"/>
  <c r="H186" i="21"/>
  <c r="H188" i="21"/>
  <c r="H92" i="21"/>
  <c r="H100" i="21"/>
  <c r="H144" i="21"/>
  <c r="H156" i="21"/>
  <c r="H164" i="21"/>
  <c r="H168" i="21"/>
  <c r="H176" i="21"/>
  <c r="H248" i="21"/>
  <c r="H224" i="21"/>
  <c r="H24" i="21"/>
  <c r="H32" i="21"/>
  <c r="H44" i="21"/>
  <c r="H48" i="21"/>
  <c r="H56" i="21"/>
  <c r="H64" i="21"/>
  <c r="H80" i="21"/>
  <c r="H84" i="21"/>
  <c r="H116" i="21"/>
  <c r="H124" i="21"/>
  <c r="H128" i="21"/>
  <c r="H136" i="21"/>
  <c r="H140" i="21"/>
  <c r="H236" i="21"/>
  <c r="N8" i="23"/>
  <c r="H216" i="21"/>
  <c r="H196" i="21"/>
  <c r="H88" i="21"/>
  <c r="H96" i="21"/>
  <c r="H160" i="21"/>
  <c r="H180" i="21"/>
  <c r="H20" i="21"/>
  <c r="H36" i="21"/>
  <c r="H40" i="21"/>
  <c r="H52" i="21"/>
  <c r="H60" i="21"/>
  <c r="H68" i="21"/>
  <c r="H72" i="21"/>
  <c r="H120" i="21"/>
  <c r="H132" i="21"/>
  <c r="H152" i="21"/>
  <c r="N16" i="23"/>
  <c r="H12" i="21"/>
  <c r="AM254" i="1"/>
  <c r="AM253" i="1"/>
  <c r="AM256" i="1"/>
  <c r="AM252" i="1"/>
  <c r="AM255" i="1"/>
  <c r="AF252" i="1"/>
  <c r="AG253" i="1"/>
  <c r="AH254" i="1"/>
  <c r="AF256" i="1"/>
  <c r="AG252" i="1"/>
  <c r="AH253" i="1"/>
  <c r="AF255" i="1"/>
  <c r="AG256" i="1"/>
  <c r="AH252" i="1"/>
  <c r="AF254" i="1"/>
  <c r="AG255" i="1"/>
  <c r="AH256" i="1"/>
  <c r="AF253" i="1"/>
  <c r="AG254" i="1"/>
  <c r="AH255" i="1"/>
  <c r="AE255" i="1"/>
  <c r="AD253" i="1"/>
  <c r="AE252" i="1"/>
  <c r="AE256" i="1"/>
  <c r="AD254" i="1"/>
  <c r="AE253" i="1"/>
  <c r="AD255" i="1"/>
  <c r="AC253" i="1"/>
  <c r="AE254" i="1"/>
  <c r="AD252" i="1"/>
  <c r="AD256" i="1"/>
  <c r="AC254" i="1"/>
  <c r="AC255" i="1"/>
  <c r="AB255" i="1"/>
  <c r="AA253" i="1"/>
  <c r="AC256" i="1"/>
  <c r="AB252" i="1"/>
  <c r="AB256" i="1"/>
  <c r="AA254" i="1"/>
  <c r="AB253" i="1"/>
  <c r="AA255" i="1"/>
  <c r="AC252" i="1"/>
  <c r="AB254" i="1"/>
  <c r="AA252" i="1"/>
  <c r="AA256" i="1"/>
  <c r="AL254" i="1"/>
  <c r="AN252" i="1"/>
  <c r="AN256" i="1"/>
  <c r="AO254" i="1"/>
  <c r="AL255" i="1"/>
  <c r="AN253" i="1"/>
  <c r="AO255" i="1"/>
  <c r="AL252" i="1"/>
  <c r="AL256" i="1"/>
  <c r="AN254" i="1"/>
  <c r="AO252" i="1"/>
  <c r="AO256" i="1"/>
  <c r="AL253" i="1"/>
  <c r="AN255" i="1"/>
  <c r="AO253" i="1"/>
  <c r="C15" i="11"/>
  <c r="C11" i="11"/>
  <c r="C7" i="11"/>
  <c r="C2" i="11"/>
  <c r="C3" i="11"/>
  <c r="C13" i="11"/>
  <c r="C9" i="11"/>
  <c r="C5" i="11"/>
  <c r="C16" i="11"/>
  <c r="C12" i="11"/>
  <c r="C8" i="11"/>
  <c r="C4" i="11"/>
  <c r="C14" i="11"/>
  <c r="C10" i="11"/>
  <c r="C6" i="11"/>
  <c r="H250" i="21"/>
  <c r="H246" i="21"/>
  <c r="H242" i="21"/>
  <c r="H238" i="21"/>
  <c r="H234" i="21"/>
  <c r="H230" i="21"/>
  <c r="H226" i="21"/>
  <c r="H222" i="21"/>
  <c r="H218" i="21"/>
  <c r="H17" i="21"/>
  <c r="H74" i="21"/>
  <c r="H86" i="21"/>
  <c r="H142" i="21"/>
  <c r="H154" i="21"/>
  <c r="D8" i="5"/>
  <c r="D14" i="5"/>
  <c r="D7" i="18"/>
  <c r="D3" i="18"/>
  <c r="D12" i="18"/>
  <c r="D13" i="18"/>
  <c r="D9" i="18"/>
  <c r="D4" i="18"/>
  <c r="D15" i="5"/>
  <c r="D7" i="5"/>
  <c r="D3" i="5"/>
  <c r="D14" i="18"/>
  <c r="D16" i="5"/>
  <c r="D12" i="5"/>
  <c r="D9" i="5"/>
  <c r="D4" i="5"/>
  <c r="D5" i="18"/>
  <c r="D15" i="18"/>
  <c r="D10" i="5"/>
  <c r="D6" i="5"/>
  <c r="D5" i="5"/>
  <c r="D11" i="18"/>
  <c r="D6" i="18"/>
  <c r="D8" i="18"/>
  <c r="D11" i="5"/>
  <c r="D13" i="5"/>
  <c r="D16" i="18"/>
  <c r="D10" i="18"/>
  <c r="D2" i="18"/>
  <c r="F2" i="27" l="1"/>
  <c r="H2" i="16"/>
  <c r="H2" i="27"/>
  <c r="K2" i="4"/>
  <c r="A2" i="13"/>
  <c r="I2" i="13" s="1"/>
  <c r="BK11" i="11"/>
  <c r="BK7" i="11"/>
  <c r="BK3" i="11"/>
  <c r="BK12" i="11"/>
  <c r="BK10" i="11"/>
  <c r="BK6" i="11"/>
  <c r="BK15" i="11"/>
  <c r="BK16" i="11"/>
  <c r="BK9" i="11"/>
  <c r="BK5" i="11"/>
  <c r="BK4" i="11"/>
  <c r="BK2" i="11"/>
  <c r="BK13" i="11"/>
  <c r="BK14" i="11"/>
  <c r="BK8" i="11"/>
  <c r="T3" i="8"/>
  <c r="T4" i="8"/>
  <c r="T5" i="8"/>
  <c r="T6" i="8"/>
  <c r="T7" i="8"/>
  <c r="T8" i="8"/>
  <c r="T9" i="8"/>
  <c r="T10" i="8"/>
  <c r="T11" i="8"/>
  <c r="T12" i="8"/>
  <c r="T13" i="8"/>
  <c r="T14" i="8"/>
  <c r="T15" i="8"/>
  <c r="T16" i="8"/>
  <c r="AA3" i="4"/>
  <c r="AA4" i="4"/>
  <c r="AA5" i="4"/>
  <c r="AA6" i="4"/>
  <c r="AA7" i="4"/>
  <c r="AA8" i="4"/>
  <c r="AA9" i="4"/>
  <c r="AA10" i="4"/>
  <c r="AA11" i="4"/>
  <c r="AA12" i="4"/>
  <c r="AA13" i="4"/>
  <c r="AA14" i="4"/>
  <c r="AA15" i="4"/>
  <c r="AA16" i="4"/>
  <c r="B3" i="11"/>
  <c r="AV3" i="11"/>
  <c r="B4" i="11"/>
  <c r="AV4" i="11"/>
  <c r="B5" i="11"/>
  <c r="AV5" i="11"/>
  <c r="B6" i="11"/>
  <c r="AV6" i="11"/>
  <c r="B7" i="11"/>
  <c r="AV7" i="11"/>
  <c r="B8" i="11"/>
  <c r="AV8" i="11"/>
  <c r="B9" i="11"/>
  <c r="AV9" i="11"/>
  <c r="B10" i="11"/>
  <c r="AV10" i="11"/>
  <c r="B11" i="11"/>
  <c r="AV11" i="11"/>
  <c r="B12" i="11"/>
  <c r="AV12" i="11"/>
  <c r="B13" i="11"/>
  <c r="AV13" i="11"/>
  <c r="B14" i="11"/>
  <c r="AV14" i="11"/>
  <c r="B15" i="11"/>
  <c r="AV15" i="11"/>
  <c r="B16" i="11"/>
  <c r="AV16" i="11"/>
  <c r="AW2" i="20" l="1"/>
  <c r="I4" i="11"/>
  <c r="AW16" i="20"/>
  <c r="F2" i="21"/>
  <c r="AW12" i="20"/>
  <c r="I16" i="11"/>
  <c r="I8" i="11"/>
  <c r="AW11" i="20"/>
  <c r="I15" i="11"/>
  <c r="AW10" i="20"/>
  <c r="I14" i="11"/>
  <c r="AW9" i="20"/>
  <c r="I13" i="11"/>
  <c r="I12" i="11"/>
  <c r="AW7" i="20"/>
  <c r="I11" i="11"/>
  <c r="AW6" i="20"/>
  <c r="I10" i="11"/>
  <c r="AW5" i="20"/>
  <c r="I9" i="11"/>
  <c r="AW4" i="20"/>
  <c r="AW3" i="20"/>
  <c r="I7" i="11"/>
  <c r="I6" i="11"/>
  <c r="I5" i="11"/>
  <c r="AW8" i="20"/>
  <c r="I3" i="11"/>
  <c r="AW15" i="20"/>
  <c r="AW14" i="20"/>
  <c r="AW13" i="20"/>
  <c r="E2" i="21"/>
  <c r="V16" i="23"/>
  <c r="V16" i="22"/>
  <c r="V16" i="8"/>
  <c r="V15" i="23"/>
  <c r="V15" i="22"/>
  <c r="V15" i="8"/>
  <c r="V14" i="23"/>
  <c r="V14" i="22"/>
  <c r="V14" i="8"/>
  <c r="V13" i="23"/>
  <c r="V13" i="22"/>
  <c r="V12" i="23"/>
  <c r="V12" i="22"/>
  <c r="V11" i="23"/>
  <c r="V11" i="22"/>
  <c r="V10" i="22"/>
  <c r="V10" i="23"/>
  <c r="V9" i="22"/>
  <c r="V9" i="23"/>
  <c r="V8" i="23"/>
  <c r="V8" i="22"/>
  <c r="V7" i="23"/>
  <c r="V7" i="22"/>
  <c r="V6" i="23"/>
  <c r="V6" i="22"/>
  <c r="V5" i="23"/>
  <c r="V5" i="22"/>
  <c r="V4" i="23"/>
  <c r="V4" i="22"/>
  <c r="V3" i="23"/>
  <c r="V3" i="22"/>
  <c r="AJ254" i="1"/>
  <c r="AJ255" i="1"/>
  <c r="AJ252" i="1"/>
  <c r="AJ256" i="1"/>
  <c r="AJ253" i="1"/>
  <c r="V13" i="8"/>
  <c r="V12" i="8"/>
  <c r="V10" i="8"/>
  <c r="V9" i="8"/>
  <c r="V8" i="8"/>
  <c r="V7" i="8"/>
  <c r="V6" i="8"/>
  <c r="V5" i="8"/>
  <c r="V4" i="8"/>
  <c r="V3" i="8"/>
  <c r="V11" i="8"/>
  <c r="L2" i="20"/>
  <c r="F3" i="20"/>
  <c r="W3" i="20"/>
  <c r="W4" i="20"/>
  <c r="W5" i="20"/>
  <c r="W6" i="20"/>
  <c r="W7" i="20"/>
  <c r="W8" i="20"/>
  <c r="W9" i="20"/>
  <c r="W10" i="20"/>
  <c r="W11" i="20"/>
  <c r="W12" i="20"/>
  <c r="W13" i="20"/>
  <c r="W14" i="20"/>
  <c r="W15" i="20"/>
  <c r="W16" i="20"/>
  <c r="AK252" i="1"/>
  <c r="AK253" i="1"/>
  <c r="AK254" i="1"/>
  <c r="AK255" i="1"/>
  <c r="AK256" i="1"/>
  <c r="X3" i="20"/>
  <c r="X4" i="20"/>
  <c r="X5" i="20"/>
  <c r="X6" i="20"/>
  <c r="X7" i="20"/>
  <c r="X8" i="20"/>
  <c r="X9" i="20"/>
  <c r="X10" i="20"/>
  <c r="X11" i="20"/>
  <c r="X12" i="20"/>
  <c r="X13" i="20"/>
  <c r="X14" i="20"/>
  <c r="X15" i="20"/>
  <c r="X16" i="20"/>
  <c r="Y3" i="20"/>
  <c r="L4" i="20"/>
  <c r="Y4" i="20"/>
  <c r="L5" i="20"/>
  <c r="Y5" i="20"/>
  <c r="L6" i="20"/>
  <c r="Y6" i="20"/>
  <c r="L7" i="20"/>
  <c r="Y7" i="20"/>
  <c r="L8" i="20"/>
  <c r="Y8" i="20"/>
  <c r="L9" i="20"/>
  <c r="Y9" i="20"/>
  <c r="L10" i="20"/>
  <c r="Y10" i="20"/>
  <c r="L11" i="20"/>
  <c r="Y11" i="20"/>
  <c r="L12" i="20"/>
  <c r="Y12" i="20"/>
  <c r="L13" i="20"/>
  <c r="Y13" i="20"/>
  <c r="L14" i="20"/>
  <c r="Y14" i="20"/>
  <c r="L15" i="20"/>
  <c r="Y15" i="20"/>
  <c r="L16" i="20"/>
  <c r="Y16" i="20"/>
  <c r="J2" i="20"/>
  <c r="L3" i="20"/>
  <c r="I2" i="20"/>
  <c r="F15" i="20"/>
  <c r="F13" i="20"/>
  <c r="F11" i="20"/>
  <c r="F9" i="20"/>
  <c r="F7" i="20"/>
  <c r="F5" i="20"/>
  <c r="K2" i="13"/>
  <c r="F16" i="20"/>
  <c r="F14" i="20"/>
  <c r="F12" i="20"/>
  <c r="F10" i="20"/>
  <c r="F8" i="20"/>
  <c r="F6" i="20"/>
  <c r="F4" i="20"/>
  <c r="AK5001" i="1"/>
  <c r="AL5001" i="1"/>
  <c r="AM5001" i="1"/>
  <c r="AN5001" i="1"/>
  <c r="AO5001" i="1"/>
  <c r="U251" i="14" l="1"/>
  <c r="H251" i="14"/>
  <c r="M10" i="23"/>
  <c r="M10" i="22"/>
  <c r="M10" i="19"/>
  <c r="M9" i="23"/>
  <c r="M9" i="22"/>
  <c r="M9" i="19"/>
  <c r="M8" i="23"/>
  <c r="M8" i="19"/>
  <c r="M8" i="22"/>
  <c r="M4" i="23"/>
  <c r="M4" i="19"/>
  <c r="M4" i="22"/>
  <c r="M16" i="23"/>
  <c r="M16" i="22"/>
  <c r="M16" i="19"/>
  <c r="W251" i="14"/>
  <c r="D13" i="22"/>
  <c r="D13" i="19"/>
  <c r="M12" i="23"/>
  <c r="M12" i="22"/>
  <c r="M12" i="19"/>
  <c r="M14" i="23"/>
  <c r="M14" i="22"/>
  <c r="M14" i="19"/>
  <c r="M11" i="23"/>
  <c r="M11" i="22"/>
  <c r="M11" i="19"/>
  <c r="M6" i="23"/>
  <c r="M6" i="22"/>
  <c r="M6" i="19"/>
  <c r="M7" i="23"/>
  <c r="M7" i="22"/>
  <c r="M7" i="19"/>
  <c r="V251" i="14"/>
  <c r="A251" i="13"/>
  <c r="I251" i="13" s="1"/>
  <c r="J251" i="14"/>
  <c r="D5" i="22"/>
  <c r="D5" i="19"/>
  <c r="M15" i="23"/>
  <c r="M15" i="22"/>
  <c r="M15" i="19"/>
  <c r="M13" i="23"/>
  <c r="M13" i="22"/>
  <c r="M13" i="19"/>
  <c r="M3" i="23"/>
  <c r="M3" i="22"/>
  <c r="M3" i="19"/>
  <c r="M5" i="23"/>
  <c r="M5" i="22"/>
  <c r="M5" i="19"/>
  <c r="M2" i="23"/>
  <c r="M2" i="22"/>
  <c r="D7" i="23"/>
  <c r="D13" i="23"/>
  <c r="D5" i="23"/>
  <c r="F41" i="21"/>
  <c r="E35" i="21"/>
  <c r="E38" i="21"/>
  <c r="E40" i="21"/>
  <c r="E43" i="21"/>
  <c r="E45" i="21"/>
  <c r="F48" i="21"/>
  <c r="E30" i="21"/>
  <c r="E26" i="21"/>
  <c r="E22" i="21"/>
  <c r="E18" i="21"/>
  <c r="E14" i="16"/>
  <c r="E14" i="21"/>
  <c r="E10" i="16"/>
  <c r="E10" i="21"/>
  <c r="E7" i="16"/>
  <c r="E7" i="21"/>
  <c r="E3" i="16"/>
  <c r="E3" i="21"/>
  <c r="F219" i="21"/>
  <c r="E182" i="21"/>
  <c r="F37" i="21"/>
  <c r="F45" i="21"/>
  <c r="E34" i="21"/>
  <c r="E36" i="21"/>
  <c r="E39" i="21"/>
  <c r="E41" i="21"/>
  <c r="E42" i="21"/>
  <c r="E44" i="21"/>
  <c r="F56" i="21"/>
  <c r="F250" i="21"/>
  <c r="F246" i="21"/>
  <c r="F26" i="21"/>
  <c r="F22" i="21"/>
  <c r="F18" i="21"/>
  <c r="F14" i="16"/>
  <c r="F14" i="21"/>
  <c r="F10" i="16"/>
  <c r="F10" i="21"/>
  <c r="F6" i="16"/>
  <c r="F6" i="21"/>
  <c r="E29" i="21"/>
  <c r="E25" i="21"/>
  <c r="E21" i="21"/>
  <c r="E17" i="21"/>
  <c r="E13" i="16"/>
  <c r="E13" i="21"/>
  <c r="E9" i="16"/>
  <c r="E9" i="21"/>
  <c r="E4" i="16"/>
  <c r="E4" i="21"/>
  <c r="F203" i="21"/>
  <c r="F227" i="21"/>
  <c r="E170" i="21"/>
  <c r="F199" i="21"/>
  <c r="E169" i="21"/>
  <c r="F179" i="21"/>
  <c r="F171" i="21"/>
  <c r="F163" i="21"/>
  <c r="F159" i="21"/>
  <c r="F151" i="21"/>
  <c r="F143" i="21"/>
  <c r="E166" i="21"/>
  <c r="E163" i="21"/>
  <c r="E158" i="21"/>
  <c r="E155" i="21"/>
  <c r="E152" i="21"/>
  <c r="E149" i="21"/>
  <c r="E144" i="21"/>
  <c r="E140" i="21"/>
  <c r="E137" i="21"/>
  <c r="E87" i="21"/>
  <c r="E81" i="21"/>
  <c r="E90" i="21"/>
  <c r="E83" i="21"/>
  <c r="F103" i="21"/>
  <c r="E85" i="21"/>
  <c r="F98" i="21"/>
  <c r="F94" i="21"/>
  <c r="E86" i="21"/>
  <c r="F74" i="21"/>
  <c r="F59" i="21"/>
  <c r="F55" i="21"/>
  <c r="F51" i="21"/>
  <c r="F47" i="21"/>
  <c r="F249" i="21"/>
  <c r="F245" i="21"/>
  <c r="F241" i="21"/>
  <c r="F237" i="21"/>
  <c r="F29" i="21"/>
  <c r="F25" i="21"/>
  <c r="F21" i="21"/>
  <c r="F17" i="21"/>
  <c r="F13" i="16"/>
  <c r="F13" i="21"/>
  <c r="F9" i="16"/>
  <c r="F9" i="21"/>
  <c r="F5" i="16"/>
  <c r="F5" i="21"/>
  <c r="F230" i="21"/>
  <c r="F226" i="21"/>
  <c r="F222" i="21"/>
  <c r="F218" i="21"/>
  <c r="F214" i="21"/>
  <c r="F210" i="21"/>
  <c r="F206" i="21"/>
  <c r="E235" i="21"/>
  <c r="E234" i="21"/>
  <c r="E233" i="21"/>
  <c r="E232" i="21"/>
  <c r="E231" i="21"/>
  <c r="E230" i="21"/>
  <c r="E229" i="21"/>
  <c r="E228" i="21"/>
  <c r="E227" i="21"/>
  <c r="E226" i="21"/>
  <c r="E225" i="21"/>
  <c r="E224" i="21"/>
  <c r="E223" i="21"/>
  <c r="E222" i="21"/>
  <c r="E221" i="21"/>
  <c r="E220" i="21"/>
  <c r="E219" i="21"/>
  <c r="E218" i="21"/>
  <c r="E217" i="21"/>
  <c r="E216" i="21"/>
  <c r="E215" i="21"/>
  <c r="E214" i="21"/>
  <c r="E213" i="21"/>
  <c r="E212" i="21"/>
  <c r="E211" i="21"/>
  <c r="E210" i="21"/>
  <c r="E209" i="21"/>
  <c r="E208" i="21"/>
  <c r="E207" i="21"/>
  <c r="E206" i="21"/>
  <c r="E178" i="21"/>
  <c r="F198" i="21"/>
  <c r="F194" i="21"/>
  <c r="F190" i="21"/>
  <c r="F186" i="21"/>
  <c r="E134" i="21"/>
  <c r="F182" i="21"/>
  <c r="F178" i="21"/>
  <c r="F174" i="21"/>
  <c r="F170" i="21"/>
  <c r="F166" i="21"/>
  <c r="F162" i="21"/>
  <c r="F158" i="21"/>
  <c r="F154" i="21"/>
  <c r="F150" i="21"/>
  <c r="F146" i="21"/>
  <c r="F142" i="21"/>
  <c r="F138" i="21"/>
  <c r="E133" i="21"/>
  <c r="E104" i="21"/>
  <c r="F131" i="21"/>
  <c r="F127" i="21"/>
  <c r="F123" i="21"/>
  <c r="F119" i="21"/>
  <c r="F115" i="21"/>
  <c r="F111" i="21"/>
  <c r="F107" i="21"/>
  <c r="E89" i="21"/>
  <c r="E94" i="21"/>
  <c r="E95" i="21"/>
  <c r="E72" i="21"/>
  <c r="E100" i="21"/>
  <c r="F102" i="21"/>
  <c r="E97" i="21"/>
  <c r="E74" i="21"/>
  <c r="E65" i="21"/>
  <c r="F82" i="21"/>
  <c r="F97" i="21"/>
  <c r="F93" i="21"/>
  <c r="F89" i="21"/>
  <c r="F83" i="21"/>
  <c r="E82" i="21"/>
  <c r="E79" i="21"/>
  <c r="F81" i="21"/>
  <c r="F77" i="21"/>
  <c r="F73" i="21"/>
  <c r="F69" i="21"/>
  <c r="F65" i="21"/>
  <c r="F33" i="21"/>
  <c r="F64" i="21"/>
  <c r="E33" i="21"/>
  <c r="E37" i="21"/>
  <c r="F60" i="21"/>
  <c r="F52" i="21"/>
  <c r="F242" i="21"/>
  <c r="F238" i="21"/>
  <c r="F30" i="21"/>
  <c r="E32" i="21"/>
  <c r="E28" i="21"/>
  <c r="E24" i="21"/>
  <c r="E20" i="21"/>
  <c r="E16" i="16"/>
  <c r="E16" i="21"/>
  <c r="E11" i="16"/>
  <c r="E11" i="21"/>
  <c r="E6" i="16"/>
  <c r="E6" i="21"/>
  <c r="F204" i="21"/>
  <c r="F202" i="21"/>
  <c r="F215" i="21"/>
  <c r="F187" i="21"/>
  <c r="E179" i="21"/>
  <c r="F183" i="21"/>
  <c r="F175" i="21"/>
  <c r="F167" i="21"/>
  <c r="F155" i="21"/>
  <c r="F147" i="21"/>
  <c r="F139" i="21"/>
  <c r="F135" i="21"/>
  <c r="E103" i="21"/>
  <c r="E168" i="21"/>
  <c r="E164" i="21"/>
  <c r="E162" i="21"/>
  <c r="E159" i="21"/>
  <c r="E156" i="21"/>
  <c r="E153" i="21"/>
  <c r="E150" i="21"/>
  <c r="E148" i="21"/>
  <c r="E145" i="21"/>
  <c r="E142" i="21"/>
  <c r="E139" i="21"/>
  <c r="E136" i="21"/>
  <c r="F124" i="21"/>
  <c r="E80" i="21"/>
  <c r="E73" i="21"/>
  <c r="F86" i="21"/>
  <c r="F90" i="21"/>
  <c r="E70" i="21"/>
  <c r="F66" i="21"/>
  <c r="F38" i="21"/>
  <c r="F62" i="21"/>
  <c r="F58" i="21"/>
  <c r="F54" i="21"/>
  <c r="F50" i="21"/>
  <c r="F46" i="21"/>
  <c r="F248" i="21"/>
  <c r="F244" i="21"/>
  <c r="F240" i="21"/>
  <c r="F236" i="21"/>
  <c r="F229" i="21"/>
  <c r="F28" i="21"/>
  <c r="F24" i="21"/>
  <c r="F20" i="21"/>
  <c r="F16" i="16"/>
  <c r="F16" i="21"/>
  <c r="F12" i="16"/>
  <c r="F12" i="21"/>
  <c r="F8" i="16"/>
  <c r="F8" i="21"/>
  <c r="F4" i="16"/>
  <c r="F4" i="21"/>
  <c r="F225" i="21"/>
  <c r="F221" i="21"/>
  <c r="F217" i="21"/>
  <c r="F213" i="21"/>
  <c r="F209" i="21"/>
  <c r="E174" i="21"/>
  <c r="F201" i="21"/>
  <c r="F197" i="21"/>
  <c r="F193" i="21"/>
  <c r="F189" i="21"/>
  <c r="E175" i="21"/>
  <c r="E176" i="21"/>
  <c r="E181" i="21"/>
  <c r="E173" i="21"/>
  <c r="E98" i="21"/>
  <c r="F185" i="21"/>
  <c r="F181" i="21"/>
  <c r="F177" i="21"/>
  <c r="F173" i="21"/>
  <c r="F169" i="21"/>
  <c r="F165" i="21"/>
  <c r="F161" i="21"/>
  <c r="F157" i="21"/>
  <c r="F153" i="21"/>
  <c r="F149" i="21"/>
  <c r="F145" i="21"/>
  <c r="F141" i="21"/>
  <c r="F137" i="21"/>
  <c r="F134" i="21"/>
  <c r="F130" i="21"/>
  <c r="F126" i="21"/>
  <c r="F122" i="21"/>
  <c r="F118" i="21"/>
  <c r="F114" i="21"/>
  <c r="F110" i="21"/>
  <c r="F106" i="21"/>
  <c r="E102" i="21"/>
  <c r="E101" i="21"/>
  <c r="E91" i="21"/>
  <c r="F84" i="21"/>
  <c r="E96" i="21"/>
  <c r="E84" i="21"/>
  <c r="F101" i="21"/>
  <c r="E66" i="21"/>
  <c r="E68" i="21"/>
  <c r="F100" i="21"/>
  <c r="F96" i="21"/>
  <c r="F92" i="21"/>
  <c r="F88" i="21"/>
  <c r="E77" i="21"/>
  <c r="E75" i="21"/>
  <c r="F80" i="21"/>
  <c r="F76" i="21"/>
  <c r="F72" i="21"/>
  <c r="F68" i="21"/>
  <c r="E31" i="21"/>
  <c r="E27" i="21"/>
  <c r="E23" i="21"/>
  <c r="E19" i="21"/>
  <c r="E15" i="16"/>
  <c r="E15" i="21"/>
  <c r="E12" i="16"/>
  <c r="E12" i="21"/>
  <c r="E8" i="16"/>
  <c r="E8" i="21"/>
  <c r="E5" i="16"/>
  <c r="E5" i="21"/>
  <c r="F205" i="21"/>
  <c r="F223" i="21"/>
  <c r="F211" i="21"/>
  <c r="F207" i="21"/>
  <c r="F195" i="21"/>
  <c r="F191" i="21"/>
  <c r="E180" i="21"/>
  <c r="E185" i="21"/>
  <c r="E177" i="21"/>
  <c r="E167" i="21"/>
  <c r="E165" i="21"/>
  <c r="E161" i="21"/>
  <c r="E160" i="21"/>
  <c r="E157" i="21"/>
  <c r="E154" i="21"/>
  <c r="E151" i="21"/>
  <c r="E147" i="21"/>
  <c r="E146" i="21"/>
  <c r="E143" i="21"/>
  <c r="E141" i="21"/>
  <c r="E138" i="21"/>
  <c r="E135" i="21"/>
  <c r="F132" i="21"/>
  <c r="F128" i="21"/>
  <c r="F120" i="21"/>
  <c r="F116" i="21"/>
  <c r="F112" i="21"/>
  <c r="F108" i="21"/>
  <c r="E99" i="21"/>
  <c r="F85" i="21"/>
  <c r="E88" i="21"/>
  <c r="E67" i="21"/>
  <c r="F78" i="21"/>
  <c r="F70" i="21"/>
  <c r="F34" i="21"/>
  <c r="F42" i="21"/>
  <c r="F35" i="21"/>
  <c r="F39" i="21"/>
  <c r="F43" i="21"/>
  <c r="F32" i="21"/>
  <c r="F36" i="21"/>
  <c r="F40" i="21"/>
  <c r="F44" i="21"/>
  <c r="F63" i="21"/>
  <c r="F61" i="21"/>
  <c r="F57" i="21"/>
  <c r="F53" i="21"/>
  <c r="F49" i="21"/>
  <c r="F247" i="21"/>
  <c r="F243" i="21"/>
  <c r="F239" i="21"/>
  <c r="F31" i="21"/>
  <c r="F27" i="21"/>
  <c r="F23" i="21"/>
  <c r="F19" i="21"/>
  <c r="F15" i="16"/>
  <c r="F15" i="21"/>
  <c r="F11" i="16"/>
  <c r="F11" i="21"/>
  <c r="F7" i="16"/>
  <c r="F7" i="21"/>
  <c r="F3" i="16"/>
  <c r="F3" i="21"/>
  <c r="E64" i="21"/>
  <c r="E63" i="21"/>
  <c r="E62" i="21"/>
  <c r="E61" i="21"/>
  <c r="E60" i="21"/>
  <c r="E59" i="21"/>
  <c r="E58" i="21"/>
  <c r="E57" i="21"/>
  <c r="E56" i="21"/>
  <c r="E55" i="21"/>
  <c r="E54" i="21"/>
  <c r="E53" i="21"/>
  <c r="E52" i="21"/>
  <c r="E51" i="21"/>
  <c r="E50" i="21"/>
  <c r="E49" i="21"/>
  <c r="E48" i="21"/>
  <c r="E47" i="21"/>
  <c r="E46" i="21"/>
  <c r="E250" i="21"/>
  <c r="E249" i="21"/>
  <c r="E248" i="21"/>
  <c r="E247" i="21"/>
  <c r="E246" i="21"/>
  <c r="E245" i="21"/>
  <c r="E244" i="21"/>
  <c r="E243" i="21"/>
  <c r="E242" i="21"/>
  <c r="E241" i="21"/>
  <c r="E240" i="21"/>
  <c r="E239" i="21"/>
  <c r="E238" i="21"/>
  <c r="E237" i="21"/>
  <c r="E236" i="21"/>
  <c r="F235" i="21"/>
  <c r="F234" i="21"/>
  <c r="F233" i="21"/>
  <c r="F232" i="21"/>
  <c r="F231" i="21"/>
  <c r="F228" i="21"/>
  <c r="F224" i="21"/>
  <c r="F220" i="21"/>
  <c r="F216" i="21"/>
  <c r="F212" i="21"/>
  <c r="F208" i="21"/>
  <c r="F200" i="21"/>
  <c r="F196" i="21"/>
  <c r="F192" i="21"/>
  <c r="F188" i="21"/>
  <c r="E183" i="21"/>
  <c r="E171" i="21"/>
  <c r="E205" i="21"/>
  <c r="E204" i="21"/>
  <c r="E203" i="21"/>
  <c r="E202" i="21"/>
  <c r="E201" i="21"/>
  <c r="E200" i="21"/>
  <c r="E199" i="21"/>
  <c r="E198" i="21"/>
  <c r="E197" i="21"/>
  <c r="E196" i="21"/>
  <c r="E195" i="21"/>
  <c r="E194" i="21"/>
  <c r="E193" i="21"/>
  <c r="E192" i="21"/>
  <c r="E191" i="21"/>
  <c r="E190" i="21"/>
  <c r="E189" i="21"/>
  <c r="E188" i="21"/>
  <c r="E187" i="21"/>
  <c r="E186" i="21"/>
  <c r="E184" i="21"/>
  <c r="E172" i="21"/>
  <c r="F184" i="21"/>
  <c r="F180" i="21"/>
  <c r="F176" i="21"/>
  <c r="F172" i="21"/>
  <c r="F168" i="21"/>
  <c r="F164" i="21"/>
  <c r="F160" i="21"/>
  <c r="F156" i="21"/>
  <c r="F152" i="21"/>
  <c r="F148" i="21"/>
  <c r="F144" i="21"/>
  <c r="F140" i="21"/>
  <c r="F136" i="21"/>
  <c r="F133" i="21"/>
  <c r="F129" i="21"/>
  <c r="F125" i="21"/>
  <c r="F121" i="21"/>
  <c r="F117" i="21"/>
  <c r="F113" i="21"/>
  <c r="F109" i="21"/>
  <c r="F105"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92" i="21"/>
  <c r="F104" i="21"/>
  <c r="E93" i="21"/>
  <c r="E76" i="21"/>
  <c r="F99" i="21"/>
  <c r="F95" i="21"/>
  <c r="F91" i="21"/>
  <c r="F87" i="21"/>
  <c r="E78" i="21"/>
  <c r="E69" i="21"/>
  <c r="E71" i="21"/>
  <c r="F79" i="21"/>
  <c r="F75" i="21"/>
  <c r="F71" i="21"/>
  <c r="F67" i="21"/>
  <c r="E2" i="18"/>
  <c r="E2" i="16"/>
  <c r="D13" i="8"/>
  <c r="D5" i="8"/>
  <c r="F2" i="18"/>
  <c r="F2" i="16"/>
  <c r="M2" i="19"/>
  <c r="D2" i="22"/>
  <c r="A97" i="13"/>
  <c r="I97" i="13" s="1"/>
  <c r="A134" i="13"/>
  <c r="I134" i="13" s="1"/>
  <c r="A130" i="13"/>
  <c r="I130" i="13" s="1"/>
  <c r="A122" i="13"/>
  <c r="I122" i="13" s="1"/>
  <c r="A118" i="13"/>
  <c r="I118" i="13" s="1"/>
  <c r="A114" i="13"/>
  <c r="I114" i="13" s="1"/>
  <c r="A79" i="13"/>
  <c r="I79" i="13" s="1"/>
  <c r="A90" i="13"/>
  <c r="I90" i="13" s="1"/>
  <c r="A77" i="13"/>
  <c r="I77" i="13" s="1"/>
  <c r="A72" i="13"/>
  <c r="I72" i="13" s="1"/>
  <c r="A74" i="13"/>
  <c r="I74" i="13" s="1"/>
  <c r="A228" i="13"/>
  <c r="I228" i="13" s="1"/>
  <c r="A208" i="13"/>
  <c r="I208" i="13" s="1"/>
  <c r="A171" i="13"/>
  <c r="I171" i="13" s="1"/>
  <c r="A153" i="13"/>
  <c r="I153" i="13" s="1"/>
  <c r="A138" i="13"/>
  <c r="I138" i="13" s="1"/>
  <c r="A38" i="13"/>
  <c r="I38" i="13" s="1"/>
  <c r="A62" i="13"/>
  <c r="I62" i="13" s="1"/>
  <c r="A50" i="13"/>
  <c r="I50" i="13" s="1"/>
  <c r="A245" i="13"/>
  <c r="I245" i="13" s="1"/>
  <c r="A237" i="13"/>
  <c r="I237" i="13" s="1"/>
  <c r="A17" i="13"/>
  <c r="I17" i="13" s="1"/>
  <c r="I15" i="4"/>
  <c r="I15" i="20"/>
  <c r="K13" i="4"/>
  <c r="K13" i="20"/>
  <c r="I11" i="4"/>
  <c r="I11" i="20"/>
  <c r="K9" i="4"/>
  <c r="K9" i="20"/>
  <c r="I7" i="4"/>
  <c r="I7" i="20"/>
  <c r="A5" i="13"/>
  <c r="I5" i="13" s="1"/>
  <c r="K5" i="20"/>
  <c r="A223" i="13"/>
  <c r="I223" i="13" s="1"/>
  <c r="A185" i="13"/>
  <c r="I185" i="13" s="1"/>
  <c r="A181" i="13"/>
  <c r="I181" i="13" s="1"/>
  <c r="A160" i="13"/>
  <c r="I160" i="13" s="1"/>
  <c r="A155" i="13"/>
  <c r="I155" i="13" s="1"/>
  <c r="A195" i="13"/>
  <c r="I195" i="13" s="1"/>
  <c r="A187" i="13"/>
  <c r="I187" i="13" s="1"/>
  <c r="A133" i="13"/>
  <c r="I133" i="13" s="1"/>
  <c r="A121" i="13"/>
  <c r="I121" i="13" s="1"/>
  <c r="A117" i="13"/>
  <c r="I117" i="13" s="1"/>
  <c r="A105" i="13"/>
  <c r="I105" i="13" s="1"/>
  <c r="A103" i="13"/>
  <c r="I103" i="13" s="1"/>
  <c r="A94" i="13"/>
  <c r="I94" i="13" s="1"/>
  <c r="A87" i="13"/>
  <c r="I87" i="13" s="1"/>
  <c r="A69" i="13"/>
  <c r="I69" i="13" s="1"/>
  <c r="A96" i="13"/>
  <c r="I96" i="13" s="1"/>
  <c r="A88" i="13"/>
  <c r="I88" i="13" s="1"/>
  <c r="A83" i="13"/>
  <c r="I83" i="13" s="1"/>
  <c r="H2" i="14"/>
  <c r="F2" i="20"/>
  <c r="A23" i="13"/>
  <c r="I23" i="13" s="1"/>
  <c r="V2" i="14"/>
  <c r="X2" i="20"/>
  <c r="J15" i="4"/>
  <c r="J15" i="20"/>
  <c r="J13" i="4"/>
  <c r="J13" i="20"/>
  <c r="J11" i="4"/>
  <c r="J11" i="20"/>
  <c r="J9" i="4"/>
  <c r="J9" i="20"/>
  <c r="J7" i="4"/>
  <c r="J7" i="20"/>
  <c r="J5" i="4"/>
  <c r="J5" i="20"/>
  <c r="I3" i="4"/>
  <c r="I3" i="20"/>
  <c r="A238" i="13"/>
  <c r="I238" i="13" s="1"/>
  <c r="I16" i="4"/>
  <c r="I16" i="20"/>
  <c r="K14" i="4"/>
  <c r="K14" i="20"/>
  <c r="A6" i="13"/>
  <c r="I6" i="13" s="1"/>
  <c r="K6" i="20"/>
  <c r="A224" i="13"/>
  <c r="I224" i="13" s="1"/>
  <c r="A212" i="13"/>
  <c r="I212" i="13" s="1"/>
  <c r="A174" i="13"/>
  <c r="I174" i="13" s="1"/>
  <c r="A172" i="13"/>
  <c r="I172" i="13" s="1"/>
  <c r="A150" i="13"/>
  <c r="I150" i="13" s="1"/>
  <c r="U2" i="14"/>
  <c r="W2" i="20"/>
  <c r="A35" i="13"/>
  <c r="I35" i="13" s="1"/>
  <c r="W2" i="14"/>
  <c r="Y2" i="20"/>
  <c r="A57" i="13"/>
  <c r="I57" i="13" s="1"/>
  <c r="A244" i="13"/>
  <c r="I244" i="13" s="1"/>
  <c r="K16" i="4"/>
  <c r="K16" i="20"/>
  <c r="I14" i="4"/>
  <c r="I14" i="20"/>
  <c r="A12" i="13"/>
  <c r="I12" i="13" s="1"/>
  <c r="K12" i="20"/>
  <c r="I10" i="4"/>
  <c r="I10" i="20"/>
  <c r="K8" i="4"/>
  <c r="K8" i="20"/>
  <c r="A218" i="13"/>
  <c r="I218" i="13" s="1"/>
  <c r="A203" i="13"/>
  <c r="I203" i="13" s="1"/>
  <c r="A163" i="13"/>
  <c r="I163" i="13" s="1"/>
  <c r="A144" i="13"/>
  <c r="I144" i="13" s="1"/>
  <c r="A136" i="13"/>
  <c r="I136" i="13" s="1"/>
  <c r="A67" i="13"/>
  <c r="I67" i="13" s="1"/>
  <c r="A78" i="13"/>
  <c r="I78" i="13" s="1"/>
  <c r="J2" i="14"/>
  <c r="J16" i="4"/>
  <c r="J16" i="20"/>
  <c r="J14" i="4"/>
  <c r="J14" i="20"/>
  <c r="J12" i="4"/>
  <c r="J12" i="20"/>
  <c r="J10" i="4"/>
  <c r="J10" i="20"/>
  <c r="J8" i="4"/>
  <c r="J8" i="20"/>
  <c r="J6" i="4"/>
  <c r="J6" i="20"/>
  <c r="J4" i="4"/>
  <c r="J4" i="20"/>
  <c r="I12" i="4"/>
  <c r="I12" i="20"/>
  <c r="K10" i="4"/>
  <c r="K10" i="20"/>
  <c r="I8" i="4"/>
  <c r="I8" i="20"/>
  <c r="I4" i="4"/>
  <c r="I4" i="20"/>
  <c r="A248" i="13"/>
  <c r="I248" i="13" s="1"/>
  <c r="A231" i="13"/>
  <c r="I231" i="13" s="1"/>
  <c r="I6" i="4"/>
  <c r="I6" i="20"/>
  <c r="K4" i="4"/>
  <c r="K4" i="20"/>
  <c r="A226" i="13"/>
  <c r="I226" i="13" s="1"/>
  <c r="A222" i="13"/>
  <c r="I222" i="13" s="1"/>
  <c r="A214" i="13"/>
  <c r="I214" i="13" s="1"/>
  <c r="A206" i="13"/>
  <c r="I206" i="13" s="1"/>
  <c r="A202" i="13"/>
  <c r="I202" i="13" s="1"/>
  <c r="A154" i="13"/>
  <c r="I154" i="13" s="1"/>
  <c r="A170" i="13"/>
  <c r="I170" i="13" s="1"/>
  <c r="A183" i="13"/>
  <c r="I183" i="13" s="1"/>
  <c r="A157" i="13"/>
  <c r="I157" i="13" s="1"/>
  <c r="A176" i="13"/>
  <c r="I176" i="13" s="1"/>
  <c r="A112" i="13"/>
  <c r="I112" i="13" s="1"/>
  <c r="A93" i="13"/>
  <c r="I93" i="13" s="1"/>
  <c r="B2" i="13"/>
  <c r="K2" i="20"/>
  <c r="A44" i="13"/>
  <c r="I44" i="13" s="1"/>
  <c r="J3" i="4"/>
  <c r="J3" i="20"/>
  <c r="A60" i="13"/>
  <c r="I60" i="13" s="1"/>
  <c r="A56" i="13"/>
  <c r="I56" i="13" s="1"/>
  <c r="A247" i="13"/>
  <c r="I247" i="13" s="1"/>
  <c r="A19" i="13"/>
  <c r="I19" i="13" s="1"/>
  <c r="A15" i="13"/>
  <c r="I15" i="13" s="1"/>
  <c r="K15" i="20"/>
  <c r="I13" i="4"/>
  <c r="I13" i="20"/>
  <c r="K11" i="4"/>
  <c r="K11" i="20"/>
  <c r="I9" i="4"/>
  <c r="I9" i="20"/>
  <c r="A7" i="13"/>
  <c r="I7" i="13" s="1"/>
  <c r="K7" i="20"/>
  <c r="I5" i="4"/>
  <c r="I5" i="20"/>
  <c r="A3" i="13"/>
  <c r="I3" i="13" s="1"/>
  <c r="K3" i="20"/>
  <c r="A229" i="13"/>
  <c r="I229" i="13" s="1"/>
  <c r="A225" i="13"/>
  <c r="I225" i="13" s="1"/>
  <c r="A221" i="13"/>
  <c r="I221" i="13" s="1"/>
  <c r="A217" i="13"/>
  <c r="I217" i="13" s="1"/>
  <c r="A209" i="13"/>
  <c r="I209" i="13" s="1"/>
  <c r="A156" i="13"/>
  <c r="I156" i="13" s="1"/>
  <c r="A197" i="13"/>
  <c r="I197" i="13" s="1"/>
  <c r="A193" i="13"/>
  <c r="I193" i="13" s="1"/>
  <c r="A189" i="13"/>
  <c r="I189" i="13" s="1"/>
  <c r="A123" i="13"/>
  <c r="I123" i="13" s="1"/>
  <c r="A119" i="13"/>
  <c r="I119" i="13" s="1"/>
  <c r="A107" i="13"/>
  <c r="I107" i="13" s="1"/>
  <c r="A98" i="13"/>
  <c r="I98" i="13" s="1"/>
  <c r="A71" i="13"/>
  <c r="I71" i="13" s="1"/>
  <c r="A100" i="13"/>
  <c r="I100" i="13" s="1"/>
  <c r="A92" i="13"/>
  <c r="I92" i="13" s="1"/>
  <c r="A80" i="13"/>
  <c r="I80" i="13" s="1"/>
  <c r="A85" i="13"/>
  <c r="I85" i="13" s="1"/>
  <c r="G4" i="4"/>
  <c r="M15" i="8"/>
  <c r="F8" i="18"/>
  <c r="F8" i="5"/>
  <c r="F12" i="18"/>
  <c r="F12" i="5"/>
  <c r="F15" i="18"/>
  <c r="F15" i="5"/>
  <c r="M14" i="8"/>
  <c r="F11" i="18"/>
  <c r="F11" i="5"/>
  <c r="M10" i="8"/>
  <c r="M6" i="8"/>
  <c r="M11" i="8"/>
  <c r="F7" i="18"/>
  <c r="F7" i="5"/>
  <c r="F14" i="18"/>
  <c r="F14" i="5"/>
  <c r="M13" i="8"/>
  <c r="F10" i="18"/>
  <c r="F10" i="5"/>
  <c r="M9" i="8"/>
  <c r="F6" i="18"/>
  <c r="F6" i="5"/>
  <c r="E16" i="18"/>
  <c r="E16" i="5"/>
  <c r="E15" i="18"/>
  <c r="E15" i="5"/>
  <c r="E14" i="18"/>
  <c r="E14" i="5"/>
  <c r="E13" i="18"/>
  <c r="E13" i="5"/>
  <c r="E12" i="18"/>
  <c r="E12" i="5"/>
  <c r="E11" i="18"/>
  <c r="E11" i="5"/>
  <c r="E10" i="18"/>
  <c r="E10" i="5"/>
  <c r="E9" i="18"/>
  <c r="E9" i="5"/>
  <c r="E8" i="18"/>
  <c r="E8" i="5"/>
  <c r="E7" i="18"/>
  <c r="E7" i="5"/>
  <c r="E6" i="18"/>
  <c r="E6" i="5"/>
  <c r="F16" i="18"/>
  <c r="F16" i="5"/>
  <c r="M7" i="8"/>
  <c r="M16" i="8"/>
  <c r="F13" i="18"/>
  <c r="F13" i="5"/>
  <c r="M12" i="8"/>
  <c r="F9" i="18"/>
  <c r="F9" i="5"/>
  <c r="M8" i="8"/>
  <c r="M5" i="8"/>
  <c r="E5" i="5"/>
  <c r="E5" i="18"/>
  <c r="F5" i="18"/>
  <c r="F5" i="5"/>
  <c r="M4" i="8"/>
  <c r="E4" i="18"/>
  <c r="E4" i="5"/>
  <c r="F4" i="18"/>
  <c r="F4" i="5"/>
  <c r="E3" i="18"/>
  <c r="E3" i="5"/>
  <c r="M3" i="8"/>
  <c r="F3" i="18"/>
  <c r="F3" i="5"/>
  <c r="A82" i="13"/>
  <c r="I82" i="13" s="1"/>
  <c r="A70" i="13"/>
  <c r="I70" i="13" s="1"/>
  <c r="A75" i="13"/>
  <c r="I75" i="13" s="1"/>
  <c r="A120" i="13"/>
  <c r="I120" i="13" s="1"/>
  <c r="A116" i="13"/>
  <c r="I116" i="13" s="1"/>
  <c r="A124" i="13"/>
  <c r="I124" i="13" s="1"/>
  <c r="G3" i="4"/>
  <c r="A110" i="13"/>
  <c r="I110" i="13" s="1"/>
  <c r="A65" i="13"/>
  <c r="I65" i="13" s="1"/>
  <c r="A84" i="13"/>
  <c r="I84" i="13" s="1"/>
  <c r="A113" i="13"/>
  <c r="I113" i="13" s="1"/>
  <c r="A109" i="13"/>
  <c r="I109" i="13" s="1"/>
  <c r="A99" i="13"/>
  <c r="I99" i="13" s="1"/>
  <c r="A73" i="13"/>
  <c r="I73" i="13" s="1"/>
  <c r="A89" i="13"/>
  <c r="I89" i="13" s="1"/>
  <c r="A81" i="13"/>
  <c r="I81" i="13" s="1"/>
  <c r="A126" i="13"/>
  <c r="I126" i="13" s="1"/>
  <c r="A76" i="13"/>
  <c r="I76" i="13" s="1"/>
  <c r="A66" i="13"/>
  <c r="I66" i="13" s="1"/>
  <c r="A106" i="13"/>
  <c r="I106" i="13" s="1"/>
  <c r="A186" i="13"/>
  <c r="I186" i="13" s="1"/>
  <c r="A129" i="13"/>
  <c r="I129" i="13" s="1"/>
  <c r="A141" i="13"/>
  <c r="I141" i="13" s="1"/>
  <c r="A104" i="13"/>
  <c r="I104" i="13" s="1"/>
  <c r="A125" i="13"/>
  <c r="I125" i="13" s="1"/>
  <c r="A137" i="13"/>
  <c r="I137" i="13" s="1"/>
  <c r="A191" i="13"/>
  <c r="I191" i="13" s="1"/>
  <c r="A145" i="13"/>
  <c r="I145" i="13" s="1"/>
  <c r="A152" i="13"/>
  <c r="I152" i="13" s="1"/>
  <c r="A201" i="13"/>
  <c r="I201" i="13" s="1"/>
  <c r="A158" i="13"/>
  <c r="I158" i="13" s="1"/>
  <c r="A178" i="13"/>
  <c r="I178" i="13" s="1"/>
  <c r="A86" i="13"/>
  <c r="I86" i="13" s="1"/>
  <c r="A102" i="13"/>
  <c r="I102" i="13" s="1"/>
  <c r="A108" i="13"/>
  <c r="I108" i="13" s="1"/>
  <c r="A128" i="13"/>
  <c r="I128" i="13" s="1"/>
  <c r="A140" i="13"/>
  <c r="I140" i="13" s="1"/>
  <c r="A205" i="13"/>
  <c r="I205" i="13" s="1"/>
  <c r="A68" i="13"/>
  <c r="I68" i="13" s="1"/>
  <c r="A132" i="13"/>
  <c r="I132" i="13" s="1"/>
  <c r="A148" i="13"/>
  <c r="I148" i="13" s="1"/>
  <c r="A164" i="13"/>
  <c r="I164" i="13" s="1"/>
  <c r="A175" i="13"/>
  <c r="I175" i="13" s="1"/>
  <c r="A166" i="13"/>
  <c r="I166" i="13" s="1"/>
  <c r="A184" i="13"/>
  <c r="I184" i="13" s="1"/>
  <c r="A167" i="13"/>
  <c r="I167" i="13" s="1"/>
  <c r="A146" i="13"/>
  <c r="I146" i="13" s="1"/>
  <c r="A192" i="13"/>
  <c r="I192" i="13" s="1"/>
  <c r="A142" i="13"/>
  <c r="I142" i="13" s="1"/>
  <c r="A149" i="13"/>
  <c r="I149" i="13" s="1"/>
  <c r="A165" i="13"/>
  <c r="I165" i="13" s="1"/>
  <c r="A215" i="13"/>
  <c r="I215" i="13" s="1"/>
  <c r="A207" i="13"/>
  <c r="I207" i="13" s="1"/>
  <c r="A173" i="13"/>
  <c r="I173" i="13" s="1"/>
  <c r="A204" i="13"/>
  <c r="I204" i="13" s="1"/>
  <c r="A162" i="13"/>
  <c r="I162" i="13" s="1"/>
  <c r="A179" i="13"/>
  <c r="I179" i="13" s="1"/>
  <c r="A188" i="13"/>
  <c r="I188" i="13" s="1"/>
  <c r="A216" i="13"/>
  <c r="I216" i="13" s="1"/>
  <c r="A219" i="13"/>
  <c r="I219" i="13" s="1"/>
  <c r="A196" i="13"/>
  <c r="I196" i="13" s="1"/>
  <c r="A168" i="13"/>
  <c r="I168" i="13" s="1"/>
  <c r="A182" i="13"/>
  <c r="I182" i="13" s="1"/>
  <c r="A180" i="13"/>
  <c r="I180" i="13" s="1"/>
  <c r="A199" i="13"/>
  <c r="I199" i="13" s="1"/>
  <c r="A198" i="13"/>
  <c r="I198" i="13" s="1"/>
  <c r="A210" i="13"/>
  <c r="I210" i="13" s="1"/>
  <c r="A10" i="13"/>
  <c r="I10" i="13" s="1"/>
  <c r="A220" i="13"/>
  <c r="I220" i="13" s="1"/>
  <c r="A46" i="13"/>
  <c r="I46" i="13" s="1"/>
  <c r="A242" i="13"/>
  <c r="I242" i="13" s="1"/>
  <c r="A211" i="13"/>
  <c r="I211" i="13" s="1"/>
  <c r="A8" i="13"/>
  <c r="I8" i="13" s="1"/>
  <c r="A190" i="13"/>
  <c r="I190" i="13" s="1"/>
  <c r="A194" i="13"/>
  <c r="I194" i="13" s="1"/>
  <c r="A200" i="13"/>
  <c r="I200" i="13" s="1"/>
  <c r="K12" i="4"/>
  <c r="A232" i="13"/>
  <c r="I232" i="13" s="1"/>
  <c r="A234" i="13"/>
  <c r="I234" i="13" s="1"/>
  <c r="A24" i="13"/>
  <c r="I24" i="13" s="1"/>
  <c r="A16" i="13"/>
  <c r="I16" i="13" s="1"/>
  <c r="A227" i="13"/>
  <c r="I227" i="13" s="1"/>
  <c r="A43" i="13"/>
  <c r="I43" i="13" s="1"/>
  <c r="A235" i="13"/>
  <c r="I235" i="13" s="1"/>
  <c r="A49" i="13"/>
  <c r="I49" i="13" s="1"/>
  <c r="A25" i="13"/>
  <c r="I25" i="13" s="1"/>
  <c r="A61" i="13"/>
  <c r="I61" i="13" s="1"/>
  <c r="A4" i="13"/>
  <c r="I4" i="13" s="1"/>
  <c r="A230" i="13"/>
  <c r="I230" i="13" s="1"/>
  <c r="A240" i="13"/>
  <c r="I240" i="13" s="1"/>
  <c r="A20" i="13"/>
  <c r="I20" i="13" s="1"/>
  <c r="A39" i="13"/>
  <c r="I39" i="13" s="1"/>
  <c r="K7" i="4"/>
  <c r="K15" i="4"/>
  <c r="A246" i="13"/>
  <c r="I246" i="13" s="1"/>
  <c r="A249" i="13"/>
  <c r="I249" i="13" s="1"/>
  <c r="A177" i="13"/>
  <c r="I177" i="13" s="1"/>
  <c r="K5" i="4"/>
  <c r="K6" i="4"/>
  <c r="A21" i="13"/>
  <c r="I21" i="13" s="1"/>
  <c r="A58" i="13"/>
  <c r="I58" i="13" s="1"/>
  <c r="A47" i="13"/>
  <c r="I47" i="13" s="1"/>
  <c r="A14" i="13"/>
  <c r="I14" i="13" s="1"/>
  <c r="A52" i="13"/>
  <c r="I52" i="13" s="1"/>
  <c r="A241" i="13"/>
  <c r="I241" i="13" s="1"/>
  <c r="A54" i="13"/>
  <c r="I54" i="13" s="1"/>
  <c r="A95" i="13"/>
  <c r="I95" i="13" s="1"/>
  <c r="A111" i="13"/>
  <c r="I111" i="13" s="1"/>
  <c r="A159" i="13"/>
  <c r="I159" i="13" s="1"/>
  <c r="A243" i="13"/>
  <c r="I243" i="13" s="1"/>
  <c r="A213" i="13"/>
  <c r="I213" i="13" s="1"/>
  <c r="A91" i="13"/>
  <c r="I91" i="13" s="1"/>
  <c r="A101" i="13"/>
  <c r="I101" i="13" s="1"/>
  <c r="A115" i="13"/>
  <c r="I115" i="13" s="1"/>
  <c r="A131" i="13"/>
  <c r="I131" i="13" s="1"/>
  <c r="A135" i="13"/>
  <c r="I135" i="13" s="1"/>
  <c r="A139" i="13"/>
  <c r="I139" i="13" s="1"/>
  <c r="A143" i="13"/>
  <c r="I143" i="13" s="1"/>
  <c r="A147" i="13"/>
  <c r="I147" i="13" s="1"/>
  <c r="A151" i="13"/>
  <c r="I151" i="13" s="1"/>
  <c r="A169" i="13"/>
  <c r="I169" i="13" s="1"/>
  <c r="A48" i="13"/>
  <c r="I48" i="13" s="1"/>
  <c r="A59" i="13"/>
  <c r="I59" i="13" s="1"/>
  <c r="A11" i="13"/>
  <c r="I11" i="13" s="1"/>
  <c r="A127" i="13"/>
  <c r="I127" i="13" s="1"/>
  <c r="A161" i="13"/>
  <c r="I161" i="13" s="1"/>
  <c r="A41" i="13"/>
  <c r="I41" i="13" s="1"/>
  <c r="A55" i="13"/>
  <c r="I55" i="13" s="1"/>
  <c r="K3" i="4"/>
  <c r="A9" i="13"/>
  <c r="I9" i="13" s="1"/>
  <c r="A32" i="13"/>
  <c r="I32" i="13" s="1"/>
  <c r="A13" i="13"/>
  <c r="I13" i="13" s="1"/>
  <c r="A250" i="13"/>
  <c r="I250" i="13" s="1"/>
  <c r="F12" i="4"/>
  <c r="H12" i="14"/>
  <c r="F13" i="4"/>
  <c r="H13" i="14"/>
  <c r="L14" i="4"/>
  <c r="J14" i="14"/>
  <c r="L10" i="4"/>
  <c r="J10" i="14"/>
  <c r="L6" i="4"/>
  <c r="J6" i="14"/>
  <c r="W15" i="4"/>
  <c r="U15" i="14"/>
  <c r="W11" i="4"/>
  <c r="U11" i="14"/>
  <c r="W7" i="4"/>
  <c r="U7" i="14"/>
  <c r="W3" i="4"/>
  <c r="U3" i="14"/>
  <c r="F14" i="4"/>
  <c r="H14" i="14"/>
  <c r="A31" i="13"/>
  <c r="I31" i="13" s="1"/>
  <c r="F4" i="4"/>
  <c r="H4" i="14"/>
  <c r="AJ9" i="4"/>
  <c r="F5" i="4"/>
  <c r="H5" i="14"/>
  <c r="AJ10" i="4"/>
  <c r="Y13" i="4"/>
  <c r="W13" i="14"/>
  <c r="Y9" i="4"/>
  <c r="W9" i="14"/>
  <c r="Y5" i="4"/>
  <c r="W5" i="14"/>
  <c r="A28" i="13"/>
  <c r="I28" i="13" s="1"/>
  <c r="A64" i="13"/>
  <c r="I64" i="13" s="1"/>
  <c r="A63" i="13"/>
  <c r="I63" i="13" s="1"/>
  <c r="AJ7" i="4"/>
  <c r="F10" i="4"/>
  <c r="H10" i="14"/>
  <c r="AJ15" i="4"/>
  <c r="G8" i="4"/>
  <c r="G12" i="4"/>
  <c r="G16" i="4"/>
  <c r="AJ8" i="4"/>
  <c r="L3" i="4"/>
  <c r="J3" i="14"/>
  <c r="G7" i="4"/>
  <c r="G11" i="4"/>
  <c r="G15" i="4"/>
  <c r="Y16" i="4"/>
  <c r="W16" i="14"/>
  <c r="L13" i="4"/>
  <c r="J13" i="14"/>
  <c r="Y12" i="4"/>
  <c r="W12" i="14"/>
  <c r="L9" i="4"/>
  <c r="J9" i="14"/>
  <c r="Y8" i="4"/>
  <c r="W8" i="14"/>
  <c r="L5" i="4"/>
  <c r="J5" i="14"/>
  <c r="Y4" i="4"/>
  <c r="W4" i="14"/>
  <c r="W14" i="4"/>
  <c r="U14" i="14"/>
  <c r="W10" i="4"/>
  <c r="U10" i="14"/>
  <c r="W6" i="4"/>
  <c r="U6" i="14"/>
  <c r="F3" i="4"/>
  <c r="H3" i="14"/>
  <c r="F6" i="4"/>
  <c r="H6" i="14"/>
  <c r="G6" i="4"/>
  <c r="G14" i="4"/>
  <c r="F7" i="4"/>
  <c r="H7" i="14"/>
  <c r="AJ12" i="4"/>
  <c r="F11" i="4"/>
  <c r="H11" i="14"/>
  <c r="AJ16" i="4"/>
  <c r="A18" i="13"/>
  <c r="I18" i="13" s="1"/>
  <c r="A40" i="13"/>
  <c r="I40" i="13" s="1"/>
  <c r="A239" i="13"/>
  <c r="I239" i="13" s="1"/>
  <c r="A36" i="13"/>
  <c r="I36" i="13" s="1"/>
  <c r="A51" i="13"/>
  <c r="I51" i="13" s="1"/>
  <c r="AJ5" i="4"/>
  <c r="F8" i="4"/>
  <c r="H8" i="14"/>
  <c r="AJ13" i="4"/>
  <c r="F16" i="4"/>
  <c r="H16" i="14"/>
  <c r="AJ6" i="4"/>
  <c r="F9" i="4"/>
  <c r="H9" i="14"/>
  <c r="AJ14" i="4"/>
  <c r="L16" i="4"/>
  <c r="J16" i="14"/>
  <c r="Y15" i="4"/>
  <c r="W15" i="14"/>
  <c r="L12" i="4"/>
  <c r="J12" i="14"/>
  <c r="Y11" i="4"/>
  <c r="W11" i="14"/>
  <c r="L8" i="4"/>
  <c r="J8" i="14"/>
  <c r="Y7" i="4"/>
  <c r="W7" i="14"/>
  <c r="L4" i="4"/>
  <c r="J4" i="14"/>
  <c r="Y3" i="4"/>
  <c r="W3" i="14"/>
  <c r="W13" i="4"/>
  <c r="U13" i="14"/>
  <c r="W9" i="4"/>
  <c r="U9" i="14"/>
  <c r="W5" i="4"/>
  <c r="U5" i="14"/>
  <c r="AJ3" i="4"/>
  <c r="AJ11" i="4"/>
  <c r="G10" i="4"/>
  <c r="AJ4" i="4"/>
  <c r="F15" i="4"/>
  <c r="H15" i="14"/>
  <c r="G5" i="4"/>
  <c r="G9" i="4"/>
  <c r="G13" i="4"/>
  <c r="L15" i="4"/>
  <c r="J15" i="14"/>
  <c r="Y14" i="4"/>
  <c r="W14" i="14"/>
  <c r="L11" i="4"/>
  <c r="J11" i="14"/>
  <c r="Y10" i="4"/>
  <c r="W10" i="14"/>
  <c r="L7" i="4"/>
  <c r="J7" i="14"/>
  <c r="Y6" i="4"/>
  <c r="W6" i="14"/>
  <c r="X16" i="4"/>
  <c r="V16" i="14"/>
  <c r="X15" i="4"/>
  <c r="V15" i="14"/>
  <c r="X14" i="4"/>
  <c r="V14" i="14"/>
  <c r="X13" i="4"/>
  <c r="V13" i="14"/>
  <c r="X12" i="4"/>
  <c r="V12" i="14"/>
  <c r="X11" i="4"/>
  <c r="V11" i="14"/>
  <c r="X10" i="4"/>
  <c r="V10" i="14"/>
  <c r="X9" i="4"/>
  <c r="V9" i="14"/>
  <c r="X8" i="4"/>
  <c r="V8" i="14"/>
  <c r="X7" i="4"/>
  <c r="V7" i="14"/>
  <c r="X6" i="4"/>
  <c r="V6" i="14"/>
  <c r="X5" i="4"/>
  <c r="V5" i="14"/>
  <c r="X4" i="4"/>
  <c r="V4" i="14"/>
  <c r="X3" i="4"/>
  <c r="V3" i="14"/>
  <c r="W16" i="4"/>
  <c r="U16" i="14"/>
  <c r="W12" i="4"/>
  <c r="U12" i="14"/>
  <c r="W8" i="4"/>
  <c r="U8" i="14"/>
  <c r="W4" i="4"/>
  <c r="U4" i="14"/>
  <c r="A26" i="13"/>
  <c r="I26" i="13" s="1"/>
  <c r="A236" i="13"/>
  <c r="I236" i="13" s="1"/>
  <c r="A233" i="13"/>
  <c r="I233" i="13" s="1"/>
  <c r="A53" i="13"/>
  <c r="I53" i="13" s="1"/>
  <c r="A27" i="13"/>
  <c r="I27" i="13" s="1"/>
  <c r="A30" i="13"/>
  <c r="I30" i="13" s="1"/>
  <c r="A34" i="13"/>
  <c r="I34" i="13" s="1"/>
  <c r="A42" i="13"/>
  <c r="I42" i="13" s="1"/>
  <c r="A45" i="13"/>
  <c r="I45" i="13" s="1"/>
  <c r="A33" i="13"/>
  <c r="I33" i="13" s="1"/>
  <c r="A22" i="13"/>
  <c r="I22" i="13" s="1"/>
  <c r="A29" i="13"/>
  <c r="I29" i="13" s="1"/>
  <c r="A37" i="13"/>
  <c r="I37" i="13" s="1"/>
  <c r="B2" i="11"/>
  <c r="G93" i="13" l="1"/>
  <c r="D42" i="13"/>
  <c r="D161" i="13"/>
  <c r="B151" i="13"/>
  <c r="L159" i="13"/>
  <c r="G58" i="13"/>
  <c r="G4" i="13"/>
  <c r="G234" i="13"/>
  <c r="C199" i="13"/>
  <c r="G149" i="13"/>
  <c r="L175" i="13"/>
  <c r="G102" i="13"/>
  <c r="G89" i="13"/>
  <c r="G119" i="13"/>
  <c r="G222" i="13"/>
  <c r="G144" i="13"/>
  <c r="G218" i="13"/>
  <c r="L6" i="13"/>
  <c r="G187" i="13"/>
  <c r="G160" i="13"/>
  <c r="G5" i="13"/>
  <c r="G17" i="13"/>
  <c r="G74" i="13"/>
  <c r="G72" i="13"/>
  <c r="L61" i="13"/>
  <c r="G229" i="13"/>
  <c r="G30" i="13"/>
  <c r="B64" i="13"/>
  <c r="G143" i="13"/>
  <c r="G95" i="13"/>
  <c r="G25" i="13"/>
  <c r="G46" i="13"/>
  <c r="G178" i="13"/>
  <c r="G106" i="13"/>
  <c r="B65" i="13"/>
  <c r="B98" i="13"/>
  <c r="D123" i="13"/>
  <c r="G202" i="13"/>
  <c r="G226" i="13"/>
  <c r="L96" i="13"/>
  <c r="G208" i="13"/>
  <c r="G90" i="13"/>
  <c r="G86" i="13"/>
  <c r="G121" i="13"/>
  <c r="G134" i="13"/>
  <c r="G27" i="13"/>
  <c r="G36" i="13"/>
  <c r="G139" i="13"/>
  <c r="G21" i="13"/>
  <c r="G49" i="13"/>
  <c r="B220" i="13"/>
  <c r="G182" i="13"/>
  <c r="G204" i="13"/>
  <c r="G142" i="13"/>
  <c r="C148" i="13"/>
  <c r="G158" i="13"/>
  <c r="G73" i="13"/>
  <c r="G110" i="13"/>
  <c r="K85" i="13"/>
  <c r="L197" i="13"/>
  <c r="G209" i="13"/>
  <c r="G183" i="13"/>
  <c r="G244" i="13"/>
  <c r="G50" i="13"/>
  <c r="G97" i="13"/>
  <c r="G127" i="13"/>
  <c r="G78" i="13"/>
  <c r="G239" i="13"/>
  <c r="G28" i="13"/>
  <c r="G250" i="13"/>
  <c r="G135" i="13"/>
  <c r="G54" i="13"/>
  <c r="G235" i="13"/>
  <c r="G200" i="13"/>
  <c r="G137" i="13"/>
  <c r="G66" i="13"/>
  <c r="F3" i="13"/>
  <c r="G15" i="13"/>
  <c r="G247" i="13"/>
  <c r="G112" i="13"/>
  <c r="D195" i="13"/>
  <c r="G79" i="13"/>
  <c r="G180" i="13"/>
  <c r="F40" i="13"/>
  <c r="B13" i="13"/>
  <c r="B131" i="13"/>
  <c r="G43" i="13"/>
  <c r="G194" i="13"/>
  <c r="G168" i="13"/>
  <c r="G192" i="13"/>
  <c r="G125" i="13"/>
  <c r="C76" i="13"/>
  <c r="G99" i="13"/>
  <c r="G124" i="13"/>
  <c r="G212" i="13"/>
  <c r="G238" i="13"/>
  <c r="G105" i="13"/>
  <c r="C153" i="13"/>
  <c r="G118" i="13"/>
  <c r="C34" i="13"/>
  <c r="F162" i="13"/>
  <c r="G100" i="13"/>
  <c r="G60" i="13"/>
  <c r="G233" i="13"/>
  <c r="G31" i="13"/>
  <c r="F32" i="13"/>
  <c r="F115" i="13"/>
  <c r="L52" i="13"/>
  <c r="L177" i="13"/>
  <c r="G190" i="13"/>
  <c r="G196" i="13"/>
  <c r="G173" i="13"/>
  <c r="K146" i="13"/>
  <c r="F132" i="13"/>
  <c r="G201" i="13"/>
  <c r="K104" i="13"/>
  <c r="G126" i="13"/>
  <c r="G116" i="13"/>
  <c r="G107" i="13"/>
  <c r="G44" i="13"/>
  <c r="G170" i="13"/>
  <c r="F206" i="13"/>
  <c r="K248" i="13"/>
  <c r="F155" i="13"/>
  <c r="G237" i="13"/>
  <c r="F251" i="13"/>
  <c r="G193" i="13"/>
  <c r="G53" i="13"/>
  <c r="G236" i="13"/>
  <c r="F37" i="13"/>
  <c r="F26" i="13"/>
  <c r="K9" i="13"/>
  <c r="G39" i="13"/>
  <c r="G219" i="13"/>
  <c r="D167" i="13"/>
  <c r="C68" i="13"/>
  <c r="K141" i="13"/>
  <c r="G81" i="13"/>
  <c r="G109" i="13"/>
  <c r="G217" i="13"/>
  <c r="G12" i="13"/>
  <c r="G57" i="13"/>
  <c r="G133" i="13"/>
  <c r="G181" i="13"/>
  <c r="G223" i="13"/>
  <c r="K171" i="13"/>
  <c r="G122" i="13"/>
  <c r="G11" i="13"/>
  <c r="G91" i="13"/>
  <c r="C20" i="13"/>
  <c r="G227" i="13"/>
  <c r="G8" i="13"/>
  <c r="D216" i="13"/>
  <c r="G207" i="13"/>
  <c r="D184" i="13"/>
  <c r="C205" i="13"/>
  <c r="G129" i="13"/>
  <c r="G120" i="13"/>
  <c r="G71" i="13"/>
  <c r="G156" i="13"/>
  <c r="G7" i="13"/>
  <c r="D19" i="13"/>
  <c r="L67" i="13"/>
  <c r="G163" i="13"/>
  <c r="D35" i="13"/>
  <c r="D23" i="13"/>
  <c r="G69" i="13"/>
  <c r="G138" i="13"/>
  <c r="K51" i="13"/>
  <c r="G232" i="13"/>
  <c r="F84" i="13"/>
  <c r="D77" i="13"/>
  <c r="D59" i="13"/>
  <c r="G213" i="13"/>
  <c r="G249" i="13"/>
  <c r="G211" i="13"/>
  <c r="G210" i="13"/>
  <c r="G188" i="13"/>
  <c r="G140" i="13"/>
  <c r="F152" i="13"/>
  <c r="G113" i="13"/>
  <c r="G75" i="13"/>
  <c r="C80" i="13"/>
  <c r="L221" i="13"/>
  <c r="B157" i="13"/>
  <c r="G203" i="13"/>
  <c r="B150" i="13"/>
  <c r="G224" i="13"/>
  <c r="G87" i="13"/>
  <c r="L62" i="13"/>
  <c r="G147" i="13"/>
  <c r="B164" i="13"/>
  <c r="G176" i="13"/>
  <c r="G94" i="13"/>
  <c r="B22" i="13"/>
  <c r="D33" i="13"/>
  <c r="G48" i="13"/>
  <c r="F14" i="13"/>
  <c r="G240" i="13"/>
  <c r="L16" i="13"/>
  <c r="G198" i="13"/>
  <c r="B179" i="13"/>
  <c r="G215" i="13"/>
  <c r="G166" i="13"/>
  <c r="D128" i="13"/>
  <c r="L145" i="13"/>
  <c r="G70" i="13"/>
  <c r="G92" i="13"/>
  <c r="G154" i="13"/>
  <c r="D214" i="13"/>
  <c r="G136" i="13"/>
  <c r="G174" i="13"/>
  <c r="K185" i="13"/>
  <c r="G245" i="13"/>
  <c r="G38" i="13"/>
  <c r="G111" i="13"/>
  <c r="G41" i="13"/>
  <c r="G169" i="13"/>
  <c r="G243" i="13"/>
  <c r="G47" i="13"/>
  <c r="G246" i="13"/>
  <c r="G230" i="13"/>
  <c r="D24" i="13"/>
  <c r="C242" i="13"/>
  <c r="K165" i="13"/>
  <c r="C108" i="13"/>
  <c r="G191" i="13"/>
  <c r="D186" i="13"/>
  <c r="G82" i="13"/>
  <c r="G189" i="13"/>
  <c r="G225" i="13"/>
  <c r="G231" i="13"/>
  <c r="G172" i="13"/>
  <c r="G83" i="13"/>
  <c r="F117" i="13"/>
  <c r="G130" i="13"/>
  <c r="B251" i="13"/>
  <c r="K251" i="13"/>
  <c r="L251" i="13"/>
  <c r="G251" i="13"/>
  <c r="C251" i="13"/>
  <c r="D251" i="13"/>
  <c r="D208" i="13"/>
  <c r="D9" i="22"/>
  <c r="D9" i="19"/>
  <c r="D16" i="23"/>
  <c r="D16" i="22"/>
  <c r="D16" i="19"/>
  <c r="D14" i="23"/>
  <c r="D14" i="22"/>
  <c r="D14" i="19"/>
  <c r="D6" i="23"/>
  <c r="D6" i="19"/>
  <c r="D6" i="22"/>
  <c r="D10" i="23"/>
  <c r="D10" i="19"/>
  <c r="D10" i="22"/>
  <c r="D15" i="22"/>
  <c r="D15" i="19"/>
  <c r="D11" i="23"/>
  <c r="D11" i="22"/>
  <c r="D11" i="19"/>
  <c r="D3" i="23"/>
  <c r="D3" i="22"/>
  <c r="D3" i="19"/>
  <c r="D7" i="22"/>
  <c r="D7" i="19"/>
  <c r="D4" i="23"/>
  <c r="D4" i="19"/>
  <c r="D4" i="22"/>
  <c r="D8" i="23"/>
  <c r="D8" i="19"/>
  <c r="D8" i="22"/>
  <c r="D12" i="22"/>
  <c r="D12" i="19"/>
  <c r="D6" i="8"/>
  <c r="D9" i="8"/>
  <c r="D7" i="8"/>
  <c r="D12" i="8"/>
  <c r="D12" i="23"/>
  <c r="D3" i="8"/>
  <c r="D15" i="8"/>
  <c r="D15" i="23"/>
  <c r="D11" i="8"/>
  <c r="D14" i="8"/>
  <c r="D16" i="8"/>
  <c r="D9" i="23"/>
  <c r="D4" i="8"/>
  <c r="D10" i="8"/>
  <c r="D8" i="8"/>
  <c r="L187" i="13"/>
  <c r="D90" i="13"/>
  <c r="B90" i="13"/>
  <c r="C187" i="13"/>
  <c r="D2" i="19"/>
  <c r="D2" i="23"/>
  <c r="V2" i="19"/>
  <c r="V2" i="23"/>
  <c r="V2" i="22"/>
  <c r="C244" i="13"/>
  <c r="L57" i="13"/>
  <c r="K224" i="13"/>
  <c r="C97" i="13"/>
  <c r="L78" i="13"/>
  <c r="D17" i="13"/>
  <c r="D94" i="13"/>
  <c r="B105" i="13"/>
  <c r="D78" i="13"/>
  <c r="L203" i="13"/>
  <c r="B238" i="13"/>
  <c r="B15" i="13"/>
  <c r="D237" i="13"/>
  <c r="B237" i="13"/>
  <c r="B117" i="13"/>
  <c r="C209" i="13"/>
  <c r="C189" i="13"/>
  <c r="L208" i="13"/>
  <c r="B87" i="13"/>
  <c r="K97" i="13"/>
  <c r="L228" i="13"/>
  <c r="F118" i="13"/>
  <c r="G228" i="13"/>
  <c r="D5" i="13"/>
  <c r="F231" i="13"/>
  <c r="L183" i="13"/>
  <c r="F174" i="13"/>
  <c r="F114" i="13"/>
  <c r="B130" i="13"/>
  <c r="F35" i="13"/>
  <c r="F133" i="13"/>
  <c r="B197" i="13"/>
  <c r="G197" i="13"/>
  <c r="K221" i="13"/>
  <c r="K12" i="13"/>
  <c r="C38" i="13"/>
  <c r="B224" i="13"/>
  <c r="F212" i="13"/>
  <c r="C171" i="13"/>
  <c r="K155" i="13"/>
  <c r="L155" i="13"/>
  <c r="L153" i="13"/>
  <c r="B172" i="13"/>
  <c r="D153" i="13"/>
  <c r="B12" i="13"/>
  <c r="L218" i="13"/>
  <c r="F44" i="13"/>
  <c r="B195" i="13"/>
  <c r="K170" i="13"/>
  <c r="D144" i="13"/>
  <c r="L224" i="13"/>
  <c r="F23" i="13"/>
  <c r="F79" i="13"/>
  <c r="C79" i="13"/>
  <c r="C172" i="13"/>
  <c r="K71" i="13"/>
  <c r="L119" i="13"/>
  <c r="B92" i="13"/>
  <c r="D12" i="13"/>
  <c r="B38" i="13"/>
  <c r="L12" i="13"/>
  <c r="D218" i="13"/>
  <c r="K50" i="13"/>
  <c r="C123" i="13"/>
  <c r="D107" i="13"/>
  <c r="F224" i="13"/>
  <c r="K38" i="13"/>
  <c r="L185" i="13"/>
  <c r="K79" i="13"/>
  <c r="B185" i="13"/>
  <c r="L171" i="13"/>
  <c r="L195" i="13"/>
  <c r="K187" i="13"/>
  <c r="B103" i="13"/>
  <c r="K153" i="13"/>
  <c r="D44" i="13"/>
  <c r="F57" i="13"/>
  <c r="L150" i="13"/>
  <c r="D88" i="13"/>
  <c r="K90" i="13"/>
  <c r="F90" i="13"/>
  <c r="L156" i="13"/>
  <c r="F214" i="13"/>
  <c r="G185" i="13"/>
  <c r="G96" i="13"/>
  <c r="G88" i="13"/>
  <c r="G62" i="13"/>
  <c r="B107" i="13"/>
  <c r="G6" i="13"/>
  <c r="B244" i="13"/>
  <c r="C23" i="13"/>
  <c r="F62" i="13"/>
  <c r="D38" i="13"/>
  <c r="K57" i="13"/>
  <c r="D69" i="13"/>
  <c r="L23" i="13"/>
  <c r="F187" i="13"/>
  <c r="K62" i="13"/>
  <c r="D62" i="13"/>
  <c r="D160" i="13"/>
  <c r="L88" i="13"/>
  <c r="G214" i="13"/>
  <c r="D50" i="13"/>
  <c r="D244" i="13"/>
  <c r="B79" i="13"/>
  <c r="C57" i="13"/>
  <c r="F185" i="13"/>
  <c r="B153" i="13"/>
  <c r="C218" i="13"/>
  <c r="K195" i="13"/>
  <c r="C88" i="13"/>
  <c r="C90" i="13"/>
  <c r="K74" i="13"/>
  <c r="C6" i="13"/>
  <c r="B74" i="13"/>
  <c r="G150" i="13"/>
  <c r="F96" i="13"/>
  <c r="B88" i="13"/>
  <c r="G103" i="13"/>
  <c r="K212" i="13"/>
  <c r="L79" i="13"/>
  <c r="C212" i="13"/>
  <c r="C119" i="13"/>
  <c r="D79" i="13"/>
  <c r="C12" i="13"/>
  <c r="L38" i="13"/>
  <c r="C185" i="13"/>
  <c r="L69" i="13"/>
  <c r="B218" i="13"/>
  <c r="F248" i="13"/>
  <c r="D212" i="13"/>
  <c r="K226" i="13"/>
  <c r="L74" i="13"/>
  <c r="C154" i="13"/>
  <c r="C96" i="13"/>
  <c r="K222" i="13"/>
  <c r="L90" i="13"/>
  <c r="D150" i="13"/>
  <c r="F88" i="13"/>
  <c r="F172" i="13"/>
  <c r="F98" i="13"/>
  <c r="G195" i="13"/>
  <c r="F150" i="13"/>
  <c r="G23" i="13"/>
  <c r="G153" i="13"/>
  <c r="G171" i="13"/>
  <c r="L238" i="13"/>
  <c r="D189" i="13"/>
  <c r="D133" i="13"/>
  <c r="D130" i="13"/>
  <c r="D56" i="13"/>
  <c r="L138" i="13"/>
  <c r="G221" i="13"/>
  <c r="F245" i="13"/>
  <c r="G117" i="13"/>
  <c r="F15" i="13"/>
  <c r="C231" i="13"/>
  <c r="L15" i="13"/>
  <c r="L157" i="13"/>
  <c r="L87" i="13"/>
  <c r="K208" i="13"/>
  <c r="B183" i="13"/>
  <c r="B203" i="13"/>
  <c r="F237" i="13"/>
  <c r="K237" i="13"/>
  <c r="D122" i="13"/>
  <c r="F176" i="13"/>
  <c r="L114" i="13"/>
  <c r="C193" i="13"/>
  <c r="F56" i="13"/>
  <c r="D217" i="13"/>
  <c r="G3" i="13"/>
  <c r="G157" i="13"/>
  <c r="K231" i="13"/>
  <c r="C75" i="13"/>
  <c r="D226" i="13"/>
  <c r="K218" i="13"/>
  <c r="C50" i="13"/>
  <c r="K44" i="13"/>
  <c r="F160" i="13"/>
  <c r="D206" i="13"/>
  <c r="F69" i="13"/>
  <c r="B57" i="13"/>
  <c r="B62" i="13"/>
  <c r="F218" i="13"/>
  <c r="D103" i="13"/>
  <c r="L103" i="13"/>
  <c r="B44" i="13"/>
  <c r="C62" i="13"/>
  <c r="B212" i="13"/>
  <c r="B171" i="13"/>
  <c r="B69" i="13"/>
  <c r="K23" i="13"/>
  <c r="F171" i="13"/>
  <c r="L244" i="13"/>
  <c r="F38" i="13"/>
  <c r="K206" i="13"/>
  <c r="D155" i="13"/>
  <c r="C195" i="13"/>
  <c r="F103" i="13"/>
  <c r="B71" i="13"/>
  <c r="C224" i="13"/>
  <c r="F163" i="13"/>
  <c r="B155" i="13"/>
  <c r="B50" i="13"/>
  <c r="B96" i="13"/>
  <c r="B72" i="13"/>
  <c r="K172" i="13"/>
  <c r="B160" i="13"/>
  <c r="K150" i="13"/>
  <c r="K96" i="13"/>
  <c r="K88" i="13"/>
  <c r="K6" i="13"/>
  <c r="C150" i="13"/>
  <c r="K144" i="13"/>
  <c r="L170" i="13"/>
  <c r="L72" i="13"/>
  <c r="D96" i="13"/>
  <c r="F6" i="13"/>
  <c r="F195" i="13"/>
  <c r="D185" i="13"/>
  <c r="B144" i="13"/>
  <c r="G155" i="13"/>
  <c r="G123" i="13"/>
  <c r="C103" i="13"/>
  <c r="D171" i="13"/>
  <c r="D6" i="13"/>
  <c r="K72" i="13"/>
  <c r="F72" i="13"/>
  <c r="D72" i="13"/>
  <c r="C72" i="13"/>
  <c r="D224" i="13"/>
  <c r="C69" i="13"/>
  <c r="L160" i="13"/>
  <c r="L206" i="13"/>
  <c r="F226" i="13"/>
  <c r="K103" i="13"/>
  <c r="K69" i="13"/>
  <c r="D57" i="13"/>
  <c r="B23" i="13"/>
  <c r="F12" i="13"/>
  <c r="F244" i="13"/>
  <c r="L50" i="13"/>
  <c r="B6" i="13"/>
  <c r="F153" i="13"/>
  <c r="K244" i="13"/>
  <c r="D187" i="13"/>
  <c r="B187" i="13"/>
  <c r="L212" i="13"/>
  <c r="L163" i="13"/>
  <c r="C155" i="13"/>
  <c r="F50" i="13"/>
  <c r="K160" i="13"/>
  <c r="D92" i="13"/>
  <c r="B202" i="13"/>
  <c r="L172" i="13"/>
  <c r="C160" i="13"/>
  <c r="D74" i="13"/>
  <c r="B136" i="13"/>
  <c r="F74" i="13"/>
  <c r="F144" i="13"/>
  <c r="C74" i="13"/>
  <c r="D172" i="13"/>
  <c r="L154" i="13"/>
  <c r="C107" i="13"/>
  <c r="D248" i="13"/>
  <c r="B67" i="13"/>
  <c r="F67" i="13"/>
  <c r="C247" i="13"/>
  <c r="D119" i="13"/>
  <c r="L248" i="13"/>
  <c r="C163" i="13"/>
  <c r="C136" i="13"/>
  <c r="C170" i="13"/>
  <c r="L144" i="13"/>
  <c r="L222" i="13"/>
  <c r="F170" i="13"/>
  <c r="F154" i="13"/>
  <c r="K214" i="13"/>
  <c r="G67" i="13"/>
  <c r="B214" i="13"/>
  <c r="B247" i="13"/>
  <c r="K112" i="13"/>
  <c r="B206" i="13"/>
  <c r="L71" i="13"/>
  <c r="F247" i="13"/>
  <c r="C226" i="13"/>
  <c r="K123" i="13"/>
  <c r="K119" i="13"/>
  <c r="F123" i="13"/>
  <c r="D67" i="13"/>
  <c r="B248" i="13"/>
  <c r="B119" i="13"/>
  <c r="F107" i="13"/>
  <c r="C248" i="13"/>
  <c r="C71" i="13"/>
  <c r="B163" i="13"/>
  <c r="K154" i="13"/>
  <c r="L98" i="13"/>
  <c r="K202" i="13"/>
  <c r="K136" i="13"/>
  <c r="B222" i="13"/>
  <c r="B154" i="13"/>
  <c r="K98" i="13"/>
  <c r="C112" i="13"/>
  <c r="F156" i="13"/>
  <c r="D112" i="13"/>
  <c r="F136" i="13"/>
  <c r="D154" i="13"/>
  <c r="C92" i="13"/>
  <c r="D222" i="13"/>
  <c r="L214" i="13"/>
  <c r="C214" i="13"/>
  <c r="G98" i="13"/>
  <c r="L202" i="13"/>
  <c r="K67" i="13"/>
  <c r="G206" i="13"/>
  <c r="G248" i="13"/>
  <c r="L247" i="13"/>
  <c r="L112" i="13"/>
  <c r="F119" i="13"/>
  <c r="L107" i="13"/>
  <c r="L44" i="13"/>
  <c r="K163" i="13"/>
  <c r="B226" i="13"/>
  <c r="C202" i="13"/>
  <c r="D156" i="13"/>
  <c r="F112" i="13"/>
  <c r="D202" i="13"/>
  <c r="C156" i="13"/>
  <c r="K92" i="13"/>
  <c r="F202" i="13"/>
  <c r="K156" i="13"/>
  <c r="B112" i="13"/>
  <c r="B170" i="13"/>
  <c r="B123" i="13"/>
  <c r="K107" i="13"/>
  <c r="L123" i="13"/>
  <c r="C67" i="13"/>
  <c r="K247" i="13"/>
  <c r="L226" i="13"/>
  <c r="C206" i="13"/>
  <c r="D247" i="13"/>
  <c r="D71" i="13"/>
  <c r="F71" i="13"/>
  <c r="D163" i="13"/>
  <c r="C44" i="13"/>
  <c r="C222" i="13"/>
  <c r="L92" i="13"/>
  <c r="B156" i="13"/>
  <c r="L136" i="13"/>
  <c r="C98" i="13"/>
  <c r="F222" i="13"/>
  <c r="F92" i="13"/>
  <c r="D98" i="13"/>
  <c r="D170" i="13"/>
  <c r="C144" i="13"/>
  <c r="D136" i="13"/>
  <c r="L121" i="13"/>
  <c r="D209" i="13"/>
  <c r="B231" i="13"/>
  <c r="D121" i="13"/>
  <c r="F93" i="13"/>
  <c r="K19" i="13"/>
  <c r="C7" i="13"/>
  <c r="L181" i="13"/>
  <c r="K105" i="13"/>
  <c r="L19" i="13"/>
  <c r="F85" i="13"/>
  <c r="L209" i="13"/>
  <c r="L7" i="13"/>
  <c r="C183" i="13"/>
  <c r="L245" i="13"/>
  <c r="L229" i="13"/>
  <c r="L193" i="13"/>
  <c r="D80" i="13"/>
  <c r="B118" i="13"/>
  <c r="K130" i="13"/>
  <c r="D197" i="13"/>
  <c r="L225" i="13"/>
  <c r="D174" i="13"/>
  <c r="F134" i="13"/>
  <c r="B78" i="13"/>
  <c r="C5" i="13"/>
  <c r="L2" i="13"/>
  <c r="D100" i="13"/>
  <c r="K7" i="13"/>
  <c r="G56" i="13"/>
  <c r="G85" i="13"/>
  <c r="G35" i="13"/>
  <c r="B3" i="13"/>
  <c r="F87" i="13"/>
  <c r="B122" i="13"/>
  <c r="D7" i="13"/>
  <c r="F105" i="13"/>
  <c r="B85" i="13"/>
  <c r="K87" i="13"/>
  <c r="B35" i="13"/>
  <c r="C181" i="13"/>
  <c r="B209" i="13"/>
  <c r="B7" i="13"/>
  <c r="B93" i="13"/>
  <c r="K229" i="13"/>
  <c r="B228" i="13"/>
  <c r="C134" i="13"/>
  <c r="B114" i="13"/>
  <c r="F78" i="13"/>
  <c r="K94" i="13"/>
  <c r="L176" i="13"/>
  <c r="F122" i="13"/>
  <c r="D193" i="13"/>
  <c r="K225" i="13"/>
  <c r="D114" i="13"/>
  <c r="B94" i="13"/>
  <c r="L80" i="13"/>
  <c r="B193" i="13"/>
  <c r="L118" i="13"/>
  <c r="B100" i="13"/>
  <c r="G2" i="13"/>
  <c r="G80" i="13"/>
  <c r="B217" i="13"/>
  <c r="G19" i="13"/>
  <c r="G77" i="13"/>
  <c r="B5" i="13"/>
  <c r="K121" i="13"/>
  <c r="L133" i="13"/>
  <c r="K117" i="13"/>
  <c r="F203" i="13"/>
  <c r="F223" i="13"/>
  <c r="C203" i="13"/>
  <c r="B60" i="13"/>
  <c r="D87" i="13"/>
  <c r="C19" i="13"/>
  <c r="B133" i="13"/>
  <c r="F17" i="13"/>
  <c r="B189" i="13"/>
  <c r="D181" i="13"/>
  <c r="D105" i="13"/>
  <c r="D97" i="13"/>
  <c r="C157" i="13"/>
  <c r="C77" i="13"/>
  <c r="L60" i="13"/>
  <c r="B97" i="13"/>
  <c r="C238" i="13"/>
  <c r="K17" i="13"/>
  <c r="K245" i="13"/>
  <c r="B229" i="13"/>
  <c r="F157" i="13"/>
  <c r="F221" i="13"/>
  <c r="D134" i="13"/>
  <c r="C176" i="13"/>
  <c r="C174" i="13"/>
  <c r="B176" i="13"/>
  <c r="C118" i="13"/>
  <c r="C94" i="13"/>
  <c r="C197" i="13"/>
  <c r="F228" i="13"/>
  <c r="C237" i="13"/>
  <c r="K134" i="13"/>
  <c r="D138" i="13"/>
  <c r="F189" i="13"/>
  <c r="G114" i="13"/>
  <c r="C229" i="13"/>
  <c r="K176" i="13"/>
  <c r="D83" i="13"/>
  <c r="C225" i="13"/>
  <c r="D3" i="13"/>
  <c r="B134" i="13"/>
  <c r="C3" i="13"/>
  <c r="K3" i="13"/>
  <c r="K5" i="13"/>
  <c r="F209" i="13"/>
  <c r="F60" i="13"/>
  <c r="L231" i="13"/>
  <c r="K209" i="13"/>
  <c r="L85" i="13"/>
  <c r="D203" i="13"/>
  <c r="F97" i="13"/>
  <c r="L35" i="13"/>
  <c r="D93" i="13"/>
  <c r="F238" i="13"/>
  <c r="D231" i="13"/>
  <c r="B223" i="13"/>
  <c r="L97" i="13"/>
  <c r="L117" i="13"/>
  <c r="C15" i="13"/>
  <c r="K133" i="13"/>
  <c r="K15" i="13"/>
  <c r="K181" i="13"/>
  <c r="B181" i="13"/>
  <c r="B208" i="13"/>
  <c r="C208" i="13"/>
  <c r="K183" i="13"/>
  <c r="K157" i="13"/>
  <c r="F121" i="13"/>
  <c r="L77" i="13"/>
  <c r="K60" i="13"/>
  <c r="C221" i="13"/>
  <c r="F229" i="13"/>
  <c r="F225" i="13"/>
  <c r="B138" i="13"/>
  <c r="C56" i="13"/>
  <c r="L217" i="13"/>
  <c r="D176" i="13"/>
  <c r="L130" i="13"/>
  <c r="C100" i="13"/>
  <c r="B80" i="13"/>
  <c r="F197" i="13"/>
  <c r="F193" i="13"/>
  <c r="D225" i="13"/>
  <c r="F80" i="13"/>
  <c r="L56" i="13"/>
  <c r="K114" i="13"/>
  <c r="F94" i="13"/>
  <c r="F100" i="13"/>
  <c r="C217" i="13"/>
  <c r="F2" i="13"/>
  <c r="C114" i="13"/>
  <c r="K80" i="13"/>
  <c r="D221" i="13"/>
  <c r="B56" i="13"/>
  <c r="C85" i="13"/>
  <c r="K228" i="13"/>
  <c r="L5" i="13"/>
  <c r="F5" i="13"/>
  <c r="C93" i="13"/>
  <c r="F77" i="13"/>
  <c r="C60" i="13"/>
  <c r="B77" i="13"/>
  <c r="K189" i="13"/>
  <c r="L105" i="13"/>
  <c r="D183" i="13"/>
  <c r="K223" i="13"/>
  <c r="D238" i="13"/>
  <c r="B245" i="13"/>
  <c r="C228" i="13"/>
  <c r="B221" i="13"/>
  <c r="F130" i="13"/>
  <c r="C122" i="13"/>
  <c r="L100" i="13"/>
  <c r="K138" i="13"/>
  <c r="K197" i="13"/>
  <c r="D157" i="13"/>
  <c r="D117" i="13"/>
  <c r="C35" i="13"/>
  <c r="K238" i="13"/>
  <c r="D223" i="13"/>
  <c r="C223" i="13"/>
  <c r="C105" i="13"/>
  <c r="L223" i="13"/>
  <c r="K77" i="13"/>
  <c r="K35" i="13"/>
  <c r="K122" i="13"/>
  <c r="C121" i="13"/>
  <c r="K203" i="13"/>
  <c r="F19" i="13"/>
  <c r="B17" i="13"/>
  <c r="B83" i="13"/>
  <c r="C117" i="13"/>
  <c r="F83" i="13"/>
  <c r="C17" i="13"/>
  <c r="D85" i="13"/>
  <c r="C83" i="13"/>
  <c r="K83" i="13"/>
  <c r="B19" i="13"/>
  <c r="C133" i="13"/>
  <c r="L189" i="13"/>
  <c r="F181" i="13"/>
  <c r="D15" i="13"/>
  <c r="F208" i="13"/>
  <c r="F183" i="13"/>
  <c r="B121" i="13"/>
  <c r="C87" i="13"/>
  <c r="D60" i="13"/>
  <c r="F7" i="13"/>
  <c r="L93" i="13"/>
  <c r="K93" i="13"/>
  <c r="L17" i="13"/>
  <c r="L237" i="13"/>
  <c r="C245" i="13"/>
  <c r="L83" i="13"/>
  <c r="D229" i="13"/>
  <c r="F217" i="13"/>
  <c r="K56" i="13"/>
  <c r="K174" i="13"/>
  <c r="F138" i="13"/>
  <c r="K217" i="13"/>
  <c r="B174" i="13"/>
  <c r="C130" i="13"/>
  <c r="K100" i="13"/>
  <c r="C78" i="13"/>
  <c r="K193" i="13"/>
  <c r="D228" i="13"/>
  <c r="B225" i="13"/>
  <c r="D245" i="13"/>
  <c r="L94" i="13"/>
  <c r="L134" i="13"/>
  <c r="L122" i="13"/>
  <c r="C138" i="13"/>
  <c r="D118" i="13"/>
  <c r="K78" i="13"/>
  <c r="L174" i="13"/>
  <c r="D2" i="13"/>
  <c r="K118" i="13"/>
  <c r="L3" i="13"/>
  <c r="C120" i="13"/>
  <c r="K120" i="13"/>
  <c r="L120" i="13"/>
  <c r="C82" i="13"/>
  <c r="L82" i="13"/>
  <c r="F120" i="13"/>
  <c r="D120" i="13"/>
  <c r="B120" i="13"/>
  <c r="D70" i="13"/>
  <c r="F70" i="13"/>
  <c r="B82" i="13"/>
  <c r="L70" i="13"/>
  <c r="K82" i="13"/>
  <c r="C70" i="13"/>
  <c r="D82" i="13"/>
  <c r="F82" i="13"/>
  <c r="B70" i="13"/>
  <c r="B116" i="13"/>
  <c r="K70" i="13"/>
  <c r="L75" i="13"/>
  <c r="F75" i="13"/>
  <c r="B75" i="13"/>
  <c r="K75" i="13"/>
  <c r="D75" i="13"/>
  <c r="L116" i="13"/>
  <c r="C116" i="13"/>
  <c r="D116" i="13"/>
  <c r="F116" i="13"/>
  <c r="K116" i="13"/>
  <c r="D109" i="13"/>
  <c r="D124" i="13"/>
  <c r="F124" i="13"/>
  <c r="L124" i="13"/>
  <c r="F110" i="13"/>
  <c r="C110" i="13"/>
  <c r="K124" i="13"/>
  <c r="D81" i="13"/>
  <c r="B124" i="13"/>
  <c r="D110" i="13"/>
  <c r="L110" i="13"/>
  <c r="B110" i="13"/>
  <c r="B109" i="13"/>
  <c r="C124" i="13"/>
  <c r="K110" i="13"/>
  <c r="C84" i="13"/>
  <c r="B84" i="13"/>
  <c r="D84" i="13"/>
  <c r="L84" i="13"/>
  <c r="K84" i="13"/>
  <c r="G84" i="13"/>
  <c r="F65" i="13"/>
  <c r="D65" i="13"/>
  <c r="C65" i="13"/>
  <c r="K65" i="13"/>
  <c r="L65" i="13"/>
  <c r="G65" i="13"/>
  <c r="D76" i="13"/>
  <c r="L76" i="13"/>
  <c r="B73" i="13"/>
  <c r="C81" i="13"/>
  <c r="K109" i="13"/>
  <c r="L109" i="13"/>
  <c r="L73" i="13"/>
  <c r="D73" i="13"/>
  <c r="C73" i="13"/>
  <c r="F81" i="13"/>
  <c r="F73" i="13"/>
  <c r="C109" i="13"/>
  <c r="F109" i="13"/>
  <c r="L81" i="13"/>
  <c r="K81" i="13"/>
  <c r="K73" i="13"/>
  <c r="B81" i="13"/>
  <c r="L191" i="13"/>
  <c r="B99" i="13"/>
  <c r="F99" i="13"/>
  <c r="F113" i="13"/>
  <c r="D99" i="13"/>
  <c r="L113" i="13"/>
  <c r="B113" i="13"/>
  <c r="C113" i="13"/>
  <c r="D113" i="13"/>
  <c r="F76" i="13"/>
  <c r="B66" i="13"/>
  <c r="C66" i="13"/>
  <c r="K99" i="13"/>
  <c r="K113" i="13"/>
  <c r="L99" i="13"/>
  <c r="C99" i="13"/>
  <c r="K76" i="13"/>
  <c r="B76" i="13"/>
  <c r="G76" i="13"/>
  <c r="L89" i="13"/>
  <c r="K89" i="13"/>
  <c r="K66" i="13"/>
  <c r="B126" i="13"/>
  <c r="D126" i="13"/>
  <c r="K126" i="13"/>
  <c r="F126" i="13"/>
  <c r="C126" i="13"/>
  <c r="K106" i="13"/>
  <c r="L126" i="13"/>
  <c r="B89" i="13"/>
  <c r="D89" i="13"/>
  <c r="C89" i="13"/>
  <c r="F89" i="13"/>
  <c r="C129" i="13"/>
  <c r="L66" i="13"/>
  <c r="D66" i="13"/>
  <c r="F66" i="13"/>
  <c r="D106" i="13"/>
  <c r="D145" i="13"/>
  <c r="L106" i="13"/>
  <c r="C106" i="13"/>
  <c r="B106" i="13"/>
  <c r="F106" i="13"/>
  <c r="C125" i="13"/>
  <c r="G186" i="13"/>
  <c r="D125" i="13"/>
  <c r="B125" i="13"/>
  <c r="L125" i="13"/>
  <c r="K125" i="13"/>
  <c r="F125" i="13"/>
  <c r="C186" i="13"/>
  <c r="F186" i="13"/>
  <c r="B186" i="13"/>
  <c r="K186" i="13"/>
  <c r="L186" i="13"/>
  <c r="L137" i="13"/>
  <c r="B137" i="13"/>
  <c r="B129" i="13"/>
  <c r="L129" i="13"/>
  <c r="C137" i="13"/>
  <c r="F129" i="13"/>
  <c r="D129" i="13"/>
  <c r="K137" i="13"/>
  <c r="D137" i="13"/>
  <c r="K129" i="13"/>
  <c r="F137" i="13"/>
  <c r="D191" i="13"/>
  <c r="K191" i="13"/>
  <c r="B191" i="13"/>
  <c r="B141" i="13"/>
  <c r="C141" i="13"/>
  <c r="F141" i="13"/>
  <c r="L141" i="13"/>
  <c r="F191" i="13"/>
  <c r="G141" i="13"/>
  <c r="D141" i="13"/>
  <c r="C191" i="13"/>
  <c r="D104" i="13"/>
  <c r="B145" i="13"/>
  <c r="K201" i="13"/>
  <c r="C145" i="13"/>
  <c r="B128" i="13"/>
  <c r="B104" i="13"/>
  <c r="G104" i="13"/>
  <c r="G145" i="13"/>
  <c r="K145" i="13"/>
  <c r="C104" i="13"/>
  <c r="F145" i="13"/>
  <c r="L104" i="13"/>
  <c r="F104" i="13"/>
  <c r="L152" i="13"/>
  <c r="G152" i="13"/>
  <c r="K152" i="13"/>
  <c r="C152" i="13"/>
  <c r="B152" i="13"/>
  <c r="D152" i="13"/>
  <c r="F201" i="13"/>
  <c r="L201" i="13"/>
  <c r="C201" i="13"/>
  <c r="D201" i="13"/>
  <c r="B201" i="13"/>
  <c r="K178" i="13"/>
  <c r="L132" i="13"/>
  <c r="B175" i="13"/>
  <c r="L146" i="13"/>
  <c r="D146" i="13"/>
  <c r="C128" i="13"/>
  <c r="F146" i="13"/>
  <c r="K128" i="13"/>
  <c r="B132" i="13"/>
  <c r="C166" i="13"/>
  <c r="D158" i="13"/>
  <c r="K166" i="13"/>
  <c r="F166" i="13"/>
  <c r="K167" i="13"/>
  <c r="L158" i="13"/>
  <c r="F158" i="13"/>
  <c r="C158" i="13"/>
  <c r="F108" i="13"/>
  <c r="K158" i="13"/>
  <c r="C167" i="13"/>
  <c r="B158" i="13"/>
  <c r="F148" i="13"/>
  <c r="F178" i="13"/>
  <c r="D132" i="13"/>
  <c r="B178" i="13"/>
  <c r="L166" i="13"/>
  <c r="C132" i="13"/>
  <c r="B146" i="13"/>
  <c r="D178" i="13"/>
  <c r="G146" i="13"/>
  <c r="G132" i="13"/>
  <c r="G128" i="13"/>
  <c r="C178" i="13"/>
  <c r="F128" i="13"/>
  <c r="L178" i="13"/>
  <c r="D166" i="13"/>
  <c r="C146" i="13"/>
  <c r="K132" i="13"/>
  <c r="B166" i="13"/>
  <c r="L128" i="13"/>
  <c r="C164" i="13"/>
  <c r="D86" i="13"/>
  <c r="B140" i="13"/>
  <c r="D162" i="13"/>
  <c r="B86" i="13"/>
  <c r="G164" i="13"/>
  <c r="B205" i="13"/>
  <c r="L140" i="13"/>
  <c r="C192" i="13"/>
  <c r="K192" i="13"/>
  <c r="K241" i="13"/>
  <c r="C188" i="13"/>
  <c r="C140" i="13"/>
  <c r="F140" i="13"/>
  <c r="D164" i="13"/>
  <c r="F86" i="13"/>
  <c r="K164" i="13"/>
  <c r="L192" i="13"/>
  <c r="C180" i="13"/>
  <c r="D49" i="13"/>
  <c r="D192" i="13"/>
  <c r="F192" i="13"/>
  <c r="B168" i="13"/>
  <c r="K140" i="13"/>
  <c r="B21" i="13"/>
  <c r="D140" i="13"/>
  <c r="K86" i="13"/>
  <c r="L86" i="13"/>
  <c r="B135" i="13"/>
  <c r="K210" i="13"/>
  <c r="L111" i="13"/>
  <c r="B192" i="13"/>
  <c r="F164" i="13"/>
  <c r="C86" i="13"/>
  <c r="L164" i="13"/>
  <c r="B47" i="13"/>
  <c r="D102" i="13"/>
  <c r="D175" i="13"/>
  <c r="C184" i="13"/>
  <c r="F205" i="13"/>
  <c r="B184" i="13"/>
  <c r="G205" i="13"/>
  <c r="G175" i="13"/>
  <c r="K175" i="13"/>
  <c r="K102" i="13"/>
  <c r="G184" i="13"/>
  <c r="F102" i="13"/>
  <c r="F184" i="13"/>
  <c r="K205" i="13"/>
  <c r="B102" i="13"/>
  <c r="K184" i="13"/>
  <c r="D205" i="13"/>
  <c r="F175" i="13"/>
  <c r="L184" i="13"/>
  <c r="C175" i="13"/>
  <c r="L205" i="13"/>
  <c r="C102" i="13"/>
  <c r="L102" i="13"/>
  <c r="K142" i="13"/>
  <c r="L167" i="13"/>
  <c r="K108" i="13"/>
  <c r="L68" i="13"/>
  <c r="L148" i="13"/>
  <c r="G148" i="13"/>
  <c r="D142" i="13"/>
  <c r="B142" i="13"/>
  <c r="D68" i="13"/>
  <c r="B148" i="13"/>
  <c r="B167" i="13"/>
  <c r="F68" i="13"/>
  <c r="D148" i="13"/>
  <c r="B108" i="13"/>
  <c r="K68" i="13"/>
  <c r="F142" i="13"/>
  <c r="G108" i="13"/>
  <c r="G68" i="13"/>
  <c r="G167" i="13"/>
  <c r="F167" i="13"/>
  <c r="K148" i="13"/>
  <c r="C142" i="13"/>
  <c r="L108" i="13"/>
  <c r="B68" i="13"/>
  <c r="L142" i="13"/>
  <c r="D108" i="13"/>
  <c r="D207" i="13"/>
  <c r="K199" i="13"/>
  <c r="B149" i="13"/>
  <c r="K207" i="13"/>
  <c r="D149" i="13"/>
  <c r="F216" i="13"/>
  <c r="F207" i="13"/>
  <c r="D196" i="13"/>
  <c r="L196" i="13"/>
  <c r="D179" i="13"/>
  <c r="F242" i="13"/>
  <c r="C198" i="13"/>
  <c r="L173" i="13"/>
  <c r="B215" i="13"/>
  <c r="C165" i="13"/>
  <c r="L149" i="13"/>
  <c r="F149" i="13"/>
  <c r="K149" i="13"/>
  <c r="B207" i="13"/>
  <c r="D204" i="13"/>
  <c r="C149" i="13"/>
  <c r="C207" i="13"/>
  <c r="K216" i="13"/>
  <c r="L207" i="13"/>
  <c r="B219" i="13"/>
  <c r="D219" i="13"/>
  <c r="G165" i="13"/>
  <c r="L165" i="13"/>
  <c r="D165" i="13"/>
  <c r="B165" i="13"/>
  <c r="F165" i="13"/>
  <c r="K204" i="13"/>
  <c r="L8" i="13"/>
  <c r="D215" i="13"/>
  <c r="D173" i="13"/>
  <c r="F173" i="13"/>
  <c r="B196" i="13"/>
  <c r="K173" i="13"/>
  <c r="L215" i="13"/>
  <c r="C215" i="13"/>
  <c r="C173" i="13"/>
  <c r="B242" i="13"/>
  <c r="F215" i="13"/>
  <c r="C179" i="13"/>
  <c r="B173" i="13"/>
  <c r="K215" i="13"/>
  <c r="D242" i="13"/>
  <c r="K198" i="13"/>
  <c r="G242" i="13"/>
  <c r="L219" i="13"/>
  <c r="C204" i="13"/>
  <c r="F204" i="13"/>
  <c r="B204" i="13"/>
  <c r="K219" i="13"/>
  <c r="C219" i="13"/>
  <c r="L204" i="13"/>
  <c r="F219" i="13"/>
  <c r="F180" i="13"/>
  <c r="B162" i="13"/>
  <c r="D168" i="13"/>
  <c r="F196" i="13"/>
  <c r="C210" i="13"/>
  <c r="B59" i="13"/>
  <c r="K196" i="13"/>
  <c r="L179" i="13"/>
  <c r="B180" i="13"/>
  <c r="D198" i="13"/>
  <c r="F168" i="13"/>
  <c r="B188" i="13"/>
  <c r="C162" i="13"/>
  <c r="K242" i="13"/>
  <c r="B198" i="13"/>
  <c r="L198" i="13"/>
  <c r="L46" i="13"/>
  <c r="F188" i="13"/>
  <c r="K168" i="13"/>
  <c r="K180" i="13"/>
  <c r="G179" i="13"/>
  <c r="G162" i="13"/>
  <c r="K188" i="13"/>
  <c r="L180" i="13"/>
  <c r="C196" i="13"/>
  <c r="K179" i="13"/>
  <c r="F179" i="13"/>
  <c r="L188" i="13"/>
  <c r="L162" i="13"/>
  <c r="D180" i="13"/>
  <c r="L168" i="13"/>
  <c r="K162" i="13"/>
  <c r="L242" i="13"/>
  <c r="F198" i="13"/>
  <c r="C168" i="13"/>
  <c r="D188" i="13"/>
  <c r="G216" i="13"/>
  <c r="G199" i="13"/>
  <c r="L199" i="13"/>
  <c r="B216" i="13"/>
  <c r="B199" i="13"/>
  <c r="C216" i="13"/>
  <c r="L216" i="13"/>
  <c r="F199" i="13"/>
  <c r="D199" i="13"/>
  <c r="C239" i="13"/>
  <c r="L182" i="13"/>
  <c r="B182" i="13"/>
  <c r="D182" i="13"/>
  <c r="L211" i="13"/>
  <c r="C182" i="13"/>
  <c r="K182" i="13"/>
  <c r="F182" i="13"/>
  <c r="C194" i="13"/>
  <c r="L127" i="13"/>
  <c r="C230" i="13"/>
  <c r="F111" i="13"/>
  <c r="F135" i="13"/>
  <c r="F210" i="13"/>
  <c r="C241" i="13"/>
  <c r="D32" i="13"/>
  <c r="D111" i="13"/>
  <c r="F24" i="13"/>
  <c r="D39" i="13"/>
  <c r="F91" i="13"/>
  <c r="K59" i="13"/>
  <c r="B127" i="13"/>
  <c r="D22" i="13"/>
  <c r="B49" i="13"/>
  <c r="F21" i="13"/>
  <c r="L49" i="13"/>
  <c r="D151" i="13"/>
  <c r="B111" i="13"/>
  <c r="K230" i="13"/>
  <c r="C47" i="13"/>
  <c r="L241" i="13"/>
  <c r="D249" i="13"/>
  <c r="L24" i="13"/>
  <c r="D46" i="13"/>
  <c r="D239" i="13"/>
  <c r="F230" i="13"/>
  <c r="B249" i="13"/>
  <c r="B39" i="13"/>
  <c r="B46" i="13"/>
  <c r="K39" i="13"/>
  <c r="C39" i="13"/>
  <c r="C24" i="13"/>
  <c r="K135" i="13"/>
  <c r="C111" i="13"/>
  <c r="L135" i="13"/>
  <c r="L91" i="13"/>
  <c r="K151" i="13"/>
  <c r="C32" i="13"/>
  <c r="F127" i="13"/>
  <c r="D210" i="13"/>
  <c r="B91" i="13"/>
  <c r="L59" i="13"/>
  <c r="C135" i="13"/>
  <c r="L21" i="13"/>
  <c r="B210" i="13"/>
  <c r="D135" i="13"/>
  <c r="C91" i="13"/>
  <c r="K32" i="13"/>
  <c r="F151" i="13"/>
  <c r="C151" i="13"/>
  <c r="B230" i="13"/>
  <c r="K24" i="13"/>
  <c r="F46" i="13"/>
  <c r="K47" i="13"/>
  <c r="D241" i="13"/>
  <c r="F249" i="13"/>
  <c r="K49" i="13"/>
  <c r="K46" i="13"/>
  <c r="L230" i="13"/>
  <c r="K21" i="13"/>
  <c r="B24" i="13"/>
  <c r="C49" i="13"/>
  <c r="D21" i="13"/>
  <c r="L39" i="13"/>
  <c r="F239" i="13"/>
  <c r="K249" i="13"/>
  <c r="D47" i="13"/>
  <c r="C249" i="13"/>
  <c r="G241" i="13"/>
  <c r="G59" i="13"/>
  <c r="G151" i="13"/>
  <c r="G24" i="13"/>
  <c r="G32" i="13"/>
  <c r="D127" i="13"/>
  <c r="L210" i="13"/>
  <c r="C59" i="13"/>
  <c r="D91" i="13"/>
  <c r="B32" i="13"/>
  <c r="C127" i="13"/>
  <c r="K91" i="13"/>
  <c r="F59" i="13"/>
  <c r="L32" i="13"/>
  <c r="L151" i="13"/>
  <c r="K127" i="13"/>
  <c r="K111" i="13"/>
  <c r="L249" i="13"/>
  <c r="C46" i="13"/>
  <c r="L239" i="13"/>
  <c r="D34" i="13"/>
  <c r="F47" i="13"/>
  <c r="F241" i="13"/>
  <c r="F39" i="13"/>
  <c r="F49" i="13"/>
  <c r="B239" i="13"/>
  <c r="K239" i="13"/>
  <c r="D230" i="13"/>
  <c r="C21" i="13"/>
  <c r="B241" i="13"/>
  <c r="L47" i="13"/>
  <c r="K10" i="13"/>
  <c r="F43" i="13"/>
  <c r="G220" i="13"/>
  <c r="B243" i="13"/>
  <c r="D220" i="13"/>
  <c r="F220" i="13"/>
  <c r="G10" i="13"/>
  <c r="F232" i="13"/>
  <c r="F194" i="13"/>
  <c r="G61" i="13"/>
  <c r="C232" i="13"/>
  <c r="F211" i="13"/>
  <c r="L41" i="13"/>
  <c r="F41" i="13"/>
  <c r="K211" i="13"/>
  <c r="B10" i="13"/>
  <c r="B246" i="13"/>
  <c r="B211" i="13"/>
  <c r="F10" i="13"/>
  <c r="L194" i="13"/>
  <c r="D194" i="13"/>
  <c r="K41" i="13"/>
  <c r="B194" i="13"/>
  <c r="C220" i="13"/>
  <c r="F161" i="13"/>
  <c r="K169" i="13"/>
  <c r="L10" i="13"/>
  <c r="F233" i="13"/>
  <c r="C10" i="13"/>
  <c r="K34" i="13"/>
  <c r="K220" i="13"/>
  <c r="D211" i="13"/>
  <c r="G115" i="13"/>
  <c r="B16" i="13"/>
  <c r="D232" i="13"/>
  <c r="K232" i="13"/>
  <c r="B232" i="13"/>
  <c r="K194" i="13"/>
  <c r="L220" i="13"/>
  <c r="L232" i="13"/>
  <c r="C211" i="13"/>
  <c r="D10" i="13"/>
  <c r="F25" i="13"/>
  <c r="F54" i="13"/>
  <c r="C190" i="13"/>
  <c r="F16" i="13"/>
  <c r="K190" i="13"/>
  <c r="D16" i="13"/>
  <c r="L240" i="13"/>
  <c r="F240" i="13"/>
  <c r="B240" i="13"/>
  <c r="D25" i="13"/>
  <c r="C101" i="13"/>
  <c r="K54" i="13"/>
  <c r="B159" i="13"/>
  <c r="K25" i="13"/>
  <c r="F243" i="13"/>
  <c r="F13" i="13"/>
  <c r="C16" i="13"/>
  <c r="G161" i="13"/>
  <c r="D240" i="13"/>
  <c r="B25" i="13"/>
  <c r="K101" i="13"/>
  <c r="L11" i="13"/>
  <c r="D190" i="13"/>
  <c r="C234" i="13"/>
  <c r="L200" i="13"/>
  <c r="L227" i="13"/>
  <c r="B48" i="13"/>
  <c r="D235" i="13"/>
  <c r="F147" i="13"/>
  <c r="K213" i="13"/>
  <c r="C52" i="13"/>
  <c r="B4" i="13"/>
  <c r="F95" i="13"/>
  <c r="F8" i="13"/>
  <c r="D131" i="13"/>
  <c r="B234" i="13"/>
  <c r="K8" i="13"/>
  <c r="K4" i="13"/>
  <c r="D8" i="13"/>
  <c r="F52" i="13"/>
  <c r="F177" i="13"/>
  <c r="B8" i="13"/>
  <c r="F200" i="13"/>
  <c r="L234" i="13"/>
  <c r="K200" i="13"/>
  <c r="D200" i="13"/>
  <c r="C200" i="13"/>
  <c r="K48" i="13"/>
  <c r="B147" i="13"/>
  <c r="G40" i="13"/>
  <c r="G64" i="13"/>
  <c r="D51" i="13"/>
  <c r="C31" i="13"/>
  <c r="L40" i="13"/>
  <c r="D234" i="13"/>
  <c r="B200" i="13"/>
  <c r="B14" i="13"/>
  <c r="G177" i="13"/>
  <c r="D31" i="13"/>
  <c r="B31" i="13"/>
  <c r="C213" i="13"/>
  <c r="K64" i="13"/>
  <c r="L9" i="13"/>
  <c r="L14" i="13"/>
  <c r="B227" i="13"/>
  <c r="B58" i="13"/>
  <c r="C4" i="13"/>
  <c r="C8" i="13"/>
  <c r="B29" i="13"/>
  <c r="K131" i="13"/>
  <c r="D20" i="13"/>
  <c r="D52" i="13"/>
  <c r="B95" i="13"/>
  <c r="L48" i="13"/>
  <c r="K235" i="13"/>
  <c r="K234" i="13"/>
  <c r="C55" i="13"/>
  <c r="F64" i="13"/>
  <c r="L55" i="13"/>
  <c r="F234" i="13"/>
  <c r="G14" i="13"/>
  <c r="G9" i="13"/>
  <c r="D29" i="13"/>
  <c r="C25" i="13"/>
  <c r="B54" i="13"/>
  <c r="L25" i="13"/>
  <c r="L190" i="13"/>
  <c r="K16" i="13"/>
  <c r="K236" i="13"/>
  <c r="L54" i="13"/>
  <c r="K240" i="13"/>
  <c r="G16" i="13"/>
  <c r="C240" i="13"/>
  <c r="D54" i="13"/>
  <c r="F11" i="13"/>
  <c r="C54" i="13"/>
  <c r="L169" i="13"/>
  <c r="L139" i="13"/>
  <c r="D13" i="13"/>
  <c r="B190" i="13"/>
  <c r="F190" i="13"/>
  <c r="G13" i="13"/>
  <c r="B36" i="13"/>
  <c r="L36" i="13"/>
  <c r="B53" i="13"/>
  <c r="C13" i="13"/>
  <c r="D4" i="13"/>
  <c r="B52" i="13"/>
  <c r="L31" i="13"/>
  <c r="K52" i="13"/>
  <c r="K177" i="13"/>
  <c r="D95" i="13"/>
  <c r="B235" i="13"/>
  <c r="F235" i="13"/>
  <c r="C147" i="13"/>
  <c r="K31" i="13"/>
  <c r="F20" i="13"/>
  <c r="D9" i="13"/>
  <c r="B213" i="13"/>
  <c r="D64" i="13"/>
  <c r="F55" i="13"/>
  <c r="B40" i="13"/>
  <c r="C40" i="13"/>
  <c r="K14" i="13"/>
  <c r="D213" i="13"/>
  <c r="C227" i="13"/>
  <c r="F227" i="13"/>
  <c r="F58" i="13"/>
  <c r="G52" i="13"/>
  <c r="G20" i="13"/>
  <c r="G55" i="13"/>
  <c r="D14" i="13"/>
  <c r="G131" i="13"/>
  <c r="F9" i="13"/>
  <c r="B177" i="13"/>
  <c r="C64" i="13"/>
  <c r="L4" i="13"/>
  <c r="F4" i="13"/>
  <c r="K20" i="13"/>
  <c r="L20" i="13"/>
  <c r="L95" i="13"/>
  <c r="F31" i="13"/>
  <c r="F131" i="13"/>
  <c r="C48" i="13"/>
  <c r="K95" i="13"/>
  <c r="L235" i="13"/>
  <c r="C177" i="13"/>
  <c r="L213" i="13"/>
  <c r="L58" i="13"/>
  <c r="C9" i="13"/>
  <c r="B51" i="13"/>
  <c r="K227" i="13"/>
  <c r="L64" i="13"/>
  <c r="D55" i="13"/>
  <c r="F213" i="13"/>
  <c r="K58" i="13"/>
  <c r="C51" i="13"/>
  <c r="B9" i="13"/>
  <c r="B55" i="13"/>
  <c r="C131" i="13"/>
  <c r="L131" i="13"/>
  <c r="F48" i="13"/>
  <c r="D147" i="13"/>
  <c r="B20" i="13"/>
  <c r="K147" i="13"/>
  <c r="L147" i="13"/>
  <c r="D177" i="13"/>
  <c r="C95" i="13"/>
  <c r="D48" i="13"/>
  <c r="C235" i="13"/>
  <c r="D40" i="13"/>
  <c r="K55" i="13"/>
  <c r="F51" i="13"/>
  <c r="C58" i="13"/>
  <c r="C14" i="13"/>
  <c r="K40" i="13"/>
  <c r="D227" i="13"/>
  <c r="L51" i="13"/>
  <c r="D58" i="13"/>
  <c r="G51" i="13"/>
  <c r="D41" i="13"/>
  <c r="L115" i="13"/>
  <c r="D115" i="13"/>
  <c r="F246" i="13"/>
  <c r="D61" i="13"/>
  <c r="K115" i="13"/>
  <c r="F61" i="13"/>
  <c r="C143" i="13"/>
  <c r="B115" i="13"/>
  <c r="F250" i="13"/>
  <c r="F143" i="13"/>
  <c r="D43" i="13"/>
  <c r="L143" i="13"/>
  <c r="C115" i="13"/>
  <c r="K143" i="13"/>
  <c r="B250" i="13"/>
  <c r="D250" i="13"/>
  <c r="B143" i="13"/>
  <c r="C43" i="13"/>
  <c r="B43" i="13"/>
  <c r="K250" i="13"/>
  <c r="B41" i="13"/>
  <c r="L246" i="13"/>
  <c r="K53" i="13"/>
  <c r="C61" i="13"/>
  <c r="B18" i="13"/>
  <c r="K61" i="13"/>
  <c r="L63" i="13"/>
  <c r="K246" i="13"/>
  <c r="B61" i="13"/>
  <c r="K43" i="13"/>
  <c r="L250" i="13"/>
  <c r="C41" i="13"/>
  <c r="L43" i="13"/>
  <c r="D143" i="13"/>
  <c r="C250" i="13"/>
  <c r="C246" i="13"/>
  <c r="D246" i="13"/>
  <c r="C26" i="13"/>
  <c r="L26" i="13"/>
  <c r="D37" i="13"/>
  <c r="D236" i="13"/>
  <c r="C30" i="13"/>
  <c r="K27" i="13"/>
  <c r="L33" i="13"/>
  <c r="L13" i="13"/>
  <c r="B30" i="13"/>
  <c r="K30" i="13"/>
  <c r="L30" i="13"/>
  <c r="C161" i="13"/>
  <c r="C159" i="13"/>
  <c r="B139" i="13"/>
  <c r="D101" i="13"/>
  <c r="B11" i="13"/>
  <c r="B28" i="13"/>
  <c r="C11" i="13"/>
  <c r="K11" i="13"/>
  <c r="K139" i="13"/>
  <c r="D159" i="13"/>
  <c r="F159" i="13"/>
  <c r="K161" i="13"/>
  <c r="B169" i="13"/>
  <c r="F169" i="13"/>
  <c r="K33" i="13"/>
  <c r="K13" i="13"/>
  <c r="L243" i="13"/>
  <c r="C45" i="13"/>
  <c r="L27" i="13"/>
  <c r="G159" i="13"/>
  <c r="G101" i="13"/>
  <c r="K36" i="13"/>
  <c r="F28" i="13"/>
  <c r="F139" i="13"/>
  <c r="D28" i="13"/>
  <c r="L161" i="13"/>
  <c r="B161" i="13"/>
  <c r="D169" i="13"/>
  <c r="C139" i="13"/>
  <c r="L101" i="13"/>
  <c r="D243" i="13"/>
  <c r="C36" i="13"/>
  <c r="K28" i="13"/>
  <c r="B101" i="13"/>
  <c r="D139" i="13"/>
  <c r="F36" i="13"/>
  <c r="C28" i="13"/>
  <c r="F101" i="13"/>
  <c r="D11" i="13"/>
  <c r="D36" i="13"/>
  <c r="L28" i="13"/>
  <c r="K159" i="13"/>
  <c r="C169" i="13"/>
  <c r="C236" i="13"/>
  <c r="B27" i="13"/>
  <c r="C33" i="13"/>
  <c r="K243" i="13"/>
  <c r="F236" i="13"/>
  <c r="B236" i="13"/>
  <c r="C243" i="13"/>
  <c r="D30" i="13"/>
  <c r="L34" i="13"/>
  <c r="D233" i="13"/>
  <c r="C22" i="13"/>
  <c r="F22" i="13"/>
  <c r="F63" i="13"/>
  <c r="G18" i="13"/>
  <c r="G63" i="13"/>
  <c r="L18" i="13"/>
  <c r="F18" i="13"/>
  <c r="C63" i="13"/>
  <c r="K233" i="13"/>
  <c r="B233" i="13"/>
  <c r="C18" i="13"/>
  <c r="F34" i="13"/>
  <c r="K18" i="13"/>
  <c r="L233" i="13"/>
  <c r="D18" i="13"/>
  <c r="K63" i="13"/>
  <c r="D63" i="13"/>
  <c r="C233" i="13"/>
  <c r="B63" i="13"/>
  <c r="D26" i="13"/>
  <c r="K37" i="13"/>
  <c r="F27" i="13"/>
  <c r="K26" i="13"/>
  <c r="D45" i="13"/>
  <c r="B37" i="13"/>
  <c r="D27" i="13"/>
  <c r="B45" i="13"/>
  <c r="F45" i="13"/>
  <c r="L37" i="13"/>
  <c r="L45" i="13"/>
  <c r="C27" i="13"/>
  <c r="L29" i="13"/>
  <c r="G29" i="13"/>
  <c r="B42" i="13"/>
  <c r="G42" i="13"/>
  <c r="L22" i="13"/>
  <c r="G22" i="13"/>
  <c r="B34" i="13"/>
  <c r="G34" i="13"/>
  <c r="C53" i="13"/>
  <c r="D53" i="13"/>
  <c r="F53" i="13"/>
  <c r="F33" i="13"/>
  <c r="G33" i="13"/>
  <c r="L53" i="13"/>
  <c r="B33" i="13"/>
  <c r="L236" i="13"/>
  <c r="F30" i="13"/>
  <c r="K22" i="13"/>
  <c r="C37" i="13"/>
  <c r="G37" i="13"/>
  <c r="K45" i="13"/>
  <c r="G45" i="13"/>
  <c r="B26" i="13"/>
  <c r="G26" i="13"/>
  <c r="K42" i="13"/>
  <c r="C29" i="13"/>
  <c r="K29" i="13"/>
  <c r="F42" i="13"/>
  <c r="C42" i="13"/>
  <c r="F29" i="13"/>
  <c r="L42" i="13"/>
  <c r="I2" i="11"/>
  <c r="W3" i="8" l="1"/>
  <c r="W4" i="8"/>
  <c r="W5" i="8"/>
  <c r="W6" i="8"/>
  <c r="W7" i="8"/>
  <c r="W8" i="8"/>
  <c r="W9" i="8"/>
  <c r="W10" i="8"/>
  <c r="W11" i="8"/>
  <c r="W12" i="8"/>
  <c r="W13" i="8"/>
  <c r="W14" i="8"/>
  <c r="W15" i="8"/>
  <c r="W16" i="8"/>
  <c r="W2" i="8"/>
  <c r="V2" i="8" l="1"/>
  <c r="T2" i="8" l="1"/>
  <c r="A3" i="10" l="1"/>
  <c r="A4" i="10"/>
  <c r="A5" i="10"/>
  <c r="A6" i="10"/>
  <c r="A7" i="10"/>
  <c r="A8" i="10"/>
  <c r="A9" i="10"/>
  <c r="A10" i="10"/>
  <c r="A11" i="10"/>
  <c r="A12" i="10"/>
  <c r="A13" i="10"/>
  <c r="A14" i="10"/>
  <c r="A15" i="10"/>
  <c r="A16" i="10"/>
  <c r="A2" i="10"/>
  <c r="C2" i="10" l="1"/>
  <c r="B5" i="10" l="1"/>
  <c r="B6" i="10"/>
  <c r="B7" i="10"/>
  <c r="B8" i="10"/>
  <c r="B9" i="10"/>
  <c r="B10" i="10"/>
  <c r="B11" i="10"/>
  <c r="B12" i="10"/>
  <c r="B13" i="10"/>
  <c r="B14" i="10"/>
  <c r="B15" i="10"/>
  <c r="B16" i="10"/>
  <c r="B4" i="10"/>
  <c r="B3" i="10"/>
  <c r="B2" i="10"/>
  <c r="M2" i="8" l="1"/>
  <c r="C3" i="10" l="1"/>
  <c r="C4" i="10"/>
  <c r="C5" i="10"/>
  <c r="C6" i="10"/>
  <c r="C7" i="10"/>
  <c r="C8" i="10"/>
  <c r="C9" i="10"/>
  <c r="C10" i="10"/>
  <c r="C11" i="10"/>
  <c r="C12" i="10"/>
  <c r="C13" i="10"/>
  <c r="C14" i="10"/>
  <c r="C15" i="10"/>
  <c r="C16" i="10"/>
  <c r="C2" i="13" l="1"/>
  <c r="AJ2" i="4" l="1"/>
  <c r="G2" i="4"/>
  <c r="G2" i="2" l="1"/>
  <c r="AA2" i="4" l="1"/>
  <c r="N3" i="8" l="1"/>
  <c r="N4" i="8"/>
  <c r="N5" i="8"/>
  <c r="N6" i="8"/>
  <c r="N7" i="8"/>
  <c r="N8" i="8"/>
  <c r="N9" i="8"/>
  <c r="N10" i="8"/>
  <c r="N11" i="8"/>
  <c r="N12" i="8"/>
  <c r="N13" i="8"/>
  <c r="N14" i="8"/>
  <c r="N15" i="8"/>
  <c r="N16" i="8"/>
  <c r="S2" i="8" l="1"/>
  <c r="R2" i="8"/>
  <c r="Q2" i="8"/>
  <c r="O3" i="8"/>
  <c r="O4" i="8"/>
  <c r="O5" i="8"/>
  <c r="O6" i="8"/>
  <c r="O7" i="8"/>
  <c r="O8" i="8"/>
  <c r="O9" i="8"/>
  <c r="O10" i="8"/>
  <c r="O11" i="8"/>
  <c r="O12" i="8"/>
  <c r="O13" i="8"/>
  <c r="O14" i="8"/>
  <c r="O15" i="8"/>
  <c r="O16" i="8"/>
  <c r="F2" i="8"/>
  <c r="E2" i="5" l="1"/>
  <c r="F2" i="5"/>
  <c r="Y2" i="4"/>
  <c r="X2" i="4"/>
  <c r="W2" i="4"/>
  <c r="L2" i="4"/>
  <c r="I2" i="4"/>
  <c r="F2" i="4"/>
  <c r="L2" i="8"/>
  <c r="K2" i="8"/>
  <c r="D2" i="8"/>
  <c r="O2" i="8"/>
  <c r="J2" i="5"/>
  <c r="N2" i="19" l="1"/>
  <c r="N2" i="8"/>
  <c r="H2" i="5"/>
  <c r="J2" i="4"/>
  <c r="D2"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<sst xmlns="http://schemas.openxmlformats.org/spreadsheetml/2006/main" count="8771" uniqueCount="1197">
  <si>
    <t>Last Name</t>
  </si>
  <si>
    <t>Middle Name</t>
  </si>
  <si>
    <t>First Name</t>
  </si>
  <si>
    <t>PIN</t>
  </si>
  <si>
    <t>Location</t>
  </si>
  <si>
    <t>Access</t>
  </si>
  <si>
    <t>Walmart Training Date</t>
  </si>
  <si>
    <t>Citrix ID for LOB Changes</t>
  </si>
  <si>
    <t>Comments</t>
  </si>
  <si>
    <t>Walmart Contract Number</t>
  </si>
  <si>
    <t>VCC Team ID</t>
  </si>
  <si>
    <t>VCC Security Profile ID</t>
  </si>
  <si>
    <t>VCC Email Address</t>
  </si>
  <si>
    <t>VCC Skill ID</t>
  </si>
  <si>
    <t>VCC Reports to</t>
  </si>
  <si>
    <t>VCC Country</t>
  </si>
  <si>
    <t>VCC State</t>
  </si>
  <si>
    <t>VCC City</t>
  </si>
  <si>
    <t>VCC Stella ID</t>
  </si>
  <si>
    <t>VCC POD Number</t>
  </si>
  <si>
    <t>Right Now Profile ID</t>
  </si>
  <si>
    <t>Right Now Group ID</t>
  </si>
  <si>
    <t>LMS Manager</t>
  </si>
  <si>
    <t>LMS LOB</t>
  </si>
  <si>
    <t>Choose One</t>
  </si>
  <si>
    <t>Key</t>
  </si>
  <si>
    <t>Team Name</t>
  </si>
  <si>
    <t>Team</t>
  </si>
  <si>
    <t>Email Address</t>
  </si>
  <si>
    <t>Country</t>
  </si>
  <si>
    <t>State</t>
  </si>
  <si>
    <t>City</t>
  </si>
  <si>
    <t>Skills</t>
  </si>
  <si>
    <t>Email Formatting</t>
  </si>
  <si>
    <t>Team &amp; Access</t>
  </si>
  <si>
    <t>Id</t>
  </si>
  <si>
    <t>Reports to id</t>
  </si>
  <si>
    <t>Axonify Line of Business</t>
  </si>
  <si>
    <t>Axonify Title</t>
  </si>
  <si>
    <t>Axonify AOI</t>
  </si>
  <si>
    <t>Litmos LOB</t>
  </si>
  <si>
    <t>LITMOS Role</t>
  </si>
  <si>
    <t>LITMOS Site</t>
  </si>
  <si>
    <t>LITMOS Vendor Name</t>
  </si>
  <si>
    <t>LITMOS Manager</t>
  </si>
  <si>
    <t>Contract Team</t>
  </si>
  <si>
    <t>Contract Team Number</t>
  </si>
  <si>
    <t>Right Now Profile (LOB)</t>
  </si>
  <si>
    <t>Right Now Group ID (LOB)</t>
  </si>
  <si>
    <t>WalmartGUAleadership@247.ai</t>
  </si>
  <si>
    <t>Guatemala</t>
  </si>
  <si>
    <t>Guatemala City</t>
  </si>
  <si>
    <t>@wmt45.com</t>
  </si>
  <si>
    <t>Walmart.com - 24.ai GuatemalaPhone Agent</t>
  </si>
  <si>
    <t>Walmart.com - 24.ai Guatemala</t>
  </si>
  <si>
    <t>Walmart.com - CRT</t>
  </si>
  <si>
    <t>SURVEY_US_GM_1</t>
  </si>
  <si>
    <t>Voice</t>
  </si>
  <si>
    <t>Agent</t>
  </si>
  <si>
    <t>GroceryIbex5</t>
  </si>
  <si>
    <t>Grocery|Axonify:UserType=User</t>
  </si>
  <si>
    <t>Tier 1</t>
  </si>
  <si>
    <t>GUA</t>
  </si>
  <si>
    <t>24.ai</t>
  </si>
  <si>
    <t>m0b017c</t>
  </si>
  <si>
    <t>Concentrix – 2512</t>
  </si>
  <si>
    <t>Walmart.com - 24.ai GuatemalaVaccine Agent</t>
  </si>
  <si>
    <t>@vaccine.com</t>
  </si>
  <si>
    <t>Walmart.com - 24.ai GuatemalaSupervisor/Team Lead</t>
  </si>
  <si>
    <t>Walmart.com - 24.ai Philippines</t>
  </si>
  <si>
    <t>SURVEY_US_GM_2</t>
  </si>
  <si>
    <t>Grocery5</t>
  </si>
  <si>
    <t>Axonify:New Hire|Grocery</t>
  </si>
  <si>
    <t>Vaccine</t>
  </si>
  <si>
    <t>Philippines</t>
  </si>
  <si>
    <t>Nina</t>
  </si>
  <si>
    <t>n0b023z</t>
  </si>
  <si>
    <t>Qualfon – 4704</t>
  </si>
  <si>
    <t>Walmart.com - Ibex BendPhone Agent</t>
  </si>
  <si>
    <t>Walmart.com - Ibex Bend</t>
  </si>
  <si>
    <t>Walmart.com - 24.ai GuatemalaVaccine Supervisor/Team Lead</t>
  </si>
  <si>
    <t>Walmart.com - 24-7 Intouch Bogota</t>
  </si>
  <si>
    <t>SURVEY_US_GROCERY</t>
  </si>
  <si>
    <t>Team Lead</t>
  </si>
  <si>
    <t>Voice3</t>
  </si>
  <si>
    <t>Axonify:New Hire|Voice NHT Emergency Virtual</t>
  </si>
  <si>
    <t>Colombia</t>
  </si>
  <si>
    <t>24-7 Intouch</t>
  </si>
  <si>
    <t>Michael</t>
  </si>
  <si>
    <t>Ibex – 1254</t>
  </si>
  <si>
    <t>Walmart.com - Ibex BendSupervisor/Team Lead</t>
  </si>
  <si>
    <t>Walmart.com - Ibex Manila</t>
  </si>
  <si>
    <t>Supervisor/Team Lead</t>
  </si>
  <si>
    <t>Walmart.com - 24-7 Intouch Guatemala</t>
  </si>
  <si>
    <t>SURVEY_US_GM_EE</t>
  </si>
  <si>
    <t>Chat3</t>
  </si>
  <si>
    <t>Axonify:New Hire|Chat NHT Emergency Virtual</t>
  </si>
  <si>
    <t>Nick</t>
  </si>
  <si>
    <t>nuh0006</t>
  </si>
  <si>
    <t>24-7Intouch – 3474</t>
  </si>
  <si>
    <t>Walmart.com - SykesPhone Agent</t>
  </si>
  <si>
    <t>Walmart.com - STARTEK Manila</t>
  </si>
  <si>
    <t>Walmart.com - 24.ai PhilippinesVaccine Agent</t>
  </si>
  <si>
    <t>Manila</t>
  </si>
  <si>
    <t>Shaw</t>
  </si>
  <si>
    <t>Walmart.com - 24-7 Intouch India</t>
  </si>
  <si>
    <t>SURVEY_US_OAOH</t>
  </si>
  <si>
    <t>Email3</t>
  </si>
  <si>
    <t>Axonify:New Hire|Email NHT Emergency Virtual</t>
  </si>
  <si>
    <t>India</t>
  </si>
  <si>
    <t>James</t>
  </si>
  <si>
    <t>j0s0813</t>
  </si>
  <si>
    <t>47.ai – 5876</t>
  </si>
  <si>
    <t>Walmart.com - SykesSupervisor/Team Lead</t>
  </si>
  <si>
    <t>Walmart.com - STARTEK Tegu</t>
  </si>
  <si>
    <t>Walmart.com - 24.ai PhilippinesVaccine Supervisor/Team Lead</t>
  </si>
  <si>
    <t>Walmart.com - 24-7 Intouch Honduras</t>
  </si>
  <si>
    <t>SURVEY_US_PARA</t>
  </si>
  <si>
    <t>VoiceG3</t>
  </si>
  <si>
    <t>Axonify:New Hire|Voice NHT Emergency Virtual|Tier 1 Voice-Specialization1</t>
  </si>
  <si>
    <t>Honduras</t>
  </si>
  <si>
    <t>iQor – 1356</t>
  </si>
  <si>
    <t>Walmart.com - STARTEK TeguPhone Agent</t>
  </si>
  <si>
    <t>Walmart.com - Sykes</t>
  </si>
  <si>
    <t>guawmtops@24-7intouch.com</t>
  </si>
  <si>
    <t>Walmart.com - 24-7 Intouch GuatemalaChat Agent</t>
  </si>
  <si>
    <t>Walmart.com - 24-7 Intouch Manila</t>
  </si>
  <si>
    <t>Chat</t>
  </si>
  <si>
    <t>Chat5</t>
  </si>
  <si>
    <t>Axonify:New Hire|Tier 1 Chat</t>
  </si>
  <si>
    <t>Inktel – 8478</t>
  </si>
  <si>
    <t>Walmart.com - STARTEK TeguSupervisor/Team Lead</t>
  </si>
  <si>
    <t>Walmart.com - Telus El Salvador</t>
  </si>
  <si>
    <t>Walmart.com - 24-7 Intouch GuatemalaPhone Agent</t>
  </si>
  <si>
    <t>Walmart.com - Alorica Bangalore</t>
  </si>
  <si>
    <t>Email5</t>
  </si>
  <si>
    <t>Axonify:New Hire|Tier 1 Email</t>
  </si>
  <si>
    <t>Alorica</t>
  </si>
  <si>
    <t>Alorica – 8586</t>
  </si>
  <si>
    <t>Walmart P&amp;D - Ibex BendP&amp;D Agent</t>
  </si>
  <si>
    <t>Walmart.com - Teleperformance</t>
  </si>
  <si>
    <t>Walmart.com - 24-7 Intouch GuatemalaVaccine Agent</t>
  </si>
  <si>
    <t>Walmart.com - Alorica Guatemala</t>
  </si>
  <si>
    <t>Voice5</t>
  </si>
  <si>
    <t>Axonify:New Hire|Tier 1 Voice</t>
  </si>
  <si>
    <t>Sykes – 3993</t>
  </si>
  <si>
    <t>Walmart P&amp;D - Ibex BendP&amp;D Supervisor/Team Lead</t>
  </si>
  <si>
    <t>Reporting</t>
  </si>
  <si>
    <t>Walmart.com - 24-7 Intouch GuatemalaEmail Agent</t>
  </si>
  <si>
    <t>Walmart.com - Alorica Honduras</t>
  </si>
  <si>
    <t>Email</t>
  </si>
  <si>
    <t>VoiceG5</t>
  </si>
  <si>
    <t>Axonify:New Hire|Tier 1 Voice|Tier 1 Voice-Specialization1</t>
  </si>
  <si>
    <t>Panama</t>
  </si>
  <si>
    <t>Telus – 6726</t>
  </si>
  <si>
    <t>Walmart P&amp;D - Ibex New BraunfelsP&amp;D Agent</t>
  </si>
  <si>
    <t>Walmart.com - CRT Sykes</t>
  </si>
  <si>
    <t>Walmart.com - 24-7 Intouch GuatemalaSupervisor/Team Lead</t>
  </si>
  <si>
    <t>Walmart.com - Alorica Panama</t>
  </si>
  <si>
    <t>StarTek – 8352</t>
  </si>
  <si>
    <t>Walmart P&amp;D - Ibex New BraunfelsP&amp;D Supervisor/Team Lead</t>
  </si>
  <si>
    <t>Walmart P&amp;D - Ibex Bend</t>
  </si>
  <si>
    <t>Walmart.com - 24-7 Intouch GuatemalaChat Supervisor/Team Lead</t>
  </si>
  <si>
    <t>Walmart.com - Alorica Philippines</t>
  </si>
  <si>
    <t>Teleperformance – 9705</t>
  </si>
  <si>
    <t>Walmart.com - STARTEK ManilaSupervisor/Team Lead</t>
  </si>
  <si>
    <t>Walmart P&amp;D - Ibex New Braunfels</t>
  </si>
  <si>
    <t>Walmart.com - 24-7 Intouch GuatemalaVaccine Supervisor/Team Lead</t>
  </si>
  <si>
    <t>Walmart.com - Concentrix Bangalore</t>
  </si>
  <si>
    <t>Concentrix</t>
  </si>
  <si>
    <t>Walmart.com - STARTEK ManilaPhone Agent</t>
  </si>
  <si>
    <t>Walmart P&amp;D - Ibex Manila</t>
  </si>
  <si>
    <t>Walmart.com - 24-7 Intouch BogotaPhone Agent</t>
  </si>
  <si>
    <t>Walmart.com - Concentrix Shaw Manila</t>
  </si>
  <si>
    <t>Walmart.com - TeleperformanceSupervisor/Team Lead</t>
  </si>
  <si>
    <t>Walmart P&amp;D - Startek</t>
  </si>
  <si>
    <t>Walmart.com - 24-7 Intouch BogotaVaccine Agent</t>
  </si>
  <si>
    <t>United States</t>
  </si>
  <si>
    <t>Ibex</t>
  </si>
  <si>
    <t>1254</t>
  </si>
  <si>
    <t>Walmart.com - TeleperformancePhone Agent</t>
  </si>
  <si>
    <t>Walmart P&amp;D - Telus</t>
  </si>
  <si>
    <t>Walmart.com - 24-7 Intouch BogotaVaccine Supervisor/Team Lead</t>
  </si>
  <si>
    <t>Walmart.com - Ibex Jamaica</t>
  </si>
  <si>
    <t>Jamaica</t>
  </si>
  <si>
    <t>Walmart.com - Teleperformance Dominican RepublicSupervisor/Team Lead</t>
  </si>
  <si>
    <t>Walmart P&amp;D - Teleperformance</t>
  </si>
  <si>
    <t>Walmart.com - 24-7 Intouch HondurasVaccine Agent</t>
  </si>
  <si>
    <t>Walmart.com - Ibex Jamaica2</t>
  </si>
  <si>
    <t>Walmart.com - Teleperformance Dominican RepublicPhone Agent</t>
  </si>
  <si>
    <t>Walmart P&amp;D - Qualfon Guyana</t>
  </si>
  <si>
    <t>Walmart.com - 24-7 Intouch HondurasVaccine Supervisor/Team Lead</t>
  </si>
  <si>
    <t>Walmart P&amp;D - TeleperformanceP&amp;D Agent</t>
  </si>
  <si>
    <t>Walmart.com - 24-7 Intouch ManilaVaccine Agent</t>
  </si>
  <si>
    <t>Walmart.com - Ibex New Braunfels</t>
  </si>
  <si>
    <t>Walmart P&amp;D - TeleperformanceP&amp;D Supervisor/Team Lead</t>
  </si>
  <si>
    <t>Walmart.com - 24-7 Intouch ManilaVaccine Supervisor/Team Lead</t>
  </si>
  <si>
    <t>Walmart.com - Ibex Pakistan</t>
  </si>
  <si>
    <t>Pakistan</t>
  </si>
  <si>
    <t>Walmart P&amp;D - StartekP&amp;D Agent</t>
  </si>
  <si>
    <t>Hyperadbad</t>
  </si>
  <si>
    <t>Bangalore</t>
  </si>
  <si>
    <t>Walmart.com - 24-7 Intouch IndiaChat Agent</t>
  </si>
  <si>
    <t>Walmart.com - iQor Philippines</t>
  </si>
  <si>
    <t>iQor</t>
  </si>
  <si>
    <t>1356</t>
  </si>
  <si>
    <t>Walmart P&amp;D - StartekP&amp;D Supervisor/Team Lead</t>
  </si>
  <si>
    <t>Walmart.com - 24-7 Intouch IndiaChat Supervisor/Team Lead</t>
  </si>
  <si>
    <t>Walmart.com - iQor Trinidad</t>
  </si>
  <si>
    <t>Walmart P&amp;D - TelusP&amp;D Agent</t>
  </si>
  <si>
    <t>Walmart.com - 24-7 Intouch IndiaSupervisor/Team Lead</t>
  </si>
  <si>
    <t>Walmart.com - Qualfon Guyana</t>
  </si>
  <si>
    <t>Guyana</t>
  </si>
  <si>
    <t>Qualfon</t>
  </si>
  <si>
    <t>Walmart P&amp;D - TelusP&amp;D Supervisor/Team Lead</t>
  </si>
  <si>
    <t>WalmartChat-PWRReset@alorica.com</t>
  </si>
  <si>
    <t>Walmart.com - Alorica GuatemalaChat Agent</t>
  </si>
  <si>
    <t>STARTEK</t>
  </si>
  <si>
    <t>Walmart.com - Ibex ManilaPhone Agent</t>
  </si>
  <si>
    <t>Walmart.com - Alorica GuatemalaChat Supervisor/Team Lead</t>
  </si>
  <si>
    <t>Walmart.com - Ibex ManilaSupervisor/Team Lead</t>
  </si>
  <si>
    <t>MNL-WalmartCoachingAlert@alorica.com</t>
  </si>
  <si>
    <t xml:space="preserve">Makati City </t>
  </si>
  <si>
    <t>Walmart.com - Alorica PhilippinesPhone Agent</t>
  </si>
  <si>
    <t>Sykes</t>
  </si>
  <si>
    <t>Walmart.com - Telus El SalvadorPhone Agent</t>
  </si>
  <si>
    <t>Walmart.com - Alorica PhilippinesSupervisor/Team Lead</t>
  </si>
  <si>
    <t>El Salvador</t>
  </si>
  <si>
    <t>Telus El</t>
  </si>
  <si>
    <t>Walmart.com - Telus El SalvadorSupervisor/Team Lead</t>
  </si>
  <si>
    <t>Karnataka</t>
  </si>
  <si>
    <t>Walmart.com - Teleperformance Bogota</t>
  </si>
  <si>
    <t>Walmart.com - Alorica BangaloreChat Agent</t>
  </si>
  <si>
    <t>Teleperformance</t>
  </si>
  <si>
    <t>Walmart.com - CRT SykesPhone Agent</t>
  </si>
  <si>
    <t>Walmart.com - Teleperformance Dominican</t>
  </si>
  <si>
    <t>Walmart.com - Alorica BangaloreChat Supervisor/Team Lead</t>
  </si>
  <si>
    <t>Dominican Republic</t>
  </si>
  <si>
    <t>Walmart.com - CRT SykesSupervisor/Team Lead</t>
  </si>
  <si>
    <t>Walmart.com - Teleperformance Guatemala</t>
  </si>
  <si>
    <t>Walmart.com - Alorica GuatemalaVaccine Agent</t>
  </si>
  <si>
    <t>Walmart.com - CRTPhone Agent</t>
  </si>
  <si>
    <t>Walmart.com - Teleperformance Honduras</t>
  </si>
  <si>
    <t>Walmart.com - Alorica GuatemalaVaccine Supervisor/Team Lead</t>
  </si>
  <si>
    <t>Walmart.com - CRTEmail Agent</t>
  </si>
  <si>
    <t>Walmart.com - Teleperformance Mexico</t>
  </si>
  <si>
    <t>Walmart.com - Alorica HondurasVaccine Agent</t>
  </si>
  <si>
    <t>Mexico</t>
  </si>
  <si>
    <t>Walmart.com - CRTChat Agent</t>
  </si>
  <si>
    <t>Walmart.com - Alorica HondurasVaccine Supervisor/Team Lead</t>
  </si>
  <si>
    <t>Walmart</t>
  </si>
  <si>
    <t>Walmart.com - CRTSupervisor/Team Lead</t>
  </si>
  <si>
    <t>Walmart.com - Alorica PanamaVaccine Agent</t>
  </si>
  <si>
    <t>Walmart P&amp;D - Ibex ManilaP&amp;D Agent</t>
  </si>
  <si>
    <t>Walmart.com - Alorica PanamaVaccine Supervisor/Team Lead</t>
  </si>
  <si>
    <t>Walmart P&amp;D - Ibex ManilaP&amp;D Supervisor/Team Lead</t>
  </si>
  <si>
    <t>walmartshawops@ibex.co</t>
  </si>
  <si>
    <t>Ibex New</t>
  </si>
  <si>
    <t>Walmart P&amp;D - Qualfon GuyanaP&amp;D Agent</t>
  </si>
  <si>
    <t>Walmart P&amp;D - Qualfon GuyanaP&amp;D Supervisor/Team Lead</t>
  </si>
  <si>
    <t>WalmartOpsPK@ibex.co</t>
  </si>
  <si>
    <t>Karachi</t>
  </si>
  <si>
    <t>Walmart P&amp;D - Inktel</t>
  </si>
  <si>
    <t>Walmart.com - Ibex PakistanChat Agent</t>
  </si>
  <si>
    <t>Inktel</t>
  </si>
  <si>
    <t>Walmart.com - Ibex PakistanEmail Agent</t>
  </si>
  <si>
    <t>Startek</t>
  </si>
  <si>
    <t>Walmart.com - Ibex PakistanChat Supervisor/Team Lead</t>
  </si>
  <si>
    <t>Telus</t>
  </si>
  <si>
    <t>Walmart.com - Ibex PakistanSupervisor/Team Lead</t>
  </si>
  <si>
    <t>Walmart.com - Ibex JamaicaVaccine Agent</t>
  </si>
  <si>
    <t>Portmore</t>
  </si>
  <si>
    <t>Walmart.com - Ibex JamaicaVaccine Supervisor/Team Lead</t>
  </si>
  <si>
    <t>Walmart P&amp;D - Ibex Pakistan</t>
  </si>
  <si>
    <t>Walmart.com - Ibex Jamaica2Vaccine Agent</t>
  </si>
  <si>
    <t>Walmart.com - Ibex Jamaica2Vaccine Supervisor/Team Lead</t>
  </si>
  <si>
    <t>Walmart P&amp;D - InktelP&amp;D Agent</t>
  </si>
  <si>
    <t>Walmart.com - Ibex New BraunfelsVaccine Agent</t>
  </si>
  <si>
    <t>Walmart P&amp;D - InktelP&amp;D Supervisor/Team Lead</t>
  </si>
  <si>
    <t>Walmart.com - Ibex New BraunfelsVaccine Supervisor/Team Lead</t>
  </si>
  <si>
    <t>WMT.WalmartCommunication@iQor.com</t>
  </si>
  <si>
    <t>Iloilo</t>
  </si>
  <si>
    <t>Walmart.com - iQor PhilippinesPhone Agent</t>
  </si>
  <si>
    <t>Walmart.com - iQor PhilippinesSupervisor/Team Lead</t>
  </si>
  <si>
    <t>Walmart.com - iQor PhilippinesVaccine Agent</t>
  </si>
  <si>
    <t>Walmart.com - iQor PhilippinesChat Agent</t>
  </si>
  <si>
    <t>Walmart.com - iQor PhilippinesVaccine Supervisor/Team Lead</t>
  </si>
  <si>
    <t>Walmart.com - iQor PhilippinesChat Supervisor/Team Lead</t>
  </si>
  <si>
    <t>Walmart.com - iQor TrinidadVaccine Agent</t>
  </si>
  <si>
    <t>Walmart.com - iQor TrinidadVaccine Supervisor/Team Lead</t>
  </si>
  <si>
    <t>Walmart.com - Concentrix Shaw ManilaPhone Agent</t>
  </si>
  <si>
    <t>Walmart.com - Concentrix Shaw ManilaSupervisor/Team Lead</t>
  </si>
  <si>
    <t>Walmart.com - Qualfon GuyanaPhone Agent</t>
  </si>
  <si>
    <t>Walmart.com - Concentrix BangaloreEmail Agent</t>
  </si>
  <si>
    <t>Walmart.com - Qualfon GuyanaSupervisor/Team Lead</t>
  </si>
  <si>
    <t>Walmart.com - Concentrix BangaloreSupervisor/Team Lead</t>
  </si>
  <si>
    <t>Walmart.com - Concentrix Shaw ManilaEmail Agent</t>
  </si>
  <si>
    <t>Walmart.com - SykesEmail Agent</t>
  </si>
  <si>
    <t>@walmart.com</t>
  </si>
  <si>
    <t>Texas</t>
  </si>
  <si>
    <t>Dallas</t>
  </si>
  <si>
    <t>CRT</t>
  </si>
  <si>
    <t>Walmart.com - Concentrix Shaw ManilaVaccine Agent</t>
  </si>
  <si>
    <t>Walmart.com - Concentrix Shaw ManilaVaccine Supervisor/Team Lead</t>
  </si>
  <si>
    <t>TegucigalpaWalmartVCC@startek.com</t>
  </si>
  <si>
    <t>Tegucigalpa</t>
  </si>
  <si>
    <t>Walmart.com - STARTEK TeguVaccine Agent</t>
  </si>
  <si>
    <t>Walmart.com - STARTEK TeguVaccine Supervisor/Team Lead</t>
  </si>
  <si>
    <t>dotcom.walmart@teleperformance.com</t>
  </si>
  <si>
    <t>Antioquia</t>
  </si>
  <si>
    <t>Bogotá</t>
  </si>
  <si>
    <t>Walmart.com - Teleperformance BogotaPhone Agent</t>
  </si>
  <si>
    <t>Walmart.com - Teleperformance BogotaSupervisor/Team Lead</t>
  </si>
  <si>
    <t>Walmart.com - Teleperformance BogotaVaccine Agent</t>
  </si>
  <si>
    <t>Walmart.com - Teleperformance BogotaVaccine Supervisor/Team Lead</t>
  </si>
  <si>
    <t>Walmart.com - Teleperformance DominicanVaccine Agent</t>
  </si>
  <si>
    <t>Santo Domingo</t>
  </si>
  <si>
    <t>Walmart.com - Teleperformance DominicanVaccine Supervisor/Team Lead</t>
  </si>
  <si>
    <t>Walmart.com - Teleperformance GuatemalaVaccine Agent</t>
  </si>
  <si>
    <t>Walmart.com - Teleperformance GuatemalaVaccine Supervisor/Team Lead</t>
  </si>
  <si>
    <t>Walmart.com - Teleperformance HondurasVaccine Agent</t>
  </si>
  <si>
    <t>Walmart.com - Teleperformance HondurasVaccine Supervisor/Team Lead</t>
  </si>
  <si>
    <t>Walmart.com - Teleperformance MexicoVaccine Agent</t>
  </si>
  <si>
    <t>Mexico City</t>
  </si>
  <si>
    <t>Walmart.com - Teleperformance MexicoVaccine Supervisor/Team Lead</t>
  </si>
  <si>
    <t>Grocery</t>
  </si>
  <si>
    <t>OPD</t>
  </si>
  <si>
    <t>San Salvador</t>
  </si>
  <si>
    <t>Santa Tecla</t>
  </si>
  <si>
    <t>Walmart.com - Teleperformance Chat Agent</t>
  </si>
  <si>
    <t>247.ai Reporting</t>
  </si>
  <si>
    <t>247Intouch Reporting</t>
  </si>
  <si>
    <t>Alorica Reporting</t>
  </si>
  <si>
    <t>Walmart P&amp;D - Ibex PakistanP&amp;D Agent</t>
  </si>
  <si>
    <t>Walmart P&amp;D - Ibex PakistanP&amp;D Supervisor/Team Lead</t>
  </si>
  <si>
    <t>Ibex Reporting</t>
  </si>
  <si>
    <t>STARTEK Reporting</t>
  </si>
  <si>
    <t>TP Reporting</t>
  </si>
  <si>
    <t>Telus Reporting</t>
  </si>
  <si>
    <t>Citrix/Interceptas/CCA ID</t>
  </si>
  <si>
    <t>Password</t>
  </si>
  <si>
    <t>Access Level</t>
  </si>
  <si>
    <t>Soft Token 1</t>
  </si>
  <si>
    <t>Soft Token 2</t>
  </si>
  <si>
    <t>Soft Token 3</t>
  </si>
  <si>
    <t>Row Changed</t>
  </si>
  <si>
    <t>Agent ID</t>
  </si>
  <si>
    <t>Team ID</t>
  </si>
  <si>
    <t>Reports To ID</t>
  </si>
  <si>
    <t>Internal ID</t>
  </si>
  <si>
    <t>Security Profile ID</t>
  </si>
  <si>
    <t>Username</t>
  </si>
  <si>
    <t>Skill ID</t>
  </si>
  <si>
    <t>Notes</t>
  </si>
  <si>
    <t>Chat Refusal Timeout</t>
  </si>
  <si>
    <t>Email Refusal Timeout</t>
  </si>
  <si>
    <t>Phone Call Refusal Timeout</t>
  </si>
  <si>
    <t>SMS Refusal Timeout</t>
  </si>
  <si>
    <t>Voice Mail Refusal Timeout</t>
  </si>
  <si>
    <t>Work Item Refusal Timeout</t>
  </si>
  <si>
    <t>Status</t>
  </si>
  <si>
    <t>Agent Pattern ID</t>
  </si>
  <si>
    <t>Time Zone</t>
  </si>
  <si>
    <t>Hire Date</t>
  </si>
  <si>
    <t>Termination Date</t>
  </si>
  <si>
    <t>Hourly Cost</t>
  </si>
  <si>
    <t>Rehire Status</t>
  </si>
  <si>
    <t>Employment Type</t>
  </si>
  <si>
    <t>Referral</t>
  </si>
  <si>
    <t>At Home Worker</t>
  </si>
  <si>
    <t>Hiring Source</t>
  </si>
  <si>
    <t>NT Login Name</t>
  </si>
  <si>
    <t>Custom 1</t>
  </si>
  <si>
    <t>Custom 2</t>
  </si>
  <si>
    <t>Custom 3</t>
  </si>
  <si>
    <t>Custom 4</t>
  </si>
  <si>
    <t>Custom 5</t>
  </si>
  <si>
    <t>Use Team Concurrent Chats (single channel handling)</t>
  </si>
  <si>
    <t>Concurrent Chats (single channel handling)</t>
  </si>
  <si>
    <t>Auto-parked Emails (single channel handling)</t>
  </si>
  <si>
    <t>Use Team Auto-Parked Email (single channel handling)</t>
  </si>
  <si>
    <t>Request Contacts (Single Channel Handling)</t>
  </si>
  <si>
    <t>Use Team Request Contacts (Single Channel Handling)</t>
  </si>
  <si>
    <t>WFM Schedule Notification Interval</t>
  </si>
  <si>
    <t>Federated Identity</t>
  </si>
  <si>
    <t>User Type</t>
  </si>
  <si>
    <t>Telephone 1</t>
  </si>
  <si>
    <t>Telephone 2</t>
  </si>
  <si>
    <t>Y</t>
  </si>
  <si>
    <t>Active</t>
  </si>
  <si>
    <t>(GMT-06:00) Central Time (US &amp; Canada)</t>
  </si>
  <si>
    <t>Display Name</t>
  </si>
  <si>
    <t>Profile ID</t>
  </si>
  <si>
    <t>Group ID</t>
  </si>
  <si>
    <t>CCA ID</t>
  </si>
  <si>
    <t>VCC ID</t>
  </si>
  <si>
    <t>Walmart Training Start Date</t>
  </si>
  <si>
    <t>1@Password</t>
  </si>
  <si>
    <t xml:space="preserve"> Email</t>
  </si>
  <si>
    <t xml:space="preserve"> Last Name</t>
  </si>
  <si>
    <t xml:space="preserve"> Phone [Optional]</t>
  </si>
  <si>
    <t xml:space="preserve"> Mobile [Optional]</t>
  </si>
  <si>
    <t xml:space="preserve"> Skype [Optional]</t>
  </si>
  <si>
    <t>Job Title</t>
  </si>
  <si>
    <t>Company Name</t>
  </si>
  <si>
    <t>WebSite[Optional]</t>
  </si>
  <si>
    <t>Twitter[Optional]</t>
  </si>
  <si>
    <t>Team1 [Optional]</t>
  </si>
  <si>
    <t>Team2 [Optional]</t>
  </si>
  <si>
    <t>Team3 [Optional]</t>
  </si>
  <si>
    <t>Team4 [Optional]</t>
  </si>
  <si>
    <t>Team5 [Optional]</t>
  </si>
  <si>
    <t>Course1 [Optional]</t>
  </si>
  <si>
    <t>Course2 [Optional]</t>
  </si>
  <si>
    <t>Course3 [Optional]</t>
  </si>
  <si>
    <t>Address1 [Optional]</t>
  </si>
  <si>
    <t>Address2 [Optional]</t>
  </si>
  <si>
    <t>City [Optional]</t>
  </si>
  <si>
    <t>State [Optional]</t>
  </si>
  <si>
    <t>Zip [Optional]</t>
  </si>
  <si>
    <t>Country [Optional]</t>
  </si>
  <si>
    <t>CustomField1 [Optional]</t>
  </si>
  <si>
    <t>CustomField2 [Optional]</t>
  </si>
  <si>
    <t>CustomField3 [Optional]</t>
  </si>
  <si>
    <t>CustomField4 [Optional]</t>
  </si>
  <si>
    <t>CustomField5 [Optional]</t>
  </si>
  <si>
    <t>CustomField6 [Optional]</t>
  </si>
  <si>
    <t>CustomField7 [Optional]</t>
  </si>
  <si>
    <t>CustomField8 [Optional]</t>
  </si>
  <si>
    <t>CustomField9 [Optional]</t>
  </si>
  <si>
    <t>CustomField10 [Optional]</t>
  </si>
  <si>
    <t>Language [Optional]</t>
  </si>
  <si>
    <t>Activate[TRUE/FALSE][Optional]</t>
  </si>
  <si>
    <t>Brand[Optional]</t>
  </si>
  <si>
    <t>LearningPath1 [Optional]</t>
  </si>
  <si>
    <t>LearningPath2 [Optional]</t>
  </si>
  <si>
    <t>LearningPath3 [Optional]</t>
  </si>
  <si>
    <t>Inactive Date[mm/dd/yyyy][Optional]</t>
  </si>
  <si>
    <t>AccessLevel[L/TL/TA][Optional]</t>
  </si>
  <si>
    <t>DateFormat [mm/dd/yyyy or dd/mm/yyyy] [optional]</t>
  </si>
  <si>
    <t>TimeZone [Optional]</t>
  </si>
  <si>
    <t>Manager Username</t>
  </si>
  <si>
    <t xml:space="preserve"> Adv. Custom Field 17 [String/Number/Date/Dropdown]</t>
  </si>
  <si>
    <t xml:space="preserve"> Adv. Custom Field 18 [String/Number/Date/Dropdown]</t>
  </si>
  <si>
    <t xml:space="preserve"> Adv. Custom Field 19 [String/Number/Date/Dropdown]</t>
  </si>
  <si>
    <t xml:space="preserve"> Adv. Custom Field 20 [String/Number/Date/Dropdown]</t>
  </si>
  <si>
    <t xml:space="preserve">  Adv. Custom Field 21 [String/Number/Date/Dropdown]</t>
  </si>
  <si>
    <t xml:space="preserve"> Adv. Custom Field 22 [String/Number/Date/Dropdown]</t>
  </si>
  <si>
    <t xml:space="preserve"> Adv. Custom Field 23 [String/Number/Date/Dropdown]</t>
  </si>
  <si>
    <t xml:space="preserve"> Adv. Custom Field 24 [String/Number/Date/Dropdown]</t>
  </si>
  <si>
    <t xml:space="preserve"> Adv. Custom Field 25 [String/Number/Date/Dropdown]</t>
  </si>
  <si>
    <t>Job Role [Optional]</t>
  </si>
  <si>
    <t>External Employee ID [optional]</t>
  </si>
  <si>
    <t>W@lmart1</t>
  </si>
  <si>
    <t>NEW USER UPLOAD</t>
  </si>
  <si>
    <t>RightNow Username</t>
  </si>
  <si>
    <t>RightNow Password</t>
  </si>
  <si>
    <t>VCC Username</t>
  </si>
  <si>
    <t>Stella Username</t>
  </si>
  <si>
    <t>Stella Password</t>
  </si>
  <si>
    <t>LMS Username</t>
  </si>
  <si>
    <t>LMS PW</t>
  </si>
  <si>
    <t>Walmart2019!</t>
  </si>
  <si>
    <t>VCC</t>
  </si>
  <si>
    <t>Lookup Table</t>
  </si>
  <si>
    <t>Right Now</t>
  </si>
  <si>
    <t>VCC Custom 1 (stella)</t>
  </si>
  <si>
    <t>Manager</t>
  </si>
  <si>
    <t>LOB</t>
  </si>
  <si>
    <t>Role / Job Title</t>
  </si>
  <si>
    <t>Contract Number</t>
  </si>
  <si>
    <t>Mobile Number</t>
  </si>
  <si>
    <t>Rank</t>
  </si>
  <si>
    <t>Invite</t>
  </si>
  <si>
    <t>ACD Login Id</t>
  </si>
  <si>
    <t xml:space="preserve"> Role Name</t>
  </si>
  <si>
    <t>OS Login</t>
  </si>
  <si>
    <t>MFA Secret</t>
  </si>
  <si>
    <t>MFA Time Period</t>
  </si>
  <si>
    <t>External Identity</t>
  </si>
  <si>
    <t>Can Be Coached Or Evaluated</t>
  </si>
  <si>
    <t>Can Be Scheduled</t>
  </si>
  <si>
    <t>Can Be Recorded</t>
  </si>
  <si>
    <t>Can Be Analyzed</t>
  </si>
  <si>
    <t>Team ID / security id</t>
  </si>
  <si>
    <t>247.ai Agent</t>
  </si>
  <si>
    <t>247.ai Supervisor</t>
  </si>
  <si>
    <t>247Intouch Agent</t>
  </si>
  <si>
    <t>247Intouch Supervisor</t>
  </si>
  <si>
    <t>Alorica Agent</t>
  </si>
  <si>
    <t>Alorica Supervisor</t>
  </si>
  <si>
    <t>Ibex Agent</t>
  </si>
  <si>
    <t>Ibex Supervisor</t>
  </si>
  <si>
    <t>iQor Agent</t>
  </si>
  <si>
    <t>iQor Supervisor</t>
  </si>
  <si>
    <t>STARTEK Agent</t>
  </si>
  <si>
    <t>STARTEK Supervisor</t>
  </si>
  <si>
    <t>TP Agent</t>
  </si>
  <si>
    <t>TP Supervisor</t>
  </si>
  <si>
    <t>Telus Agent</t>
  </si>
  <si>
    <t>Telus Supervisor</t>
  </si>
  <si>
    <t>CRT Agent</t>
  </si>
  <si>
    <t>CRT Team Lead</t>
  </si>
  <si>
    <t>Login Authenticator ID</t>
  </si>
  <si>
    <t>Photo</t>
  </si>
  <si>
    <t>Photo Team Lead</t>
  </si>
  <si>
    <t>Photo Spvsr</t>
  </si>
  <si>
    <t>CRT Supervisor</t>
  </si>
  <si>
    <t>Channel</t>
  </si>
  <si>
    <t>Learning Queues</t>
  </si>
  <si>
    <t>Dispatcher_1</t>
  </si>
  <si>
    <t>Dispatcher_2</t>
  </si>
  <si>
    <t>Dispatcher_3</t>
  </si>
  <si>
    <t>Dispatcher_4</t>
  </si>
  <si>
    <t>Dispatcher_5</t>
  </si>
  <si>
    <t>WMAllOPS@24-7intouch.com</t>
  </si>
  <si>
    <t>TP COL BOG Spvsr</t>
  </si>
  <si>
    <t>@walmart.us</t>
  </si>
  <si>
    <t>Store Support</t>
  </si>
  <si>
    <t>Customer Support</t>
  </si>
  <si>
    <t>Email address</t>
  </si>
  <si>
    <t>Custom employee ID</t>
  </si>
  <si>
    <t>License type</t>
  </si>
  <si>
    <t>Last name</t>
  </si>
  <si>
    <t>First name</t>
  </si>
  <si>
    <t>Hometown</t>
  </si>
  <si>
    <t>State/country</t>
  </si>
  <si>
    <t>Profile/bio</t>
  </si>
  <si>
    <t>Phone channel enabled</t>
  </si>
  <si>
    <t>Chat channel enabled</t>
  </si>
  <si>
    <t>Email channel enabled</t>
  </si>
  <si>
    <t>Team leader identifier</t>
  </si>
  <si>
    <t>Employment status</t>
  </si>
  <si>
    <t>Start Date</t>
  </si>
  <si>
    <t>Temporary Password</t>
  </si>
  <si>
    <t>standard</t>
  </si>
  <si>
    <t>(optional)</t>
  </si>
  <si>
    <t>y</t>
  </si>
  <si>
    <t>full-time</t>
  </si>
  <si>
    <t>Manager First Name</t>
  </si>
  <si>
    <t>Manager Last Name</t>
  </si>
  <si>
    <t>Manager Network ID</t>
  </si>
  <si>
    <t>Right Now Manager</t>
  </si>
  <si>
    <t>Vendor 24x7</t>
  </si>
  <si>
    <t>Walmart@2</t>
  </si>
  <si>
    <t>WMCC 24-7 BOG Supe</t>
  </si>
  <si>
    <t>WMCC TP Supe</t>
  </si>
  <si>
    <t>Bogota</t>
  </si>
  <si>
    <t>sparkops@24-7intouch.com</t>
  </si>
  <si>
    <t>WMCC 24-7 BOG</t>
  </si>
  <si>
    <t>Eligible</t>
  </si>
  <si>
    <t>VCC User Type</t>
  </si>
  <si>
    <t>GM 247.ai MNL Nest</t>
  </si>
  <si>
    <t>GM 247.ai MNL Spvsr</t>
  </si>
  <si>
    <t>GM 247.ai MNL Support</t>
  </si>
  <si>
    <t>247.ai</t>
  </si>
  <si>
    <t>GM Ibex JAM Nest</t>
  </si>
  <si>
    <t>GM Ibex JAM Spvsr</t>
  </si>
  <si>
    <t>Country Code</t>
  </si>
  <si>
    <t>City Code</t>
  </si>
  <si>
    <t>Sub-Line of Business</t>
  </si>
  <si>
    <t>Customer Resolutions Team (CRT)</t>
  </si>
  <si>
    <t>Delivery Support</t>
  </si>
  <si>
    <t>Tier 2</t>
  </si>
  <si>
    <t>Customer Care</t>
  </si>
  <si>
    <t>Company</t>
  </si>
  <si>
    <t>24-7Intouch</t>
  </si>
  <si>
    <t xml:space="preserve">Telus </t>
  </si>
  <si>
    <t>PHL</t>
  </si>
  <si>
    <t>COL</t>
  </si>
  <si>
    <t>IND</t>
  </si>
  <si>
    <t>PAK</t>
  </si>
  <si>
    <t>JAM</t>
  </si>
  <si>
    <t>USA</t>
  </si>
  <si>
    <t>HND</t>
  </si>
  <si>
    <t>DMR</t>
  </si>
  <si>
    <t>SLV</t>
  </si>
  <si>
    <t>GTM</t>
  </si>
  <si>
    <t>MAN</t>
  </si>
  <si>
    <t>BOG</t>
  </si>
  <si>
    <t>HYD</t>
  </si>
  <si>
    <t>BLR</t>
  </si>
  <si>
    <t>KAR</t>
  </si>
  <si>
    <t>KNG</t>
  </si>
  <si>
    <t>TGU</t>
  </si>
  <si>
    <t>SDO</t>
  </si>
  <si>
    <t>SNS</t>
  </si>
  <si>
    <t>Action</t>
  </si>
  <si>
    <t>Transfer</t>
  </si>
  <si>
    <t>Rehire</t>
  </si>
  <si>
    <t>Program</t>
  </si>
  <si>
    <t>Partner</t>
  </si>
  <si>
    <t>Location/Site</t>
  </si>
  <si>
    <t>Customer Relations / Private Brands</t>
  </si>
  <si>
    <t>Spark Driver</t>
  </si>
  <si>
    <t>Phone</t>
  </si>
  <si>
    <t>Backoffice</t>
  </si>
  <si>
    <t>Kingston</t>
  </si>
  <si>
    <t>Santa Domingo</t>
  </si>
  <si>
    <t>WFH</t>
  </si>
  <si>
    <t>LMS Role/Title</t>
  </si>
  <si>
    <t>LMS Country Code</t>
  </si>
  <si>
    <t>LMS City Code</t>
  </si>
  <si>
    <t>LMS Sub LOB</t>
  </si>
  <si>
    <t>LMS Voice</t>
  </si>
  <si>
    <t>LMS Chat</t>
  </si>
  <si>
    <t>LMS Email</t>
  </si>
  <si>
    <t>LMS Backoffice</t>
  </si>
  <si>
    <t>LMS Social</t>
  </si>
  <si>
    <t>Social Media</t>
  </si>
  <si>
    <t>Parnter</t>
  </si>
  <si>
    <t>LMSLearning Queues</t>
  </si>
  <si>
    <t>CCA</t>
  </si>
  <si>
    <t>Litmos</t>
  </si>
  <si>
    <t>Stella</t>
  </si>
  <si>
    <t># of Accounts on Roster</t>
  </si>
  <si>
    <t>Trainer's First and Last Name</t>
  </si>
  <si>
    <t>Dispatcher</t>
  </si>
  <si>
    <t>VCC Vaccine</t>
  </si>
  <si>
    <t>VCC eComm</t>
  </si>
  <si>
    <t>VCC Stores</t>
  </si>
  <si>
    <t>RNT-eComm</t>
  </si>
  <si>
    <t>RNT- SparkDriver</t>
  </si>
  <si>
    <t>RNT-Store Customer RelationsPB</t>
  </si>
  <si>
    <t>Any Discrepancies in numbers means you need to open a Jira with Opex so we can identify the root cause of the issue ie: if you cannot create an account in a system would result in a Jira ticket.</t>
  </si>
  <si>
    <t>Place an X in the box to represent creating or making change in proposed system</t>
  </si>
  <si>
    <t>https://jira.walmart.com/servicedesk/customer/portal/5144/create/11466</t>
  </si>
  <si>
    <t>INSERT Jira Ref # HERE</t>
  </si>
  <si>
    <t>LMS Trainer/Facilatator</t>
  </si>
  <si>
    <t>TBD</t>
  </si>
  <si>
    <t>Lahore</t>
  </si>
  <si>
    <t>Ibex_PAK_LAH_Chat_Nest</t>
  </si>
  <si>
    <t>walmartpkmgmt@ibex.co</t>
  </si>
  <si>
    <t>Ibex_PAK_LAH_Email_Nest</t>
  </si>
  <si>
    <t>Ibex_PAK_LAH_Chat_Spvsr</t>
  </si>
  <si>
    <t>LHR</t>
  </si>
  <si>
    <t>N/A</t>
  </si>
  <si>
    <t xml:space="preserve"> Adv. Custom Field 1 [Hire Date]</t>
  </si>
  <si>
    <t xml:space="preserve"> Adv. Custom Field 2 [Last Modified]</t>
  </si>
  <si>
    <t xml:space="preserve"> Adv. Custom Field 3 [Updated by]</t>
  </si>
  <si>
    <t xml:space="preserve"> Adv. Custom Field 4 [Facilitator]</t>
  </si>
  <si>
    <t xml:space="preserve"> Adv. Custom Field 5 [City Code]</t>
  </si>
  <si>
    <t xml:space="preserve"> Adv. Custom Field 6 [County Codes]</t>
  </si>
  <si>
    <t xml:space="preserve"> Adv. Custom Field 7 [LOB]</t>
  </si>
  <si>
    <t xml:space="preserve"> Adv. Custom Field 8 [Sub LOB]</t>
  </si>
  <si>
    <t xml:space="preserve"> Adv. Custom Field 9 [Queue]</t>
  </si>
  <si>
    <t xml:space="preserve"> Adv. Custom Field 10 [Channel (Voice)]</t>
  </si>
  <si>
    <t xml:space="preserve">  Adv. Custom Field 11 [Channel (Chat)]</t>
  </si>
  <si>
    <t xml:space="preserve"> Adv. Custom Field 12 [Channel (Email)]</t>
  </si>
  <si>
    <t xml:space="preserve"> Adv. Custom Field 13 [Channel (Social Media)]</t>
  </si>
  <si>
    <t xml:space="preserve"> Adv. Custom Field 14 [Channel (Backoffice)]</t>
  </si>
  <si>
    <t xml:space="preserve"> Adv. Custom Field 15 [Spanish]</t>
  </si>
  <si>
    <t xml:space="preserve"> Adv. Custom Field 16 [Company]</t>
  </si>
  <si>
    <t>ID</t>
  </si>
  <si>
    <t>Add or Remove</t>
  </si>
  <si>
    <t>Access Type</t>
  </si>
  <si>
    <t>Add</t>
  </si>
  <si>
    <t>CCA Agent</t>
  </si>
  <si>
    <t>Ibex_PAK_KAR_Support</t>
  </si>
  <si>
    <t>Ibex_PAK_LAH_Chat_Support</t>
  </si>
  <si>
    <t>STARTEK_HND_TGU_Support</t>
  </si>
  <si>
    <t>STARTEK_HND_TGU_Nest</t>
  </si>
  <si>
    <t>STARTEK_HND_TGU_Spvsr</t>
  </si>
  <si>
    <t>TP_COL_BOG_Spvsr</t>
  </si>
  <si>
    <t>TP_COL_BOG_Support</t>
  </si>
  <si>
    <t>Telus_SLV_SNS_Support</t>
  </si>
  <si>
    <t>247.ai_GTM_GUA_Support</t>
  </si>
  <si>
    <t>24-7Intouch_GTM_GUA_Support</t>
  </si>
  <si>
    <t>24-7Intouch_IND_HYD_Support</t>
  </si>
  <si>
    <t>Alorica_GTM_GUA_Support</t>
  </si>
  <si>
    <t>Alorica_IND_BLR_Support</t>
  </si>
  <si>
    <t>Alorica_IND_BLR_Nest</t>
  </si>
  <si>
    <t>Alorica_IND_BLR_Spvsr</t>
  </si>
  <si>
    <t>Alorica_GTM_GUA_Nest</t>
  </si>
  <si>
    <t>Alorica_GTM_GUA_Spvsr</t>
  </si>
  <si>
    <t>247.ai_GTM_GUA_Nest</t>
  </si>
  <si>
    <t>247.ai_GTM_GUA_Spvsr</t>
  </si>
  <si>
    <t>24-7Intouch_GTM_GUA_Spvsr</t>
  </si>
  <si>
    <t>24-7Intouch_IND_HYD_Nest</t>
  </si>
  <si>
    <t>24-7Intouch_IND_HYD_Spvsr</t>
  </si>
  <si>
    <t>Ibex_PAK_KAR_Spvsr</t>
  </si>
  <si>
    <t>iQor_PHL_ILO_Nest</t>
  </si>
  <si>
    <t>iQor_PHL_ILO_Spvsr</t>
  </si>
  <si>
    <t>iQor_PHL_ILO_Support</t>
  </si>
  <si>
    <t>Davao</t>
  </si>
  <si>
    <t>iQor_PHL_DVO_Spvsr</t>
  </si>
  <si>
    <t>iQor_PHL_DVO_Support</t>
  </si>
  <si>
    <t>iQor Reporting</t>
  </si>
  <si>
    <t>WMT.WalmartCommunication@iqor.com</t>
  </si>
  <si>
    <t>DVO</t>
  </si>
  <si>
    <t>Version</t>
  </si>
  <si>
    <t>Current</t>
  </si>
  <si>
    <t>ties_wm_gro_wfm@telusinternational.com</t>
  </si>
  <si>
    <t>Alorica_PHL_MAN_Nest</t>
  </si>
  <si>
    <t>Alorica_PHL_MAN_Spvsr</t>
  </si>
  <si>
    <t>Alorica_PHL_MAN_Support</t>
  </si>
  <si>
    <t>Ibex_PHL_MAN_Spvsr</t>
  </si>
  <si>
    <t>Ibex_PHL_MAN_Support</t>
  </si>
  <si>
    <t>TELUS_SLV_SNS_Nest</t>
  </si>
  <si>
    <t>Ibex_PHL_MAN_Nest</t>
  </si>
  <si>
    <t>Telus_SLV_SNS_Spvsr</t>
  </si>
  <si>
    <t>Photo Chat</t>
  </si>
  <si>
    <t>Merchants</t>
  </si>
  <si>
    <t>Cape Town</t>
  </si>
  <si>
    <t>Merchants_ZAF_CPT_Spvsr</t>
  </si>
  <si>
    <t>Merchants_ZAF_CPT_Support</t>
  </si>
  <si>
    <t>Merchants Agent</t>
  </si>
  <si>
    <t>Merchants Reporting</t>
  </si>
  <si>
    <t>WalmartWFM@merchantscx.com</t>
  </si>
  <si>
    <t>South Africa</t>
  </si>
  <si>
    <t>ZAF</t>
  </si>
  <si>
    <t>CPT</t>
  </si>
  <si>
    <t>iTel</t>
  </si>
  <si>
    <t>San Pedro Sula</t>
  </si>
  <si>
    <t>SAP</t>
  </si>
  <si>
    <t>@wmt50.com</t>
  </si>
  <si>
    <t>iTel_JAM_KNG_Spvsr</t>
  </si>
  <si>
    <t>iTel_HND_SAP_Spvsr</t>
  </si>
  <si>
    <t>iTel_HND_SAP_Support</t>
  </si>
  <si>
    <t>iTel_JAM_KNG_Support</t>
  </si>
  <si>
    <t>Merchants Spvsr</t>
  </si>
  <si>
    <t>iTel Spvsr</t>
  </si>
  <si>
    <t>iTel Agent</t>
  </si>
  <si>
    <t>iTel Reporting</t>
  </si>
  <si>
    <t>Merchants_ZAF_CPT_Voice_Nest</t>
  </si>
  <si>
    <t>iTel_JAM_KNG_Voice_Nest</t>
  </si>
  <si>
    <t>iTel_HND_SAP_Voice_Nest</t>
  </si>
  <si>
    <t>Transcom</t>
  </si>
  <si>
    <t>Transcom_COL_BOG_Voice_Nest</t>
  </si>
  <si>
    <t>Transcom Agent</t>
  </si>
  <si>
    <t>WalmartOps.Colombia@transcom.com</t>
  </si>
  <si>
    <t>Transcom_COL_BOG_Support</t>
  </si>
  <si>
    <t>Transcom Reporting</t>
  </si>
  <si>
    <t>Transcom_COL_BOG_Spvsr</t>
  </si>
  <si>
    <t>Transcom Spvsr</t>
  </si>
  <si>
    <t>Walmart_Ops-JM@itelinternational.com</t>
  </si>
  <si>
    <t>Walmart_Ops-HN@itelinternational.com</t>
  </si>
  <si>
    <t>247.ai_IND_BLR_Chat_Nest</t>
  </si>
  <si>
    <t>walmart-opsblr@247.ai</t>
  </si>
  <si>
    <t>247.ai_IND_BLR_Support</t>
  </si>
  <si>
    <t>247.ai_IND_BLR_Spvsr</t>
  </si>
  <si>
    <t>Medellin</t>
  </si>
  <si>
    <t>247.ai_COL_MDE_Voice_Nest</t>
  </si>
  <si>
    <t>Leadershipwalmartcol@247.ai</t>
  </si>
  <si>
    <t>MDE</t>
  </si>
  <si>
    <t>247.ai_COL_MDE_Chat_Nest</t>
  </si>
  <si>
    <t>247.ai_COL_MDE_Support</t>
  </si>
  <si>
    <t>247.ai_COL_MDE_Spvsr</t>
  </si>
  <si>
    <t>TP_DOM_SDQ_Chat_Nest</t>
  </si>
  <si>
    <t>DOM</t>
  </si>
  <si>
    <t>SDQ</t>
  </si>
  <si>
    <t>TP_DOM_SDQ_Support</t>
  </si>
  <si>
    <t>TP_DOM_SDQ_Spvsr</t>
  </si>
  <si>
    <t>WMCC TP CR Nesting</t>
  </si>
  <si>
    <t>WMCC TP CR Sup</t>
  </si>
  <si>
    <t>Lima</t>
  </si>
  <si>
    <t>Customer Relations / Private BrandsTeleperformanceLimaPhoneAgent</t>
  </si>
  <si>
    <t>WMCC TP Agent</t>
  </si>
  <si>
    <t>Peru</t>
  </si>
  <si>
    <t>PER</t>
  </si>
  <si>
    <t>LIM</t>
  </si>
  <si>
    <t>Customer Relations / Private BrandsTeleperformanceLimaBackofficeSupervisor/Team Lead</t>
  </si>
  <si>
    <t>247.ai_GTM_GUA_Voice_Nest</t>
  </si>
  <si>
    <t>247.ai_GTM_GUA_Chat_Nest</t>
  </si>
  <si>
    <t>247.ai_PHL_MAN_Voice_Nest</t>
  </si>
  <si>
    <t>24-7Intouch_GTM_GUA_Voice_Nest</t>
  </si>
  <si>
    <t>24-7Intouch_GTM_GUA_Chat_Nest</t>
  </si>
  <si>
    <t>24-7Intouch_IND_HYD_Chat_Nest</t>
  </si>
  <si>
    <t>Alorica_GTM_GUA_Chat_Nest</t>
  </si>
  <si>
    <t>Alorica_IND_BLR_Chat_Nest</t>
  </si>
  <si>
    <t>Alorica_IND_BLR_Email_Nest</t>
  </si>
  <si>
    <t>Alorica_PHL_MAN_Voice_Nest</t>
  </si>
  <si>
    <t>Ibex_PAK_KAR_Voice_Nest</t>
  </si>
  <si>
    <t>Ibex_PAK_KAR_Chat_Nest</t>
  </si>
  <si>
    <t>Ibex_PAK_KAR_Email_Nest</t>
  </si>
  <si>
    <t>Ibex_PHL_MAN_Voice_Nest</t>
  </si>
  <si>
    <t>Ibex_PHL_MAN_Chat_Nest</t>
  </si>
  <si>
    <t>iQor_PHL_ILO_Voice_Nest</t>
  </si>
  <si>
    <t>iQor_PHL_ILO_Chat_Nest</t>
  </si>
  <si>
    <t>iQor_PHL_DVO_Voice_Nest</t>
  </si>
  <si>
    <t>STARTEK_HND_TGU_Voice_Nest</t>
  </si>
  <si>
    <t>Telus_SLV_SNS_Voice_Nest</t>
  </si>
  <si>
    <t>TP_COL_BOG_Voice_Nest</t>
  </si>
  <si>
    <t>TP_COL_BOG_Chat_Nest</t>
  </si>
  <si>
    <t>TP_COL_BOG_Email_Nest</t>
  </si>
  <si>
    <t>STARTEK_HND_SAP_Voice_Nest</t>
  </si>
  <si>
    <t>sanpedrosulawalmartoperations@startek.com</t>
  </si>
  <si>
    <t>STARTEK_HND_SAP_Support</t>
  </si>
  <si>
    <t>STARTEK_HND_SAP_Spvsr</t>
  </si>
  <si>
    <t>Agent Phone Timeout</t>
  </si>
  <si>
    <t>Hyderabad</t>
  </si>
  <si>
    <t>ProjectCureOperations@ibex.co</t>
  </si>
  <si>
    <t>Customer Relations / Private BrandsStartekTegucigalpaBackofficeSupervisor/Team Lead</t>
  </si>
  <si>
    <t>WMCC StarTek Sup</t>
  </si>
  <si>
    <t>Customer Relations / Private BrandsStartekTegucigalpaPhoneAgent</t>
  </si>
  <si>
    <t>WMCC StarTek Nesting</t>
  </si>
  <si>
    <t>TegucigalpaWalmartCRPBOperations@startek.com</t>
  </si>
  <si>
    <t>VaccineiQorIloiloBackofficeSupervisor/Team Lead</t>
  </si>
  <si>
    <t>VaccineiQorIloiloPhoneAgent</t>
  </si>
  <si>
    <t>Customer Relations / Private BrandsTeleperformanceBogotaBackofficeSupervisor/Team Lead</t>
  </si>
  <si>
    <t>Customer Relations / Private BrandsTeleperformanceBogotaPhoneAgent</t>
  </si>
  <si>
    <t>Spark DriverTeleperformanceBogotaBackofficeSupervisor/Team Lead</t>
  </si>
  <si>
    <t>Spark DriverTeleperformanceBogotaPhoneAgent</t>
  </si>
  <si>
    <t>VaccineTeleperformanceBogotaBackofficeSupervisor/Team Lead</t>
  </si>
  <si>
    <t>VaccineTeleperformanceBogotaPhoneAgent</t>
  </si>
  <si>
    <t>VaccineTeleperformanceSanta DomingoBackofficeSupervisor/Team Lead</t>
  </si>
  <si>
    <t>VaccineTeleperformanceSanta DomingoPhoneAgent</t>
  </si>
  <si>
    <t>PhotoWalmartWFHBackofficeSupervisor/Team Lead</t>
  </si>
  <si>
    <t>PhotoWalmartWFHPhoneAgent</t>
  </si>
  <si>
    <t>Customer Relations / Private Brands24-7 IntouchBogotaBackofficeSupervisor/Team Lead</t>
  </si>
  <si>
    <t>Customer Relations / Private Brands24-7 IntouchBogotaPhoneAgent</t>
  </si>
  <si>
    <t>Spark Driver24-7 IntouchBogotaBackofficeSupervisor/Team Lead</t>
  </si>
  <si>
    <t>Spark Driver24-7 IntouchBogotaPhoneAgent</t>
  </si>
  <si>
    <t>Vaccine247.aiGuatemala CityBackofficeSupervisor/Team Lead</t>
  </si>
  <si>
    <t>Vaccine247.aiGuatemala CityPhoneAgent</t>
  </si>
  <si>
    <t>Vaccine247.aiManilaBackofficeSupervisor/Team Lead</t>
  </si>
  <si>
    <t>Vaccine247.aiManilaPhoneAgent</t>
  </si>
  <si>
    <t>VaccineIbexKingstonBackofficeSupervisor/Team Lead</t>
  </si>
  <si>
    <t>VaccineIbexKingstonPhoneAgent</t>
  </si>
  <si>
    <t>1. Company</t>
  </si>
  <si>
    <t>2. Location/Site</t>
  </si>
  <si>
    <t>3. Program</t>
  </si>
  <si>
    <t>4. Access</t>
  </si>
  <si>
    <t>5. Channel</t>
  </si>
  <si>
    <t>iQor_PHL_DVO_Chat_Nest</t>
  </si>
  <si>
    <t>Ibex_PAK_LAH_Support</t>
  </si>
  <si>
    <t>Ibex_PAK_LAH_Spvsr</t>
  </si>
  <si>
    <t>Ibex_PAK_LAH_Voice_Nest</t>
  </si>
  <si>
    <t>WMCOM</t>
  </si>
  <si>
    <t>WMCOM24-7 IntouchGuatemala CityBackofficeReporting</t>
  </si>
  <si>
    <t>WMCOM24-7 IntouchGuatemala CityBackofficeSupervisor/Team Lead</t>
  </si>
  <si>
    <t>WMCOM24-7 IntouchGuatemala CityChatAgent</t>
  </si>
  <si>
    <t>WMCOM24-7 IntouchGuatemala CityPhoneAgent</t>
  </si>
  <si>
    <t>WMCOM24-7 IntouchHyderabadBackofficeReporting</t>
  </si>
  <si>
    <t>WMCOM24-7 IntouchHyderabadBackofficeSupervisor/Team Lead</t>
  </si>
  <si>
    <t>WMCOM24-7 IntouchHyderabadChatAgent</t>
  </si>
  <si>
    <t>WMCOM24-7 IntouchHyderabadEmailAgent</t>
  </si>
  <si>
    <t>WMCOM24-7 IntouchHyderabadPhoneAgent</t>
  </si>
  <si>
    <t>WMCOM247.aiGuatemala CityBackofficeReporting</t>
  </si>
  <si>
    <t>WMCOM247.aiGuatemala CityBackofficeSupervisor/Team Lead</t>
  </si>
  <si>
    <t>WMCOM247.aiGuatemala CityChatAgent</t>
  </si>
  <si>
    <t>WMCOM247.aiGuatemala CityEmailAgent</t>
  </si>
  <si>
    <t>WMCOM247.aiGuatemala CityPhoneAgent</t>
  </si>
  <si>
    <t>WMCOM247.aiManilaBackofficeReporting</t>
  </si>
  <si>
    <t>WMCOM247.aiManilaBackofficeSupervisor/Team Lead</t>
  </si>
  <si>
    <t>WMCOM247.aiManilaChatAgent</t>
  </si>
  <si>
    <t>WMCOM247.aiManilaEmailAgent</t>
  </si>
  <si>
    <t>WMCOM247.aiManilaPhoneAgent</t>
  </si>
  <si>
    <t>WMCOMAloricaBangaloreBackofficeReporting</t>
  </si>
  <si>
    <t>WMCOMAloricaBangaloreBackofficeSupervisor/Team Lead</t>
  </si>
  <si>
    <t>WMCOMAloricaBangaloreChatAgent</t>
  </si>
  <si>
    <t>WMCOMAloricaBangaloreEmailAgent</t>
  </si>
  <si>
    <t>WMCOMAloricaBangalorePhoneAgent</t>
  </si>
  <si>
    <t>WMCOMAloricaGuatemala CityBackofficeReporting</t>
  </si>
  <si>
    <t>WMCOMAloricaGuatemala CityBackofficeSupervisor/Team Lead</t>
  </si>
  <si>
    <t>WMCOMAloricaGuatemala CityChatAgent</t>
  </si>
  <si>
    <t>WMCOMAloricaGuatemala CityEmailAgent</t>
  </si>
  <si>
    <t>WMCOMAloricaGuatemala CityPhoneAgent</t>
  </si>
  <si>
    <t>WMCOMAloricaManilaBackofficeReporting</t>
  </si>
  <si>
    <t>WMCOMAloricaManilaBackofficeSupervisor/Team Lead</t>
  </si>
  <si>
    <t>WMCOMAloricaManilaChatAgent</t>
  </si>
  <si>
    <t>WMCOMAloricaManilaEmailAgent</t>
  </si>
  <si>
    <t>WMCOMAloricaManilaPhoneAgent</t>
  </si>
  <si>
    <t>WMCOMIbexKarachiBackofficeReporting</t>
  </si>
  <si>
    <t>WMCOMIbexKarachiBackofficeSupervisor/Team Lead</t>
  </si>
  <si>
    <t>WMCOMIbexKarachiChatAgent</t>
  </si>
  <si>
    <t>WMCOMIbexKarachiEmailAgent</t>
  </si>
  <si>
    <t>WMCOMIbexKarachiPhoneAgent</t>
  </si>
  <si>
    <t>WMCOMIbexKingstonBackofficeSupervisor/Team Lead</t>
  </si>
  <si>
    <t>WMCOMIbexKingstonChatAgent</t>
  </si>
  <si>
    <t>WMCOMIbexKingstonEmailAgent</t>
  </si>
  <si>
    <t>WMCOMIbexKingstonPhoneAgent</t>
  </si>
  <si>
    <t>WMCOMIbexLahoreBackofficeReporting</t>
  </si>
  <si>
    <t>WMCOMIbexLahoreBackofficeSupervisor/Team Lead</t>
  </si>
  <si>
    <t>WMCOMIbexLahoreChatAgent</t>
  </si>
  <si>
    <t>WMCOMIbexLahoreEmailAgent</t>
  </si>
  <si>
    <t>WMCOMIbexLahorePhoneAgent</t>
  </si>
  <si>
    <t>WMCOMIbexManilaBackofficeReporting</t>
  </si>
  <si>
    <t>WMCOMIbexManilaBackofficeSupervisor/Team Lead</t>
  </si>
  <si>
    <t>WMCOMIbexManilaChatAgent</t>
  </si>
  <si>
    <t>WMCOMIbexManilaEmailAgent</t>
  </si>
  <si>
    <t>WMCOMIbexManilaPhoneAgent</t>
  </si>
  <si>
    <t>WMCOMiQorDavaoBackofficeReporting</t>
  </si>
  <si>
    <t>WMCOMiQorDavaoBackofficeSupervisor/Team Lead</t>
  </si>
  <si>
    <t>WMCOMiQorDavaoPhoneAgent</t>
  </si>
  <si>
    <t>WMCOMiQorDavaoChatAgent</t>
  </si>
  <si>
    <t>WMCOMiQorIloiloBackofficeReporting</t>
  </si>
  <si>
    <t>WMCOMiQorIloiloBackofficeSupervisor/Team Lead</t>
  </si>
  <si>
    <t>WMCOMiQorIloiloChatAgent</t>
  </si>
  <si>
    <t>WMCOMiQorIloiloEmailAgent</t>
  </si>
  <si>
    <t>WMCOMiQorIloiloPhoneAgent</t>
  </si>
  <si>
    <t>WMCOMiTelSan Pedro SulaBackofficeReporting</t>
  </si>
  <si>
    <t>WMCOMiTelSan Pedro SulaBackofficeSupervisor/Team Lead</t>
  </si>
  <si>
    <t>WMCOMiTelSan Pedro SulaPhoneAgent</t>
  </si>
  <si>
    <t>WMCOMMerchantsCape TownBackofficeReporting</t>
  </si>
  <si>
    <t>WMCOMMerchantsCape TownBackofficeSupervisor/Team Lead</t>
  </si>
  <si>
    <t>WMCOMMerchantsCape TownPhoneAgent</t>
  </si>
  <si>
    <t>WMCOMStartekTegucigalpaBackofficeReporting</t>
  </si>
  <si>
    <t>WMCOMStartekTegucigalpaBackofficeSupervisor/Team Lead</t>
  </si>
  <si>
    <t>WMCOMStartekTegucigalpaChatAgent</t>
  </si>
  <si>
    <t>WMCOMStartekTegucigalpaEmailAgent</t>
  </si>
  <si>
    <t>WMCOMStartekTegucigalpaPhoneAgent</t>
  </si>
  <si>
    <t>WMCOMTeleperformanceBogotaBackofficeReporting</t>
  </si>
  <si>
    <t>WMCOMTeleperformanceBogotaBackofficeSupervisor/Team Lead</t>
  </si>
  <si>
    <t>WMCOMTeleperformanceBogotaChatAgent</t>
  </si>
  <si>
    <t>WMCOMTeleperformanceBogotaEmailAgent</t>
  </si>
  <si>
    <t>WMCOMTeleperformanceBogotaPhoneAgent</t>
  </si>
  <si>
    <t>WMCOMTelusSan SalvadorBackofficeReporting</t>
  </si>
  <si>
    <t>WMCOMTelusSan SalvadorBackofficeSupervisor/Team Lead</t>
  </si>
  <si>
    <t>WMCOMTelusSan SalvadorChatAgent</t>
  </si>
  <si>
    <t>WMCOMTelusSan SalvadorEmailAgent</t>
  </si>
  <si>
    <t>WMCOMTelusSan SalvadorPhoneAgent</t>
  </si>
  <si>
    <t>WMCOMWalmartWFHBackofficeSupervisor/Team Lead</t>
  </si>
  <si>
    <t>WMCOMWalmartWFHPhoneAgent</t>
  </si>
  <si>
    <t>WMCOMWalmartWFHBackofficeReporting</t>
  </si>
  <si>
    <t>WMCOM247.aiBangaloreChatAgent</t>
  </si>
  <si>
    <t>WMCOM247.aiBangaloreBackofficeReporting</t>
  </si>
  <si>
    <t>WMCOM247.aiBangaloreBackofficeSupervisor/Team Lead</t>
  </si>
  <si>
    <t>WMCOM247.aiMedellinPhoneAgent</t>
  </si>
  <si>
    <t>WMCOM247.aiMedellinChatAgent</t>
  </si>
  <si>
    <t>WMCOM247.aiMedellinBackofficeReporting</t>
  </si>
  <si>
    <t>WMCOM247.aiMedellinBackofficeSupervisor/Team Lead</t>
  </si>
  <si>
    <t>WMCOMStartekSan Pedro SulaPhoneAgent</t>
  </si>
  <si>
    <t>WMCOMStartekSan Pedro SulaBackofficeReporting</t>
  </si>
  <si>
    <t>WMCOMStartekSan Pedro SulaBackofficeSupervisor/Team Lead</t>
  </si>
  <si>
    <t>WMCOMTeleperformanceSanto DomingoChatAgent</t>
  </si>
  <si>
    <t>WMCOMTeleperformanceSanto DomingoBackofficeReporting</t>
  </si>
  <si>
    <t>WMCOMTeleperformanceSanto DomingoBackofficeSupervisor/Team Lead</t>
  </si>
  <si>
    <t>WMCOMTranscomBogotaPhoneAgent</t>
  </si>
  <si>
    <t>WMCOMTranscomBogotaBackofficeReporting</t>
  </si>
  <si>
    <t>WMCOMTranscomBogotaBackofficeSupervisor/Team Lead</t>
  </si>
  <si>
    <t>PHL_PPA</t>
  </si>
  <si>
    <t>PHL_QZT</t>
  </si>
  <si>
    <t>walmartPQTMs@ibex.co</t>
  </si>
  <si>
    <t>Ibex_PHL_PPA_Chat_Nest</t>
  </si>
  <si>
    <t>Ibex_PHL_PPA_Spvsr</t>
  </si>
  <si>
    <t>Ibex_PHL_PPA_Support</t>
  </si>
  <si>
    <t>Paranaque</t>
  </si>
  <si>
    <t>PPA</t>
  </si>
  <si>
    <t>iQor_PHL_QZT_Voice_Nest</t>
  </si>
  <si>
    <t>iQor_PHL_QZT_Spvsr</t>
  </si>
  <si>
    <t>iQor_PHL_QZT_Support</t>
  </si>
  <si>
    <t>QZT</t>
  </si>
  <si>
    <t>Quezon City</t>
  </si>
  <si>
    <t>JAM_MBJ</t>
  </si>
  <si>
    <t>WMCC 24-7Intouch_JAM_MBJ Agent</t>
  </si>
  <si>
    <t>WMCC 24-7Intouch_JAM_MBJ Supe</t>
  </si>
  <si>
    <t>WMCC 24-7Intouch_JAM_MBJ Nesti</t>
  </si>
  <si>
    <t>WMCC 24-7Intouch_JAM_MBJ Sup</t>
  </si>
  <si>
    <t>Montego Bay</t>
  </si>
  <si>
    <t>St. James</t>
  </si>
  <si>
    <t>MBJ</t>
  </si>
  <si>
    <t>IND_DEL</t>
  </si>
  <si>
    <t>iQor_IND_DEL_Chat_Nest</t>
  </si>
  <si>
    <t>iQor_IND_DEL_Chat_Spvsr</t>
  </si>
  <si>
    <t>iQor_IND_DEL_Chat_Support</t>
  </si>
  <si>
    <t>iQor.WMTWFM@iqor.com</t>
  </si>
  <si>
    <t>Noidia, Uttar Pradesh</t>
  </si>
  <si>
    <t>DEL</t>
  </si>
  <si>
    <t>PHL_ALB</t>
  </si>
  <si>
    <t>Ibex_PHL_ALB_Supe</t>
  </si>
  <si>
    <t>Ibex_PHL_ALB_Nesti</t>
  </si>
  <si>
    <t>Alabang</t>
  </si>
  <si>
    <t>ibexWalmartSparkLeadership@ibex.co</t>
  </si>
  <si>
    <t>ALB</t>
  </si>
  <si>
    <t>UserName</t>
  </si>
  <si>
    <t>First</t>
  </si>
  <si>
    <t>Last</t>
  </si>
  <si>
    <t>Manager Level1</t>
  </si>
  <si>
    <t>Manger Level2</t>
  </si>
  <si>
    <t>Vendor Teleperformance</t>
  </si>
  <si>
    <t>Vendor Startek</t>
  </si>
  <si>
    <t>Vendor Ibex</t>
  </si>
  <si>
    <t>JAM_KIN</t>
  </si>
  <si>
    <t>GUY_GEO</t>
  </si>
  <si>
    <t>TP_GUY_GEO_Spvsr</t>
  </si>
  <si>
    <t>TP_GUY_GEO_Support</t>
  </si>
  <si>
    <t>TP_GUY_GEO_Voice_Nest</t>
  </si>
  <si>
    <t>TP Spvsr</t>
  </si>
  <si>
    <t>walmart_operations@teleperformance.com</t>
  </si>
  <si>
    <t>Georgetown</t>
  </si>
  <si>
    <t>GUY</t>
  </si>
  <si>
    <t>GEO</t>
  </si>
  <si>
    <t>10670338:3:TRUE;10670370:3:TRUE;10670368:3:TRUE;10670504:3:TRUE;10670444:3:TRUE;10670456:3:TRUE;10670457:3:TRUE;10670501:3:TRUE;10670509:3:TRUE;10670522:3:TRUE</t>
  </si>
  <si>
    <t>10670368:3:TRUE</t>
  </si>
  <si>
    <t>13858785:3:TRUE;13858786:3:TRUE</t>
  </si>
  <si>
    <t>10670373:3:TRUE;10670444:3:TRUE;10670456:3:TRUE;10670457:3:TRUE;10670501:3:TRUE;10670509:3:TRUE;10670522:3:TRUE</t>
  </si>
  <si>
    <t>10670373:3:TRUE</t>
  </si>
  <si>
    <t>10565339:3:TRUE;10565340:3:TRUE</t>
  </si>
  <si>
    <t>10670364:3:TRUE;10670365:3:TRUE;10670667:3:TRUE;10670666:3:TRUE;10670444:3:TRUE;10670456:3:TRUE;10670457:3:TRUE;10670501:3:TRUE;10670509:3:TRUE;10670522:3:TRUE</t>
  </si>
  <si>
    <t>10670366:3:TRUE</t>
  </si>
  <si>
    <t>13858778 :3:TRUE;13858779:3:TRUE</t>
  </si>
  <si>
    <t>10670668:3:TRUE;10670669:3:TRUE;10670672:3:TRUE;10670444:3:TRUE;10670456:3:TRUE;10670457:3:TRUE;10670501:3:TRUE;10670509:3:TRUE;10670522:3:TRUE</t>
  </si>
  <si>
    <t>13858781:3:TRUE;13858782:3:TRUE</t>
  </si>
  <si>
    <t>10670376:3:TRUE;10670656:3:TRUE;10670444:3:TRUE;10670456:3:TRUE;10670457:3:TRUE;10670501:3:TRUE;10670509:3:TRUE;10670522:3:TRUE</t>
  </si>
  <si>
    <t>10670376:3:TRUE</t>
  </si>
  <si>
    <t>10670656:3:TRUE</t>
  </si>
  <si>
    <t>10670378:3:TRUE;10670444:3:TRUE;10670456:3:TRUE;10670457:3:TRUE;10670501:3:TRUE;10670509:3:TRUE;10670522:3:TRUE</t>
  </si>
  <si>
    <t>10670378:3:TRUE</t>
  </si>
  <si>
    <t>10670382:3:TRUE;10670383:3:TRUE;10670444:3:TRUE;10670456:3:TRUE;10670457:3:TRUE;10670501:3:TRUE;10670509:3:TRUE;10670522:3:TRUE</t>
  </si>
  <si>
    <t>13858792:3:TRUE;13858793:3:TRUE</t>
  </si>
  <si>
    <t>10670397:3:TRUE;10670511:3:TRUE;10670444:3:TRUE;10670456:3:TRUE;10670457:3:TRUE;10670501:3:TRUE;10670509:3:TRUE;10670522:3:TRUE</t>
  </si>
  <si>
    <t>10670397:3:TRUE</t>
  </si>
  <si>
    <t>10670511:3:TRUE</t>
  </si>
  <si>
    <t>13858961:3:TRUE;13858962:3:TRUE</t>
  </si>
  <si>
    <t>10670678:3:TRUE;10670679:3:TRUE;10670676:3:TRUE;10670680:3:TRUE;10670681:3:TRUE;10670677:3:TRUE</t>
  </si>
  <si>
    <t>10670691:3:TRUE;10670690:3:TRUE</t>
  </si>
  <si>
    <t>10670691:3:TRUE</t>
  </si>
  <si>
    <t>10670690:3:TRUE</t>
  </si>
  <si>
    <t>13859738:3:TRUE;13859739:3:TRUE</t>
  </si>
  <si>
    <t>10670581:3:TRUE;10670582:3:TRUE;10670460:3:TRUE;10670524:3:TRUE;10670444:3:TRUE;10670456:3:TRUE;10670457:3:TRUE;10670501:3:TRUE;10670509:3:TRUE;10670522:3:TRUE</t>
  </si>
  <si>
    <t>10670460:3:TRUE</t>
  </si>
  <si>
    <t>13858847 :3:TRUE;13858848:3:TRUE</t>
  </si>
  <si>
    <t>10670714:3:TRUE;10670715:3:TRUE</t>
  </si>
  <si>
    <t>13858854:3:TRUE;13858855 :3:TRUE</t>
  </si>
  <si>
    <t>10670815:3:TRUE</t>
  </si>
  <si>
    <t>10670400:3:TRUE;10670402:3:TRUE;10670403:3:TRUE;10670444:3:TRUE;10670456:3:TRUE;10670457:3:TRUE;10670501:3:TRUE;10670509:3:TRUE;10670522:3:TRUE</t>
  </si>
  <si>
    <t>10670400:3:TRUE</t>
  </si>
  <si>
    <t>13858857:3:TRUE;13858858:3:TRUE</t>
  </si>
  <si>
    <t>13858925:3:TRUE;13858926:3:TRUE</t>
  </si>
  <si>
    <t>13858923:3:TRUE;13858924:3:TRUE</t>
  </si>
  <si>
    <t>10670736:3:TRUE;10670737:3:TRUE;10670444:3:TRUE;10670456:3:TRUE;10670457:3:TRUE;10670501:3:TRUE;10670509:3:TRUE;10670522:3:TRUE</t>
  </si>
  <si>
    <t>13858929:3:TRUE;13858930:3:TRUE</t>
  </si>
  <si>
    <t>10670409:3:TRUE;10670410:3:TRUE;10670474:3:TRUE;10670527:3:TRUE;10670444:3:TRUE;10670456:3:TRUE;10670457:3:TRUE;10670501:3:TRUE;10670509:3:TRUE;10670522:3:TRUE</t>
  </si>
  <si>
    <t>10670474:3:TRUE</t>
  </si>
  <si>
    <t>13858905:3:TRUE;13858906:3:TRUE</t>
  </si>
  <si>
    <t>4319903:3:TRUE</t>
  </si>
  <si>
    <t>10670417:3:TRUE;10670419:3:TRUE;10670420:3:TRUE;10670529:3:TRUE;10670444:3:TRUE;10670456:3:TRUE;10670457:3:TRUE;10670501:3:TRUE;10670509:3:TRUE;10670522:3:TRUE</t>
  </si>
  <si>
    <t>10670417:3:TRUE</t>
  </si>
  <si>
    <t>10670529:3:TRUE</t>
  </si>
  <si>
    <t>13858915:3:TRUE;13858916:3:TRUE</t>
  </si>
  <si>
    <t>10670528:3:TRUE;10670481:3:TRUE;10670482:3:TRUE;10670444:3:TRUE;10670456:3:TRUE;10670457:3:TRUE;10670501:3:TRUE;10670509:3:TRUE;10670522:3:TRUE</t>
  </si>
  <si>
    <t>13858911:3:TRUE;13858912:3:TRUE</t>
  </si>
  <si>
    <t>10670516:3:TRUE;10670570:3:TRUE10670571:3:TRUE</t>
  </si>
  <si>
    <t>10670509:3:TRUE;10670517:3:TRUE;10670406:3:TRUE;10670612:3:TRUE</t>
  </si>
  <si>
    <t>10670760:3:TRUE</t>
  </si>
  <si>
    <t>10670762:3:TRUE;10670763:3:TRUE</t>
  </si>
  <si>
    <t>10670765:3:TRUE;10670775:3:TRUE</t>
  </si>
  <si>
    <t>13858964:3:TRUE;13858965:3:TRUE</t>
  </si>
  <si>
    <t>10670767:3:TRUE</t>
  </si>
  <si>
    <t>13858927:3:TRUE;13858928:3:TRUE</t>
  </si>
  <si>
    <t>10670812:3:TRUE</t>
  </si>
  <si>
    <t>13859735:3:TRUE;1389736:3:TRUE</t>
  </si>
  <si>
    <t>10670831:3:TRUE</t>
  </si>
  <si>
    <t>10670832:3:TRUE;10670833:3:TRUE</t>
  </si>
  <si>
    <t>304532:3:TRUE;304531:3:TRUE</t>
  </si>
  <si>
    <t>13859764:3:TRUE;13859765:3:TRUE</t>
  </si>
  <si>
    <t>iTel_GUY_GEO_Voice_Nest</t>
  </si>
  <si>
    <t>Walmart_Ops-GUY@itelinternational.com</t>
  </si>
  <si>
    <t>13859767:3:TRUE;13859768:3:TRUE</t>
  </si>
  <si>
    <t>iTel_GUY_GEO_Support</t>
  </si>
  <si>
    <t>iTel_GUY_GEO_Spvsr</t>
  </si>
  <si>
    <t>EGY_CAI</t>
  </si>
  <si>
    <t>Transcom_EGY_CAI _Voice_Nest</t>
  </si>
  <si>
    <t>Transcom_EGY_CAI _Support</t>
  </si>
  <si>
    <t>Transcom_EGY_CAI _Spvsr</t>
  </si>
  <si>
    <t>walmartvccpr.egypt@transcom.com</t>
  </si>
  <si>
    <t>Egypt</t>
  </si>
  <si>
    <t>Cairo</t>
  </si>
  <si>
    <t>EGY</t>
  </si>
  <si>
    <t>CAI</t>
  </si>
  <si>
    <t>Birth Month(1-12)</t>
  </si>
  <si>
    <t>Birth Date (1-31)</t>
  </si>
  <si>
    <t>Submitted by (First and Last Name)</t>
  </si>
  <si>
    <t>LITMOS</t>
  </si>
  <si>
    <t>Ibex_PHL_PPA_Voice_Nest</t>
  </si>
  <si>
    <t>13859044:3:TRUE;13859045:3:TRUE</t>
  </si>
  <si>
    <t>13859775:3:TRUE;13859776:3:TRUE</t>
  </si>
  <si>
    <t>TaskUs</t>
  </si>
  <si>
    <t>MEX_TIJ</t>
  </si>
  <si>
    <t>TaskUs_MEX_TIJ_Voice_Nest</t>
  </si>
  <si>
    <t>TaskUs_MEX_TIJ_Spvsr</t>
  </si>
  <si>
    <t>TaskUs_MEX_TIJ_Support</t>
  </si>
  <si>
    <t>TaskUs Agent</t>
  </si>
  <si>
    <t>TaskUs Supervisor</t>
  </si>
  <si>
    <t>TaskUs Support</t>
  </si>
  <si>
    <t>wmvccpasswordreset@taskus.com</t>
  </si>
  <si>
    <t>Tijuana</t>
  </si>
  <si>
    <t>Baja California</t>
  </si>
  <si>
    <t>13859072:3:TRUE;13859073:3:TRUE</t>
  </si>
  <si>
    <t>13859074:3:TRUE</t>
  </si>
  <si>
    <t>MEX</t>
  </si>
  <si>
    <t>TIJ</t>
  </si>
  <si>
    <t>m0l0icd</t>
  </si>
  <si>
    <t>13858913:3:TRUE</t>
  </si>
  <si>
    <t>New Hire</t>
  </si>
  <si>
    <t>TP_IND_DEL_Chat_Nest</t>
  </si>
  <si>
    <t>TP_IND_DEL_Spvsr</t>
  </si>
  <si>
    <t>TP_IND_DEL_Support</t>
  </si>
  <si>
    <t>TP Support</t>
  </si>
  <si>
    <t>Walmart.Managers@teleperformancedibs.com</t>
  </si>
  <si>
    <t>Gurugram</t>
  </si>
  <si>
    <t>10670945:3:TRUE</t>
  </si>
  <si>
    <t>10670944:3:TRUE</t>
  </si>
  <si>
    <t>EGY_ALY</t>
  </si>
  <si>
    <t>ZAF_JNB</t>
  </si>
  <si>
    <t>Merchants Supervisor</t>
  </si>
  <si>
    <t>Merchants Support</t>
  </si>
  <si>
    <t>Concentrix Agent</t>
  </si>
  <si>
    <t>Concentrix Supervisor</t>
  </si>
  <si>
    <t>Concentrix Support</t>
  </si>
  <si>
    <t>Gauteng</t>
  </si>
  <si>
    <t>Alexandria</t>
  </si>
  <si>
    <t>Johannesburg</t>
  </si>
  <si>
    <t>Sidi Gaber</t>
  </si>
  <si>
    <t>ALY</t>
  </si>
  <si>
    <t>JNB</t>
  </si>
  <si>
    <t>PHL_MNL</t>
  </si>
  <si>
    <t>National Capital Region</t>
  </si>
  <si>
    <t>MNL</t>
  </si>
  <si>
    <t>WalmartUS.VCCPasswordsResets@concentrix.com</t>
  </si>
  <si>
    <t>WMTMNLVCCPWRESET@24-7intouch.com</t>
  </si>
  <si>
    <t>24-7 Intouch Agent</t>
  </si>
  <si>
    <t>24-7 Intouch Supervisor</t>
  </si>
  <si>
    <t>24-7 Intouch Support</t>
  </si>
  <si>
    <t>Merchants_ZAF_JNB_Voice_Nest</t>
  </si>
  <si>
    <t>Merchants_ZAF_JNB_Spvsr</t>
  </si>
  <si>
    <t>Merchants_ZAF_JNB_Support</t>
  </si>
  <si>
    <t>walmartoperationssupport@merchantscx.com</t>
  </si>
  <si>
    <t>13859077:3:TRUE;13859078:3:TRUE</t>
  </si>
  <si>
    <t>13859079:3:TRUE</t>
  </si>
  <si>
    <r>
      <t>Concentrix_EGY_</t>
    </r>
    <r>
      <rPr>
        <sz val="10.5"/>
        <color rgb="FF000000"/>
        <rFont val="Segoe UI"/>
        <family val="2"/>
      </rPr>
      <t>ALY</t>
    </r>
    <r>
      <rPr>
        <sz val="10.5"/>
        <color rgb="FF172B4D"/>
        <rFont val="Segoe UI"/>
        <family val="2"/>
      </rPr>
      <t>_Chat_Nest</t>
    </r>
  </si>
  <si>
    <r>
      <t>Concentrix_EGY_</t>
    </r>
    <r>
      <rPr>
        <sz val="10.5"/>
        <color rgb="FF000000"/>
        <rFont val="Segoe UI"/>
        <family val="2"/>
      </rPr>
      <t>ALY</t>
    </r>
    <r>
      <rPr>
        <sz val="10.5"/>
        <color rgb="FF172B4D"/>
        <rFont val="Segoe UI"/>
        <family val="2"/>
      </rPr>
      <t>_Spvsr</t>
    </r>
  </si>
  <si>
    <r>
      <t>Concentrix_EGY_</t>
    </r>
    <r>
      <rPr>
        <sz val="10.5"/>
        <color rgb="FF000000"/>
        <rFont val="Segoe UI"/>
        <family val="2"/>
      </rPr>
      <t>ALY</t>
    </r>
    <r>
      <rPr>
        <sz val="10.5"/>
        <color rgb="FF172B4D"/>
        <rFont val="Segoe UI"/>
        <family val="2"/>
      </rPr>
      <t>_Support</t>
    </r>
  </si>
  <si>
    <t>10670948:3:TRUE</t>
  </si>
  <si>
    <t>10670947:3:TRUE</t>
  </si>
  <si>
    <t>24-7Intouch_PHL_MNL_Spvsr</t>
  </si>
  <si>
    <t>24-7Intouch_PHL_MNL_Support</t>
  </si>
  <si>
    <t>24-7Intouch_PHL_MNL_Voice_Nest</t>
  </si>
  <si>
    <t>13859080:3:TRUE;13859081:3:TRUE</t>
  </si>
  <si>
    <t>13859082:3:TRUE</t>
  </si>
  <si>
    <t>Stores</t>
  </si>
  <si>
    <t>Digital</t>
  </si>
  <si>
    <t>Customer Relations &amp; Private Brands Tier 1</t>
  </si>
  <si>
    <t>Cristian</t>
  </si>
  <si>
    <t>Jose</t>
  </si>
  <si>
    <t>Ramirez</t>
  </si>
  <si>
    <t>Sucely Aldana</t>
  </si>
  <si>
    <t>Jaime</t>
  </si>
  <si>
    <t>Natareno</t>
  </si>
  <si>
    <t>vn0qxff</t>
  </si>
  <si>
    <t>Rita Barrios</t>
  </si>
  <si>
    <t>Claudia</t>
  </si>
  <si>
    <t>Gabriela</t>
  </si>
  <si>
    <t>Garcia</t>
  </si>
  <si>
    <t>Luis</t>
  </si>
  <si>
    <t>Fernando</t>
  </si>
  <si>
    <t>Hernandez</t>
  </si>
  <si>
    <t>Sofia</t>
  </si>
  <si>
    <t>Bernice</t>
  </si>
  <si>
    <t>Marroquin</t>
  </si>
  <si>
    <t>Guillermo</t>
  </si>
  <si>
    <t>Benjamin</t>
  </si>
  <si>
    <t>Zamora</t>
  </si>
  <si>
    <t>Katherine</t>
  </si>
  <si>
    <t>Santizo</t>
  </si>
  <si>
    <t>Josue</t>
  </si>
  <si>
    <t>David</t>
  </si>
  <si>
    <t>Manrique</t>
  </si>
  <si>
    <t>Kristtel</t>
  </si>
  <si>
    <t>Carolina</t>
  </si>
  <si>
    <t>Juan</t>
  </si>
  <si>
    <t>Pablo</t>
  </si>
  <si>
    <t>Flores</t>
  </si>
  <si>
    <t>Gabriel</t>
  </si>
  <si>
    <t>Adolfo</t>
  </si>
  <si>
    <t>Morales</t>
  </si>
  <si>
    <t>Mercedez</t>
  </si>
  <si>
    <t>Isabel</t>
  </si>
  <si>
    <t>De Leon</t>
  </si>
  <si>
    <t>Eduardo</t>
  </si>
  <si>
    <t>Andres</t>
  </si>
  <si>
    <t>Prera</t>
  </si>
  <si>
    <t>Madelin</t>
  </si>
  <si>
    <t>Johana</t>
  </si>
  <si>
    <t>Abal</t>
  </si>
  <si>
    <t>Dyana</t>
  </si>
  <si>
    <t>Priscila</t>
  </si>
  <si>
    <t>Calicio</t>
  </si>
  <si>
    <t>Sandra</t>
  </si>
  <si>
    <t>Virginia</t>
  </si>
  <si>
    <t>Arango</t>
  </si>
  <si>
    <t>vn54tqf</t>
  </si>
  <si>
    <t>vn54tqh</t>
  </si>
  <si>
    <t>vn54tqj</t>
  </si>
  <si>
    <t>vn54tql</t>
  </si>
  <si>
    <t>vn54tqn</t>
  </si>
  <si>
    <t>vn54tqo</t>
  </si>
  <si>
    <t>vn54tqq</t>
  </si>
  <si>
    <t>vn54tqs</t>
  </si>
  <si>
    <t>vn54tqu</t>
  </si>
  <si>
    <t>vn54tqw</t>
  </si>
  <si>
    <t>vn54tqy</t>
  </si>
  <si>
    <t>vn54tr0</t>
  </si>
  <si>
    <t>vn54tr2</t>
  </si>
  <si>
    <t>vn54tr4</t>
  </si>
  <si>
    <t>vn54tr6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</si>
</sst>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mmm\-dd\-yyyy"/>
  </numFmts>
  <fonts count="21" x14ac:knownFonts="1">
    <font>
      <sz val="11"/>
      <color theme="1"/>
      <name val="Calibri"/>
      <family val="2"/>
      <scheme val="minor"/>
    </font>
    <font>
      <b/>
      <sz val="11"/>
      <color theme="0"/>
      <name val="Calibri"/>
      <family val="2"/>
      <scheme val="minor"/>
    </font>
    <font>
      <u/>
      <sz val="11"/>
      <color theme="10"/>
      <name val="Calibri"/>
      <family val="2"/>
      <scheme val="minor"/>
    </font>
    <font>
      <sz val="12"/>
      <color rgb="FF000000"/>
      <name val="Calibri"/>
      <family val="2"/>
      <scheme val="minor"/>
    </font>
    <font>
      <sz val="8"/>
      <name val="Calibri"/>
      <family val="2"/>
      <scheme val="minor"/>
    </font>
    <font>
      <b/>
      <sz val="12"/>
      <color theme="0"/>
      <name val="Calibri"/>
      <family val="2"/>
      <scheme val="minor"/>
    </font>
    <font>
      <sz val="12"/>
      <color theme="1"/>
      <name val="Calibri"/>
      <family val="2"/>
      <scheme val="minor"/>
    </font>
    <font>
      <sz val="11"/>
      <color rgb="FF000000"/>
      <name val="Calibri"/>
      <family val="2"/>
      <scheme val="minor"/>
    </font>
    <font>
      <b/>
      <sz val="12"/>
      <color theme="1"/>
      <name val="Calibri"/>
      <family val="2"/>
      <scheme val="minor"/>
    </font>
    <font>
      <b/>
      <sz val="12"/>
      <color rgb="FF000000"/>
      <name val="Calibri"/>
      <family val="2"/>
      <scheme val="minor"/>
    </font>
    <font>
      <sz val="11"/>
      <color rgb="FF444444"/>
      <name val="Calibri"/>
      <family val="2"/>
      <charset val="1"/>
    </font>
    <font>
      <b/>
      <sz val="11"/>
      <color theme="1"/>
      <name val="Calibri"/>
      <family val="2"/>
      <scheme val="minor"/>
    </font>
    <font>
      <sz val="11"/>
      <name val="Calibri"/>
      <family val="2"/>
      <scheme val="minor"/>
    </font>
    <font>
      <sz val="11"/>
      <color theme="1"/>
      <name val="Segoe UI"/>
      <family val="2"/>
    </font>
    <font>
      <sz val="11"/>
      <color rgb="FF172B4D"/>
      <name val="Segoe UI"/>
      <family val="2"/>
    </font>
    <font>
      <sz val="11"/>
      <color rgb="FF000000"/>
      <name val="Calibri"/>
      <family val="2"/>
    </font>
    <font>
      <sz val="11"/>
      <color theme="1"/>
      <name val="Calibri"/>
      <family val="2"/>
    </font>
    <font>
      <sz val="12"/>
      <color rgb="FF000000"/>
      <name val="Times New Roman"/>
      <family val="1"/>
    </font>
    <font>
      <sz val="11"/>
      <color rgb="FF333333"/>
      <name val="Segoe UI"/>
      <family val="2"/>
    </font>
    <font>
      <sz val="10.5"/>
      <color rgb="FF172B4D"/>
      <name val="Segoe UI"/>
      <family val="2"/>
    </font>
    <font>
      <sz val="10.5"/>
      <color rgb="FF000000"/>
      <name val="Segoe UI"/>
      <family val="2"/>
    </font>
  </fonts>
  <fills count="7">
    <fill>
      <patternFill patternType="none"/>
    </fill>
    <fill>
      <patternFill patternType="gray125"/>
    </fill>
    <fill>
      <patternFill patternType="solid">
        <fgColor theme="1"/>
        <bgColor indexed="64"/>
      </patternFill>
    </fill>
    <fill>
      <patternFill patternType="solid">
        <fgColor theme="5"/>
        <bgColor indexed="64"/>
      </patternFill>
    </fill>
    <fill>
      <patternFill patternType="solid">
        <fgColor rgb="FFFFFF00"/>
        <bgColor indexed="64"/>
      </patternFill>
    </fill>
    <fill>
      <patternFill patternType="solid">
        <fgColor theme="7"/>
        <bgColor indexed="64"/>
      </patternFill>
    </fill>
    <fill>
      <patternFill patternType="solid">
        <fgColor rgb="FF00206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right style="thick">
        <color rgb="FFC00000"/>
      </right>
      <top/>
      <bottom/>
      <diagonal/>
    </border>
    <border>
      <left/>
      <right/>
      <top/>
      <bottom style="thick">
        <color rgb="FFC00000"/>
      </bottom>
      <diagonal/>
    </border>
    <border>
      <left/>
      <right style="thick">
        <color rgb="FFC00000"/>
      </right>
      <top/>
      <bottom style="thick">
        <color rgb="FFC00000"/>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thin">
        <color indexed="64"/>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39">
    <xf numFmtId="0" fontId="0" fillId="0" borderId="0" xfId="0"/>
    <xf numFmtId="14" fontId="0" fillId="0" borderId="0" xfId="0" applyNumberFormat="1"/>
    <xf numFmtId="0" fontId="1" fillId="2" borderId="0" xfId="0" applyFont="1" applyFill="1" applyAlignment="1">
      <alignment horizontal="center"/>
    </xf>
    <xf numFmtId="0" fontId="0" fillId="0" borderId="0" xfId="0" applyFill="1"/>
    <xf numFmtId="0" fontId="0" fillId="0" borderId="0" xfId="0" applyNumberFormat="1"/>
    <xf numFmtId="0" fontId="2" fillId="0" borderId="0" xfId="1"/>
    <xf numFmtId="0" fontId="1" fillId="2" borderId="0" xfId="0" applyFont="1" applyFill="1" applyAlignment="1">
      <alignment horizontal="center" wrapText="1"/>
    </xf>
    <xf numFmtId="0" fontId="1" fillId="2" borderId="0" xfId="0" applyNumberFormat="1" applyFont="1" applyFill="1" applyAlignment="1">
      <alignment horizontal="center"/>
    </xf>
    <xf numFmtId="0" fontId="1" fillId="2" borderId="0" xfId="0" applyFont="1" applyFill="1" applyAlignment="1">
      <alignment horizontal="center" vertical="center"/>
    </xf>
    <xf numFmtId="0" fontId="3" fillId="0" borderId="0" xfId="0" applyFont="1" applyAlignment="1">
      <alignment vertical="center"/>
    </xf>
    <xf numFmtId="0" fontId="3" fillId="0" borderId="0" xfId="0" applyFont="1"/>
    <xf numFmtId="164" fontId="0" fillId="0" borderId="0" xfId="0" applyNumberFormat="1"/>
    <xf numFmtId="0" fontId="1" fillId="2" borderId="0" xfId="0" applyFont="1" applyFill="1"/>
    <xf numFmtId="49" fontId="0" fillId="0" borderId="0" xfId="0" applyNumberFormat="1"/>
    <xf numFmtId="0" fontId="0" fillId="0" borderId="0" xfId="0" applyAlignment="1">
      <alignment horizontal="center"/>
    </xf>
    <xf numFmtId="0" fontId="3" fillId="0" borderId="0" xfId="0" applyFont="1" applyFill="1" applyAlignment="1">
      <alignment vertical="center"/>
    </xf>
    <xf numFmtId="0" fontId="5" fillId="3" borderId="0" xfId="0" applyFont="1" applyFill="1" applyAlignment="1">
      <alignment horizontal="center"/>
    </xf>
    <xf numFmtId="0" fontId="6" fillId="0" borderId="0" xfId="0" applyFont="1"/>
    <xf numFmtId="0" fontId="6" fillId="0" borderId="0" xfId="0" applyFont="1" applyAlignment="1">
      <alignment horizontal="left"/>
    </xf>
    <xf numFmtId="164" fontId="6" fillId="0" borderId="0" xfId="0" applyNumberFormat="1" applyFont="1" applyAlignment="1">
      <alignment horizontal="left"/>
    </xf>
    <xf numFmtId="0" fontId="6" fillId="0" borderId="0" xfId="0" applyNumberFormat="1" applyFont="1" applyAlignment="1">
      <alignment horizontal="left"/>
    </xf>
    <xf numFmtId="0" fontId="6" fillId="0" borderId="0" xfId="0" applyFont="1" applyAlignment="1"/>
    <xf numFmtId="0" fontId="6" fillId="0" borderId="0" xfId="0" quotePrefix="1" applyFont="1"/>
    <xf numFmtId="1" fontId="6" fillId="0" borderId="0" xfId="0" applyNumberFormat="1" applyFont="1"/>
    <xf numFmtId="0" fontId="6" fillId="0" borderId="0" xfId="0" applyFont="1" applyFill="1"/>
    <xf numFmtId="0" fontId="3" fillId="4" borderId="0" xfId="0" applyFont="1" applyFill="1"/>
    <xf numFmtId="49" fontId="6" fillId="0" borderId="0" xfId="0" applyNumberFormat="1" applyFont="1" applyAlignment="1">
      <alignment horizontal="right"/>
    </xf>
    <xf numFmtId="0" fontId="6" fillId="4" borderId="0" xfId="0" applyFont="1" applyFill="1"/>
    <xf numFmtId="1" fontId="6" fillId="0" borderId="0" xfId="0" applyNumberFormat="1" applyFont="1" applyAlignment="1">
      <alignment horizontal="right"/>
    </xf>
    <xf numFmtId="0" fontId="3" fillId="0" borderId="0" xfId="0" applyFont="1" applyFill="1"/>
    <xf numFmtId="14" fontId="6" fillId="0" borderId="0" xfId="0" applyNumberFormat="1" applyFont="1" applyAlignment="1">
      <alignment horizontal="left"/>
    </xf>
    <xf numFmtId="0" fontId="6" fillId="0" borderId="0" xfId="0" applyFont="1" applyFill="1" applyAlignment="1">
      <alignment horizontal="center"/>
    </xf>
    <xf numFmtId="0" fontId="7" fillId="0" borderId="0" xfId="0" applyFont="1"/>
    <xf numFmtId="0" fontId="0" fillId="0" borderId="0" xfId="0" applyAlignment="1">
      <alignment vertical="center"/>
    </xf>
    <xf numFmtId="0" fontId="6" fillId="0" borderId="0" xfId="0" applyFont="1" applyAlignment="1">
      <alignment horizontal="center"/>
    </xf>
    <xf numFmtId="0" fontId="5" fillId="2" borderId="0" xfId="0" applyFont="1" applyFill="1" applyAlignment="1">
      <alignment horizontal="center"/>
    </xf>
    <xf numFmtId="0" fontId="10" fillId="0" borderId="0" xfId="0" applyFont="1" applyAlignment="1">
      <alignment wrapText="1"/>
    </xf>
    <xf numFmtId="0" fontId="6" fillId="0" borderId="0" xfId="0" applyFont="1" applyAlignment="1">
      <alignment horizontal="center"/>
    </xf>
    <xf numFmtId="0" fontId="5" fillId="2" borderId="0" xfId="0" applyFont="1" applyFill="1" applyAlignment="1">
      <alignment horizontal="center"/>
    </xf>
    <xf numFmtId="0" fontId="6" fillId="5" borderId="0" xfId="0" applyFont="1" applyFill="1" applyAlignment="1">
      <alignment horizontal="center"/>
    </xf>
    <xf numFmtId="0" fontId="6" fillId="2" borderId="0" xfId="0" applyFont="1" applyFill="1" applyAlignment="1"/>
    <xf numFmtId="0" fontId="6" fillId="2" borderId="0" xfId="0" applyFont="1" applyFill="1"/>
    <xf numFmtId="0" fontId="0" fillId="2" borderId="0" xfId="0" applyFill="1" applyBorder="1"/>
    <xf numFmtId="0" fontId="5" fillId="2" borderId="1" xfId="0" applyFont="1" applyFill="1" applyBorder="1" applyAlignment="1">
      <alignment horizontal="center"/>
    </xf>
    <xf numFmtId="0" fontId="5" fillId="2" borderId="0" xfId="0" applyFont="1" applyFill="1"/>
    <xf numFmtId="0" fontId="0" fillId="5" borderId="0" xfId="0" applyFill="1" applyAlignment="1">
      <alignment horizontal="center"/>
    </xf>
    <xf numFmtId="0" fontId="5" fillId="2" borderId="0" xfId="0" applyFont="1" applyFill="1" applyBorder="1" applyAlignment="1">
      <alignment horizontal="center"/>
    </xf>
    <xf numFmtId="0" fontId="0" fillId="2" borderId="0" xfId="0" applyFill="1" applyAlignment="1"/>
    <xf numFmtId="0" fontId="0" fillId="2" borderId="0" xfId="0" applyFill="1" applyAlignment="1">
      <alignment horizontal="center"/>
    </xf>
    <xf numFmtId="1" fontId="6" fillId="2" borderId="0" xfId="0" applyNumberFormat="1" applyFont="1" applyFill="1"/>
    <xf numFmtId="0" fontId="6" fillId="2" borderId="0" xfId="0" applyNumberFormat="1" applyFont="1" applyFill="1" applyAlignment="1">
      <alignment horizontal="right"/>
    </xf>
    <xf numFmtId="49" fontId="6" fillId="2" borderId="0" xfId="0" applyNumberFormat="1" applyFont="1" applyFill="1" applyAlignment="1">
      <alignment horizontal="right"/>
    </xf>
    <xf numFmtId="1" fontId="6" fillId="2" borderId="0" xfId="0" applyNumberFormat="1" applyFont="1" applyFill="1" applyAlignment="1">
      <alignment horizontal="right"/>
    </xf>
    <xf numFmtId="0" fontId="6" fillId="2" borderId="0" xfId="0" applyFont="1" applyFill="1" applyAlignment="1">
      <alignment horizontal="center"/>
    </xf>
    <xf numFmtId="165" fontId="0" fillId="0" borderId="0" xfId="0" applyNumberFormat="1"/>
    <xf numFmtId="0" fontId="0" fillId="5" borderId="0" xfId="0" applyFill="1" applyAlignment="1">
      <alignment horizontal="center"/>
    </xf>
    <xf numFmtId="0" fontId="6" fillId="5" borderId="0" xfId="0" applyFont="1" applyFill="1" applyAlignment="1">
      <alignment horizontal="center"/>
    </xf>
    <xf numFmtId="0" fontId="6" fillId="0" borderId="0" xfId="0" quotePrefix="1" applyFont="1" applyFill="1"/>
    <xf numFmtId="0" fontId="0" fillId="5" borderId="0" xfId="0" applyFill="1" applyAlignment="1">
      <alignment horizontal="center"/>
    </xf>
    <xf numFmtId="0" fontId="6" fillId="5" borderId="0" xfId="0" applyFont="1" applyFill="1" applyAlignment="1">
      <alignment horizontal="center"/>
    </xf>
    <xf numFmtId="0" fontId="0" fillId="5" borderId="0" xfId="0" applyFill="1" applyAlignment="1">
      <alignment horizontal="center"/>
    </xf>
    <xf numFmtId="1" fontId="6" fillId="0" borderId="0" xfId="0" applyNumberFormat="1" applyFont="1" applyAlignment="1">
      <alignment horizontal="left"/>
    </xf>
    <xf numFmtId="0" fontId="0" fillId="0" borderId="0" xfId="0" applyBorder="1"/>
    <xf numFmtId="0" fontId="1" fillId="2" borderId="1" xfId="0" applyFont="1" applyFill="1" applyBorder="1" applyAlignment="1">
      <alignment horizontal="center"/>
    </xf>
    <xf numFmtId="0" fontId="0" fillId="0" borderId="1" xfId="0" applyBorder="1"/>
    <xf numFmtId="0" fontId="12" fillId="2" borderId="1" xfId="0" applyFont="1" applyFill="1" applyBorder="1"/>
    <xf numFmtId="0" fontId="0" fillId="0" borderId="1" xfId="0" applyBorder="1" applyAlignment="1">
      <alignment horizontal="center"/>
    </xf>
    <xf numFmtId="0" fontId="0" fillId="4" borderId="0" xfId="0" applyFill="1" applyAlignment="1">
      <alignment horizontal="center"/>
    </xf>
    <xf numFmtId="0" fontId="2" fillId="0" borderId="5" xfId="1" applyBorder="1" applyAlignment="1"/>
    <xf numFmtId="0" fontId="12" fillId="2" borderId="14" xfId="0" applyFont="1" applyFill="1" applyBorder="1"/>
    <xf numFmtId="0" fontId="11" fillId="4" borderId="10" xfId="0" applyFont="1" applyFill="1" applyBorder="1"/>
    <xf numFmtId="0" fontId="5" fillId="2" borderId="0" xfId="0" applyFont="1" applyFill="1" applyAlignment="1">
      <alignment horizontal="center"/>
    </xf>
    <xf numFmtId="0" fontId="6" fillId="0" borderId="0" xfId="0" applyFont="1" applyAlignment="1">
      <alignment horizontal="right"/>
    </xf>
    <xf numFmtId="0" fontId="6" fillId="5" borderId="0" xfId="0" applyFont="1" applyFill="1" applyAlignment="1">
      <alignment horizontal="left"/>
    </xf>
    <xf numFmtId="0" fontId="0" fillId="0" borderId="0" xfId="0" applyFill="1" applyBorder="1" applyAlignment="1">
      <alignment horizontal="left"/>
    </xf>
    <xf numFmtId="0" fontId="6" fillId="0" borderId="0" xfId="0" applyFont="1" applyFill="1" applyAlignment="1">
      <alignment horizontal="left"/>
    </xf>
    <xf numFmtId="0" fontId="6" fillId="0" borderId="0" xfId="0" applyFont="1" applyFill="1" applyBorder="1" applyAlignment="1">
      <alignment horizontal="left"/>
    </xf>
    <xf numFmtId="1" fontId="6" fillId="0" borderId="0" xfId="0" applyNumberFormat="1" applyFont="1" applyFill="1"/>
    <xf numFmtId="0" fontId="0" fillId="4" borderId="0" xfId="0" applyFill="1"/>
    <xf numFmtId="0" fontId="6" fillId="0" borderId="1" xfId="0" applyFont="1" applyBorder="1" applyAlignment="1">
      <alignment horizontal="left"/>
    </xf>
    <xf numFmtId="0" fontId="16" fillId="0" borderId="0" xfId="0" applyFont="1" applyAlignment="1">
      <alignment horizontal="left" vertical="center"/>
    </xf>
    <xf numFmtId="0" fontId="16" fillId="0" borderId="1" xfId="0" applyFont="1" applyBorder="1" applyAlignment="1">
      <alignment horizontal="left" vertical="center"/>
    </xf>
    <xf numFmtId="0" fontId="6" fillId="0" borderId="0" xfId="0" applyFont="1" applyAlignment="1">
      <alignment horizontal="left" vertical="center"/>
    </xf>
    <xf numFmtId="0" fontId="0" fillId="0" borderId="0" xfId="0" applyAlignment="1">
      <alignment horizontal="left"/>
    </xf>
    <xf numFmtId="0" fontId="13" fillId="0" borderId="0" xfId="0" applyFont="1"/>
    <xf numFmtId="49" fontId="6" fillId="0" borderId="0" xfId="0" applyNumberFormat="1" applyFont="1" applyFill="1" applyAlignment="1">
      <alignment horizontal="right"/>
    </xf>
    <xf numFmtId="0" fontId="3" fillId="0" borderId="0" xfId="0" applyFont="1" applyFill="1" applyAlignment="1">
      <alignment horizontal="left" vertical="center"/>
    </xf>
    <xf numFmtId="0" fontId="15" fillId="0" borderId="1" xfId="0" applyFont="1" applyFill="1" applyBorder="1" applyAlignment="1">
      <alignment horizontal="left" vertical="center"/>
    </xf>
    <xf numFmtId="0" fontId="8" fillId="0" borderId="0" xfId="0" applyFont="1" applyFill="1"/>
    <xf numFmtId="1" fontId="6" fillId="0" borderId="0" xfId="0" applyNumberFormat="1" applyFont="1" applyFill="1" applyAlignment="1">
      <alignment horizontal="right"/>
    </xf>
    <xf numFmtId="0" fontId="7" fillId="0" borderId="0" xfId="0" applyFont="1" applyFill="1"/>
    <xf numFmtId="0" fontId="9" fillId="0" borderId="0" xfId="0" applyFont="1" applyFill="1" applyAlignment="1">
      <alignment vertical="center"/>
    </xf>
    <xf numFmtId="0" fontId="0" fillId="0" borderId="1" xfId="0" applyFill="1" applyBorder="1"/>
    <xf numFmtId="0" fontId="14" fillId="0" borderId="0" xfId="0" applyFont="1" applyFill="1"/>
    <xf numFmtId="0" fontId="0" fillId="2" borderId="0" xfId="0" applyFill="1"/>
    <xf numFmtId="0" fontId="2" fillId="0" borderId="0" xfId="1" applyAlignment="1">
      <alignment horizontal="left"/>
    </xf>
    <xf numFmtId="0" fontId="2" fillId="0" borderId="0" xfId="1" applyAlignment="1">
      <alignment vertical="center"/>
    </xf>
    <xf numFmtId="0" fontId="0" fillId="0" borderId="0" xfId="0"/>
    <xf numFmtId="14" fontId="0" fillId="0" borderId="0" xfId="0" applyNumberFormat="1"/>
    <xf numFmtId="0" fontId="6" fillId="0" borderId="0" xfId="0" applyFont="1" applyAlignment="1">
      <alignment horizontal="left"/>
    </xf>
    <xf numFmtId="0" fontId="13" fillId="0" borderId="0" xfId="0" applyFont="1" applyAlignment="1">
      <alignment vertical="center" wrapText="1"/>
    </xf>
    <xf numFmtId="0" fontId="17" fillId="0" borderId="0" xfId="0" applyFont="1"/>
    <xf numFmtId="0" fontId="6" fillId="0" borderId="0" xfId="0" quotePrefix="1" applyFont="1" applyFill="1" applyAlignment="1">
      <alignment horizontal="left"/>
    </xf>
    <xf numFmtId="0" fontId="6" fillId="0" borderId="0" xfId="0" applyFont="1" applyFill="1" applyAlignment="1">
      <alignment horizontal="right"/>
    </xf>
    <xf numFmtId="0" fontId="16" fillId="0" borderId="0" xfId="0" applyFont="1" applyFill="1" applyAlignment="1">
      <alignment horizontal="left" vertical="center"/>
    </xf>
    <xf numFmtId="0" fontId="6" fillId="0" borderId="0" xfId="0" applyFont="1" applyFill="1" applyAlignment="1">
      <alignment horizontal="left" vertical="center"/>
    </xf>
    <xf numFmtId="0" fontId="16" fillId="0" borderId="1" xfId="0" applyFont="1" applyFill="1" applyBorder="1" applyAlignment="1">
      <alignment horizontal="left" vertical="center"/>
    </xf>
    <xf numFmtId="0" fontId="0" fillId="4" borderId="0" xfId="0" quotePrefix="1" applyFill="1"/>
    <xf numFmtId="0" fontId="18" fillId="0" borderId="0" xfId="0" applyFont="1"/>
    <xf numFmtId="0" fontId="6" fillId="0" borderId="0" xfId="0" applyFont="1" applyAlignment="1">
      <alignment horizontal="center"/>
    </xf>
    <xf numFmtId="0" fontId="19" fillId="0" borderId="0" xfId="0" applyFont="1"/>
    <xf numFmtId="14" fontId="1" fillId="2" borderId="0" xfId="0" applyNumberFormat="1" applyFont="1" applyFill="1" applyAlignment="1">
      <alignment horizontal="center"/>
    </xf>
    <xf numFmtId="14" fontId="1" fillId="2" borderId="0" xfId="0" applyNumberFormat="1" applyFont="1" applyFill="1" applyAlignment="1">
      <alignment horizontal="left"/>
    </xf>
    <xf numFmtId="0" fontId="19" fillId="0" borderId="0" xfId="0" applyFont="1" applyAlignment="1">
      <alignment vertical="center"/>
    </xf>
    <xf numFmtId="0" fontId="14" fillId="0" borderId="0" xfId="0" applyFont="1"/>
    <xf numFmtId="0" fontId="19" fillId="0" borderId="0" xfId="0" applyFont="1" applyAlignment="1">
      <alignment horizontal="left"/>
    </xf>
    <xf numFmtId="0" fontId="0" fillId="0" borderId="0" xfId="0" applyAlignment="1">
      <alignment horizontal="left" vertical="center"/>
    </xf>
    <xf numFmtId="0" fontId="6" fillId="5" borderId="0" xfId="0" applyFont="1" applyFill="1" applyAlignment="1">
      <alignment horizontal="center"/>
    </xf>
    <xf numFmtId="0" fontId="6" fillId="5" borderId="2" xfId="0" applyFont="1" applyFill="1" applyBorder="1" applyAlignment="1">
      <alignment horizontal="center"/>
    </xf>
    <xf numFmtId="0" fontId="8" fillId="5" borderId="0" xfId="0" applyFont="1" applyFill="1" applyAlignment="1">
      <alignment horizontal="center"/>
    </xf>
    <xf numFmtId="0" fontId="6" fillId="0" borderId="0" xfId="0" applyFont="1" applyAlignment="1">
      <alignment horizontal="center"/>
    </xf>
    <xf numFmtId="0" fontId="5" fillId="2" borderId="0" xfId="0" applyFont="1" applyFill="1" applyAlignment="1">
      <alignment horizontal="center"/>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3" xfId="0" applyFont="1" applyBorder="1" applyAlignment="1">
      <alignment horizontal="center" vertical="center" wrapText="1"/>
    </xf>
    <xf numFmtId="0" fontId="8" fillId="0" borderId="0" xfId="0" applyFont="1" applyBorder="1" applyAlignment="1">
      <alignment horizontal="center" vertical="center" wrapText="1"/>
    </xf>
    <xf numFmtId="0" fontId="8" fillId="0" borderId="7" xfId="0" applyFont="1" applyBorder="1" applyAlignment="1">
      <alignment horizontal="center" vertical="center" wrapText="1"/>
    </xf>
    <xf numFmtId="0" fontId="8" fillId="0" borderId="8" xfId="0" applyFont="1" applyBorder="1" applyAlignment="1">
      <alignment horizontal="center" vertical="center" wrapText="1"/>
    </xf>
    <xf numFmtId="0" fontId="8" fillId="0" borderId="9" xfId="0" applyFont="1" applyBorder="1" applyAlignment="1">
      <alignment horizontal="center" vertical="center" wrapText="1"/>
    </xf>
    <xf numFmtId="0" fontId="5" fillId="6" borderId="2" xfId="0" applyFont="1" applyFill="1" applyBorder="1" applyAlignment="1">
      <alignment horizontal="center" wrapText="1"/>
    </xf>
    <xf numFmtId="0" fontId="2" fillId="0" borderId="11" xfId="1" applyBorder="1" applyAlignment="1">
      <alignment horizontal="left"/>
    </xf>
    <xf numFmtId="0" fontId="2" fillId="0" borderId="12" xfId="1" applyBorder="1" applyAlignment="1">
      <alignment horizontal="left"/>
    </xf>
    <xf numFmtId="0" fontId="2" fillId="0" borderId="13" xfId="1" applyBorder="1" applyAlignment="1">
      <alignment horizontal="left"/>
    </xf>
    <xf numFmtId="0" fontId="0" fillId="0" borderId="0" xfId="0"/>
    <xf numFmtId="14" fontId="0" fillId="0" borderId="0" xfId="0" applyNumberFormat="1"/>
    <xf numFmtId="0" fontId="6" fillId="0" borderId="0" xfId="0" applyFont="1" applyAlignment="1">
      <alignment horizontal="left"/>
    </xf>
    <xf numFmtId="0" fontId="13" fillId="0" borderId="0" xfId="0" applyFont="1" applyAlignment="1">
      <alignment vertical="center" wrapText="1"/>
    </xf>
    <xf numFmtId="0" fontId="17" fillId="0" borderId="0" xfId="0" applyFont="1"/>
  </cellXfs>
  <cellStyles count="2">
    <cellStyle name="Hyperlink" xfId="1" builtinId="8"/>
    <cellStyle name="Normal" xfId="0" builtinId="0"/>
  </cellStyles>
  <dxfs count="47">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FF00"/>
        </patternFill>
      </fill>
    </dxf>
    <dxf>
      <fill>
        <patternFill>
          <bgColor rgb="FFFFC000"/>
        </patternFill>
      </fill>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al-mart.com/personal/p0h00e3_homeoffice_wal-mart_com/Documents/OpExProjects/AdminProject/TemplateFiles/DEV/GM_OPD_BETA_VACCINE_STORE_UserIDs_Partner_New%20Hire_Sheet_v0207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al-mart.com/personal/p0h00e3_homeoffice_wal-mart_com/Documents/OpExProjects/AdminProject/TemplateFiles/DEV/WMCOM_VACCINE_STORE_UserIDs_Partner_New%20Hire_Sheet_v08102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0g00ov\AppData\Local\Microsoft\Windows\INetCache\Content.Outlook\RREFCSJH\UserIDs_iQor_Davao_01.19.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ount Creation"/>
      <sheetName val="New_Selections"/>
      <sheetName val="Issues"/>
      <sheetName val="DateList"/>
      <sheetName val="Selection Options"/>
      <sheetName val="Valid_Keys"/>
    </sheetNames>
    <sheetDataSet>
      <sheetData sheetId="0"/>
      <sheetData sheetId="1">
        <row r="2">
          <cell r="A2" t="str">
            <v>24-7 Intouch</v>
          </cell>
        </row>
        <row r="3">
          <cell r="A3" t="str">
            <v>247.ai</v>
          </cell>
        </row>
        <row r="4">
          <cell r="A4" t="str">
            <v>Alorica</v>
          </cell>
        </row>
        <row r="5">
          <cell r="A5" t="str">
            <v>Ibex</v>
          </cell>
        </row>
        <row r="6">
          <cell r="A6" t="str">
            <v>iQor</v>
          </cell>
        </row>
        <row r="7">
          <cell r="A7" t="str">
            <v>iTel</v>
          </cell>
        </row>
        <row r="8">
          <cell r="A8" t="str">
            <v>Merchants</v>
          </cell>
        </row>
        <row r="9">
          <cell r="A9" t="str">
            <v>Startek</v>
          </cell>
        </row>
        <row r="10">
          <cell r="A10" t="str">
            <v>Teleperformance</v>
          </cell>
        </row>
        <row r="11">
          <cell r="A11" t="str">
            <v>Telus</v>
          </cell>
        </row>
        <row r="12">
          <cell r="A12" t="str">
            <v>Transcom</v>
          </cell>
        </row>
        <row r="13">
          <cell r="A13" t="str">
            <v>Walmart</v>
          </cell>
        </row>
        <row r="67">
          <cell r="A67" t="str">
            <v>Backoffice</v>
          </cell>
        </row>
        <row r="73">
          <cell r="A73" t="str">
            <v>Phone</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ount Creation"/>
      <sheetName val="Selection Options"/>
      <sheetName val="New_Selections"/>
      <sheetName val="DateList"/>
      <sheetName val="Sheet1"/>
      <sheetName val="Issues"/>
      <sheetName val="Valid_Keys"/>
    </sheetNames>
    <sheetDataSet>
      <sheetData sheetId="0"/>
      <sheetData sheetId="1">
        <row r="1">
          <cell r="H1" t="str">
            <v>Contract Team</v>
          </cell>
          <cell r="I1" t="str">
            <v>Contract Team Number</v>
          </cell>
        </row>
        <row r="3">
          <cell r="H3" t="str">
            <v>24-7 Intouch</v>
          </cell>
          <cell r="I3">
            <v>5254</v>
          </cell>
        </row>
        <row r="4">
          <cell r="H4" t="str">
            <v>24-7 Intouch Stores</v>
          </cell>
          <cell r="I4">
            <v>5284</v>
          </cell>
        </row>
        <row r="5">
          <cell r="H5" t="str">
            <v>247.ai</v>
          </cell>
          <cell r="I5">
            <v>5239</v>
          </cell>
        </row>
        <row r="6">
          <cell r="H6" t="str">
            <v>Alorica</v>
          </cell>
          <cell r="I6">
            <v>5268</v>
          </cell>
        </row>
        <row r="7">
          <cell r="H7" t="str">
            <v>Ibex</v>
          </cell>
          <cell r="I7">
            <v>5274</v>
          </cell>
        </row>
        <row r="8">
          <cell r="H8" t="str">
            <v>iQor</v>
          </cell>
          <cell r="I8">
            <v>5278</v>
          </cell>
        </row>
        <row r="9">
          <cell r="H9" t="str">
            <v>iTel</v>
          </cell>
          <cell r="I9">
            <v>7245</v>
          </cell>
        </row>
        <row r="10">
          <cell r="H10" t="str">
            <v>Merchants</v>
          </cell>
          <cell r="I10">
            <v>2081</v>
          </cell>
        </row>
        <row r="11">
          <cell r="H11" t="str">
            <v>StarTek</v>
          </cell>
          <cell r="I11">
            <v>5300</v>
          </cell>
        </row>
        <row r="12">
          <cell r="H12" t="str">
            <v>Teleperformance</v>
          </cell>
          <cell r="I12">
            <v>5256</v>
          </cell>
        </row>
        <row r="13">
          <cell r="H13" t="str">
            <v>Teleperformance Stores</v>
          </cell>
          <cell r="I13">
            <v>7541</v>
          </cell>
        </row>
        <row r="14">
          <cell r="H14" t="str">
            <v>Telus</v>
          </cell>
          <cell r="I14">
            <v>5264</v>
          </cell>
        </row>
        <row r="15">
          <cell r="H15" t="str">
            <v>Transcom</v>
          </cell>
          <cell r="I15">
            <v>7245</v>
          </cell>
        </row>
        <row r="16">
          <cell r="H16" t="str">
            <v>StarTek Stores</v>
          </cell>
          <cell r="I16">
            <v>5300</v>
          </cell>
        </row>
        <row r="17">
          <cell r="H17" t="str">
            <v>Ibex Stores</v>
          </cell>
          <cell r="I17">
            <v>5274</v>
          </cell>
        </row>
      </sheetData>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ount Creation"/>
      <sheetName val="DateList"/>
      <sheetName val="Selection Options"/>
    </sheetNames>
    <sheetDataSet>
      <sheetData sheetId="0"/>
      <sheetData sheetId="1"/>
      <sheetData sheetId="2">
        <row r="2">
          <cell r="E2" t="str">
            <v>Choose One</v>
          </cell>
          <cell r="F2" t="str">
            <v>Choose One</v>
          </cell>
        </row>
        <row r="3">
          <cell r="F3" t="str">
            <v>Bangalore</v>
          </cell>
        </row>
        <row r="4">
          <cell r="F4" t="str">
            <v>Bogota</v>
          </cell>
        </row>
        <row r="5">
          <cell r="F5" t="str">
            <v>Cape Town</v>
          </cell>
        </row>
        <row r="6">
          <cell r="F6" t="str">
            <v>Davao</v>
          </cell>
        </row>
        <row r="7">
          <cell r="F7" t="str">
            <v>Denver</v>
          </cell>
        </row>
        <row r="8">
          <cell r="F8" t="str">
            <v>Guatemala City</v>
          </cell>
        </row>
        <row r="9">
          <cell r="F9" t="str">
            <v xml:space="preserve">Hyderabad </v>
          </cell>
        </row>
        <row r="10">
          <cell r="F10" t="str">
            <v>Iloilo</v>
          </cell>
        </row>
        <row r="11">
          <cell r="F11" t="str">
            <v>Karachi</v>
          </cell>
        </row>
        <row r="12">
          <cell r="F12" t="str">
            <v>Kingston</v>
          </cell>
        </row>
        <row r="13">
          <cell r="F13" t="str">
            <v>Lahore</v>
          </cell>
        </row>
        <row r="14">
          <cell r="F14" t="str">
            <v xml:space="preserve">Manila </v>
          </cell>
        </row>
        <row r="15">
          <cell r="F15" t="str">
            <v xml:space="preserve">San Salvador </v>
          </cell>
        </row>
        <row r="16">
          <cell r="F16" t="str">
            <v>Santa Domingo</v>
          </cell>
        </row>
        <row r="17">
          <cell r="F17" t="str">
            <v>Tegucigalpa</v>
          </cell>
        </row>
        <row r="18">
          <cell r="F18" t="str">
            <v>WFH</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WalmartGUAleadership@247.ai" TargetMode="External"/><Relationship Id="rId13" Type="http://schemas.openxmlformats.org/officeDocument/2006/relationships/hyperlink" Target="mailto:WalmartGUAleadership@247.ai" TargetMode="External"/><Relationship Id="rId18" Type="http://schemas.openxmlformats.org/officeDocument/2006/relationships/hyperlink" Target="mailto:WalmartGUAleadership@247.ai" TargetMode="External"/><Relationship Id="rId26" Type="http://schemas.openxmlformats.org/officeDocument/2006/relationships/hyperlink" Target="mailto:wmvccpasswordreset@taskus.com" TargetMode="External"/><Relationship Id="rId3" Type="http://schemas.openxmlformats.org/officeDocument/2006/relationships/hyperlink" Target="mailto:WalmartGUAleadership@247.ai" TargetMode="External"/><Relationship Id="rId21" Type="http://schemas.openxmlformats.org/officeDocument/2006/relationships/hyperlink" Target="mailto:TegucigalpaWalmartCRPBOperations@startek.com" TargetMode="External"/><Relationship Id="rId7" Type="http://schemas.openxmlformats.org/officeDocument/2006/relationships/hyperlink" Target="mailto:WalmartGUAleadership@247.ai" TargetMode="External"/><Relationship Id="rId12" Type="http://schemas.openxmlformats.org/officeDocument/2006/relationships/hyperlink" Target="mailto:WalmartGUAleadership@247.ai" TargetMode="External"/><Relationship Id="rId17" Type="http://schemas.openxmlformats.org/officeDocument/2006/relationships/hyperlink" Target="mailto:WalmartGUAleadership@247.ai" TargetMode="External"/><Relationship Id="rId25" Type="http://schemas.openxmlformats.org/officeDocument/2006/relationships/hyperlink" Target="mailto:wmvccpasswordreset@taskus.com" TargetMode="External"/><Relationship Id="rId2" Type="http://schemas.openxmlformats.org/officeDocument/2006/relationships/hyperlink" Target="mailto:WalmartGUAleadership@247.ai" TargetMode="External"/><Relationship Id="rId16" Type="http://schemas.openxmlformats.org/officeDocument/2006/relationships/hyperlink" Target="mailto:WalmartGUAleadership@247.ai" TargetMode="External"/><Relationship Id="rId20" Type="http://schemas.openxmlformats.org/officeDocument/2006/relationships/hyperlink" Target="mailto:TegucigalpaWalmartCRPBOperations@startek.com" TargetMode="External"/><Relationship Id="rId29" Type="http://schemas.openxmlformats.org/officeDocument/2006/relationships/hyperlink" Target="mailto:WMTMNLVCCPWRESET@24-7intouch.com" TargetMode="External"/><Relationship Id="rId1" Type="http://schemas.openxmlformats.org/officeDocument/2006/relationships/hyperlink" Target="mailto:WalmartGUAleadership@247.ai" TargetMode="External"/><Relationship Id="rId6" Type="http://schemas.openxmlformats.org/officeDocument/2006/relationships/hyperlink" Target="mailto:WalmartGUAleadership@247.ai" TargetMode="External"/><Relationship Id="rId11" Type="http://schemas.openxmlformats.org/officeDocument/2006/relationships/hyperlink" Target="mailto:WalmartGUAleadership@247.ai" TargetMode="External"/><Relationship Id="rId24" Type="http://schemas.openxmlformats.org/officeDocument/2006/relationships/hyperlink" Target="mailto:Walmart_Ops-GUY@itelinternational.com" TargetMode="External"/><Relationship Id="rId5" Type="http://schemas.openxmlformats.org/officeDocument/2006/relationships/hyperlink" Target="mailto:WalmartGUAleadership@247.ai" TargetMode="External"/><Relationship Id="rId15" Type="http://schemas.openxmlformats.org/officeDocument/2006/relationships/hyperlink" Target="mailto:WalmartGUAleadership@247.ai" TargetMode="External"/><Relationship Id="rId23" Type="http://schemas.openxmlformats.org/officeDocument/2006/relationships/hyperlink" Target="mailto:Walmart_Ops-GUY@itelinternational.com" TargetMode="External"/><Relationship Id="rId28" Type="http://schemas.openxmlformats.org/officeDocument/2006/relationships/hyperlink" Target="mailto:Walmart.Managers@teleperformancedibs.com" TargetMode="External"/><Relationship Id="rId10" Type="http://schemas.openxmlformats.org/officeDocument/2006/relationships/hyperlink" Target="mailto:WalmartGUAleadership@247.ai" TargetMode="External"/><Relationship Id="rId19" Type="http://schemas.openxmlformats.org/officeDocument/2006/relationships/hyperlink" Target="mailto:WalmartGUAleadership@247.ai" TargetMode="External"/><Relationship Id="rId31" Type="http://schemas.openxmlformats.org/officeDocument/2006/relationships/printerSettings" Target="../printerSettings/printerSettings1.bin"/><Relationship Id="rId4" Type="http://schemas.openxmlformats.org/officeDocument/2006/relationships/hyperlink" Target="mailto:WalmartGUAleadership@247.ai" TargetMode="External"/><Relationship Id="rId9" Type="http://schemas.openxmlformats.org/officeDocument/2006/relationships/hyperlink" Target="mailto:WalmartGUAleadership@247.ai" TargetMode="External"/><Relationship Id="rId14" Type="http://schemas.openxmlformats.org/officeDocument/2006/relationships/hyperlink" Target="mailto:WalmartGUAleadership@247.ai" TargetMode="External"/><Relationship Id="rId22" Type="http://schemas.openxmlformats.org/officeDocument/2006/relationships/hyperlink" Target="mailto:Walmart_Ops-GUY@itelinternational.com" TargetMode="External"/><Relationship Id="rId27" Type="http://schemas.openxmlformats.org/officeDocument/2006/relationships/hyperlink" Target="mailto:Walmart.Managers@teleperformancedibs.com" TargetMode="External"/><Relationship Id="rId30" Type="http://schemas.openxmlformats.org/officeDocument/2006/relationships/hyperlink" Target="mailto:WMTMNLVCCPWRESET@24-7intouch.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1@Password" TargetMode="External"/><Relationship Id="rId13" Type="http://schemas.openxmlformats.org/officeDocument/2006/relationships/hyperlink" Target="mailto:1@Password" TargetMode="External"/><Relationship Id="rId3" Type="http://schemas.openxmlformats.org/officeDocument/2006/relationships/hyperlink" Target="mailto:1@Password" TargetMode="External"/><Relationship Id="rId7" Type="http://schemas.openxmlformats.org/officeDocument/2006/relationships/hyperlink" Target="mailto:1@Password" TargetMode="External"/><Relationship Id="rId12" Type="http://schemas.openxmlformats.org/officeDocument/2006/relationships/hyperlink" Target="mailto:1@Password" TargetMode="External"/><Relationship Id="rId2" Type="http://schemas.openxmlformats.org/officeDocument/2006/relationships/hyperlink" Target="mailto:1@Password" TargetMode="External"/><Relationship Id="rId16" Type="http://schemas.openxmlformats.org/officeDocument/2006/relationships/printerSettings" Target="../printerSettings/printerSettings5.bin"/><Relationship Id="rId1" Type="http://schemas.openxmlformats.org/officeDocument/2006/relationships/hyperlink" Target="mailto:1@Password" TargetMode="External"/><Relationship Id="rId6" Type="http://schemas.openxmlformats.org/officeDocument/2006/relationships/hyperlink" Target="mailto:1@Password" TargetMode="External"/><Relationship Id="rId11" Type="http://schemas.openxmlformats.org/officeDocument/2006/relationships/hyperlink" Target="mailto:1@Password" TargetMode="External"/><Relationship Id="rId5" Type="http://schemas.openxmlformats.org/officeDocument/2006/relationships/hyperlink" Target="mailto:1@Password" TargetMode="External"/><Relationship Id="rId15" Type="http://schemas.openxmlformats.org/officeDocument/2006/relationships/hyperlink" Target="mailto:1@Password" TargetMode="External"/><Relationship Id="rId10" Type="http://schemas.openxmlformats.org/officeDocument/2006/relationships/hyperlink" Target="mailto:1@Password" TargetMode="External"/><Relationship Id="rId4" Type="http://schemas.openxmlformats.org/officeDocument/2006/relationships/hyperlink" Target="mailto:1@Password" TargetMode="External"/><Relationship Id="rId9" Type="http://schemas.openxmlformats.org/officeDocument/2006/relationships/hyperlink" Target="mailto:1@Password" TargetMode="External"/><Relationship Id="rId14" Type="http://schemas.openxmlformats.org/officeDocument/2006/relationships/hyperlink" Target="mailto:1@Password"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1@Password" TargetMode="External"/><Relationship Id="rId13" Type="http://schemas.openxmlformats.org/officeDocument/2006/relationships/hyperlink" Target="mailto:1@Password" TargetMode="External"/><Relationship Id="rId3" Type="http://schemas.openxmlformats.org/officeDocument/2006/relationships/hyperlink" Target="mailto:1@Password" TargetMode="External"/><Relationship Id="rId7" Type="http://schemas.openxmlformats.org/officeDocument/2006/relationships/hyperlink" Target="mailto:1@Password" TargetMode="External"/><Relationship Id="rId12" Type="http://schemas.openxmlformats.org/officeDocument/2006/relationships/hyperlink" Target="mailto:1@Password" TargetMode="External"/><Relationship Id="rId2" Type="http://schemas.openxmlformats.org/officeDocument/2006/relationships/hyperlink" Target="mailto:1@Password" TargetMode="External"/><Relationship Id="rId16" Type="http://schemas.openxmlformats.org/officeDocument/2006/relationships/printerSettings" Target="../printerSettings/printerSettings7.bin"/><Relationship Id="rId1" Type="http://schemas.openxmlformats.org/officeDocument/2006/relationships/hyperlink" Target="mailto:1@Password" TargetMode="External"/><Relationship Id="rId6" Type="http://schemas.openxmlformats.org/officeDocument/2006/relationships/hyperlink" Target="mailto:1@Password" TargetMode="External"/><Relationship Id="rId11" Type="http://schemas.openxmlformats.org/officeDocument/2006/relationships/hyperlink" Target="mailto:1@Password" TargetMode="External"/><Relationship Id="rId5" Type="http://schemas.openxmlformats.org/officeDocument/2006/relationships/hyperlink" Target="mailto:1@Password" TargetMode="External"/><Relationship Id="rId15" Type="http://schemas.openxmlformats.org/officeDocument/2006/relationships/hyperlink" Target="mailto:1@Password" TargetMode="External"/><Relationship Id="rId10" Type="http://schemas.openxmlformats.org/officeDocument/2006/relationships/hyperlink" Target="mailto:1@Password" TargetMode="External"/><Relationship Id="rId4" Type="http://schemas.openxmlformats.org/officeDocument/2006/relationships/hyperlink" Target="mailto:1@Password" TargetMode="External"/><Relationship Id="rId9" Type="http://schemas.openxmlformats.org/officeDocument/2006/relationships/hyperlink" Target="mailto:1@Password" TargetMode="External"/><Relationship Id="rId14" Type="http://schemas.openxmlformats.org/officeDocument/2006/relationships/hyperlink" Target="mailto:1@Password"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17" Type="http://schemas.openxmlformats.org/officeDocument/2006/relationships/hyperlink" Target="mailto:Walmart@2" TargetMode="External"/><Relationship Id="rId21" Type="http://schemas.openxmlformats.org/officeDocument/2006/relationships/hyperlink" Target="mailto:Walmart@2" TargetMode="External"/><Relationship Id="rId42" Type="http://schemas.openxmlformats.org/officeDocument/2006/relationships/hyperlink" Target="mailto:Walmart@2" TargetMode="External"/><Relationship Id="rId63" Type="http://schemas.openxmlformats.org/officeDocument/2006/relationships/hyperlink" Target="mailto:Walmart@2" TargetMode="External"/><Relationship Id="rId84" Type="http://schemas.openxmlformats.org/officeDocument/2006/relationships/hyperlink" Target="mailto:Walmart@2" TargetMode="External"/><Relationship Id="rId138" Type="http://schemas.openxmlformats.org/officeDocument/2006/relationships/hyperlink" Target="mailto:Walmart@2" TargetMode="External"/><Relationship Id="rId159" Type="http://schemas.openxmlformats.org/officeDocument/2006/relationships/hyperlink" Target="mailto:Walmart@2" TargetMode="External"/><Relationship Id="rId170" Type="http://schemas.openxmlformats.org/officeDocument/2006/relationships/hyperlink" Target="mailto:Walmart@2" TargetMode="External"/><Relationship Id="rId191" Type="http://schemas.openxmlformats.org/officeDocument/2006/relationships/hyperlink" Target="mailto:Walmart@2" TargetMode="External"/><Relationship Id="rId205" Type="http://schemas.openxmlformats.org/officeDocument/2006/relationships/hyperlink" Target="mailto:Walmart@2" TargetMode="External"/><Relationship Id="rId226" Type="http://schemas.openxmlformats.org/officeDocument/2006/relationships/hyperlink" Target="mailto:Walmart@2" TargetMode="External"/><Relationship Id="rId247" Type="http://schemas.openxmlformats.org/officeDocument/2006/relationships/hyperlink" Target="mailto:Walmart@2" TargetMode="External"/><Relationship Id="rId107" Type="http://schemas.openxmlformats.org/officeDocument/2006/relationships/hyperlink" Target="mailto:Walmart@2" TargetMode="External"/><Relationship Id="rId11" Type="http://schemas.openxmlformats.org/officeDocument/2006/relationships/hyperlink" Target="mailto:Walmart@2" TargetMode="External"/><Relationship Id="rId32" Type="http://schemas.openxmlformats.org/officeDocument/2006/relationships/hyperlink" Target="mailto:Walmart@2" TargetMode="External"/><Relationship Id="rId53" Type="http://schemas.openxmlformats.org/officeDocument/2006/relationships/hyperlink" Target="mailto:Walmart@2" TargetMode="External"/><Relationship Id="rId74" Type="http://schemas.openxmlformats.org/officeDocument/2006/relationships/hyperlink" Target="mailto:Walmart@2" TargetMode="External"/><Relationship Id="rId128" Type="http://schemas.openxmlformats.org/officeDocument/2006/relationships/hyperlink" Target="mailto:Walmart@2" TargetMode="External"/><Relationship Id="rId149" Type="http://schemas.openxmlformats.org/officeDocument/2006/relationships/hyperlink" Target="mailto:Walmart@2" TargetMode="External"/><Relationship Id="rId5" Type="http://schemas.openxmlformats.org/officeDocument/2006/relationships/hyperlink" Target="mailto:Walmart@2" TargetMode="External"/><Relationship Id="rId95" Type="http://schemas.openxmlformats.org/officeDocument/2006/relationships/hyperlink" Target="mailto:Walmart@2" TargetMode="External"/><Relationship Id="rId160" Type="http://schemas.openxmlformats.org/officeDocument/2006/relationships/hyperlink" Target="mailto:Walmart@2" TargetMode="External"/><Relationship Id="rId181" Type="http://schemas.openxmlformats.org/officeDocument/2006/relationships/hyperlink" Target="mailto:Walmart@2" TargetMode="External"/><Relationship Id="rId216" Type="http://schemas.openxmlformats.org/officeDocument/2006/relationships/hyperlink" Target="mailto:Walmart@2" TargetMode="External"/><Relationship Id="rId237" Type="http://schemas.openxmlformats.org/officeDocument/2006/relationships/hyperlink" Target="mailto:Walmart@2" TargetMode="External"/><Relationship Id="rId22" Type="http://schemas.openxmlformats.org/officeDocument/2006/relationships/hyperlink" Target="mailto:Walmart@2" TargetMode="External"/><Relationship Id="rId43" Type="http://schemas.openxmlformats.org/officeDocument/2006/relationships/hyperlink" Target="mailto:Walmart@2" TargetMode="External"/><Relationship Id="rId64" Type="http://schemas.openxmlformats.org/officeDocument/2006/relationships/hyperlink" Target="mailto:Walmart@2" TargetMode="External"/><Relationship Id="rId118" Type="http://schemas.openxmlformats.org/officeDocument/2006/relationships/hyperlink" Target="mailto:Walmart@2" TargetMode="External"/><Relationship Id="rId139" Type="http://schemas.openxmlformats.org/officeDocument/2006/relationships/hyperlink" Target="mailto:Walmart@2" TargetMode="External"/><Relationship Id="rId85" Type="http://schemas.openxmlformats.org/officeDocument/2006/relationships/hyperlink" Target="mailto:Walmart@2" TargetMode="External"/><Relationship Id="rId150" Type="http://schemas.openxmlformats.org/officeDocument/2006/relationships/hyperlink" Target="mailto:Walmart@2" TargetMode="External"/><Relationship Id="rId171" Type="http://schemas.openxmlformats.org/officeDocument/2006/relationships/hyperlink" Target="mailto:Walmart@2" TargetMode="External"/><Relationship Id="rId192" Type="http://schemas.openxmlformats.org/officeDocument/2006/relationships/hyperlink" Target="mailto:Walmart@2" TargetMode="External"/><Relationship Id="rId206" Type="http://schemas.openxmlformats.org/officeDocument/2006/relationships/hyperlink" Target="mailto:Walmart@2" TargetMode="External"/><Relationship Id="rId227" Type="http://schemas.openxmlformats.org/officeDocument/2006/relationships/hyperlink" Target="mailto:Walmart@2" TargetMode="External"/><Relationship Id="rId248" Type="http://schemas.openxmlformats.org/officeDocument/2006/relationships/hyperlink" Target="mailto:Walmart@2" TargetMode="External"/><Relationship Id="rId12" Type="http://schemas.openxmlformats.org/officeDocument/2006/relationships/hyperlink" Target="mailto:Walmart@2" TargetMode="External"/><Relationship Id="rId33" Type="http://schemas.openxmlformats.org/officeDocument/2006/relationships/hyperlink" Target="mailto:Walmart@2" TargetMode="External"/><Relationship Id="rId108" Type="http://schemas.openxmlformats.org/officeDocument/2006/relationships/hyperlink" Target="mailto:Walmart@2" TargetMode="External"/><Relationship Id="rId129" Type="http://schemas.openxmlformats.org/officeDocument/2006/relationships/hyperlink" Target="mailto:Walmart@2" TargetMode="External"/><Relationship Id="rId54" Type="http://schemas.openxmlformats.org/officeDocument/2006/relationships/hyperlink" Target="mailto:Walmart@2" TargetMode="External"/><Relationship Id="rId75" Type="http://schemas.openxmlformats.org/officeDocument/2006/relationships/hyperlink" Target="mailto:Walmart@2" TargetMode="External"/><Relationship Id="rId96" Type="http://schemas.openxmlformats.org/officeDocument/2006/relationships/hyperlink" Target="mailto:Walmart@2" TargetMode="External"/><Relationship Id="rId140" Type="http://schemas.openxmlformats.org/officeDocument/2006/relationships/hyperlink" Target="mailto:Walmart@2" TargetMode="External"/><Relationship Id="rId161" Type="http://schemas.openxmlformats.org/officeDocument/2006/relationships/hyperlink" Target="mailto:Walmart@2" TargetMode="External"/><Relationship Id="rId182" Type="http://schemas.openxmlformats.org/officeDocument/2006/relationships/hyperlink" Target="mailto:Walmart@2" TargetMode="External"/><Relationship Id="rId217" Type="http://schemas.openxmlformats.org/officeDocument/2006/relationships/hyperlink" Target="mailto:Walmart@2" TargetMode="External"/><Relationship Id="rId6" Type="http://schemas.openxmlformats.org/officeDocument/2006/relationships/hyperlink" Target="mailto:Walmart@2" TargetMode="External"/><Relationship Id="rId238" Type="http://schemas.openxmlformats.org/officeDocument/2006/relationships/hyperlink" Target="mailto:Walmart@2" TargetMode="External"/><Relationship Id="rId23" Type="http://schemas.openxmlformats.org/officeDocument/2006/relationships/hyperlink" Target="mailto:Walmart@2" TargetMode="External"/><Relationship Id="rId119" Type="http://schemas.openxmlformats.org/officeDocument/2006/relationships/hyperlink" Target="mailto:Walmart@2" TargetMode="External"/><Relationship Id="rId44" Type="http://schemas.openxmlformats.org/officeDocument/2006/relationships/hyperlink" Target="mailto:Walmart@2" TargetMode="External"/><Relationship Id="rId65" Type="http://schemas.openxmlformats.org/officeDocument/2006/relationships/hyperlink" Target="mailto:Walmart@2" TargetMode="External"/><Relationship Id="rId86" Type="http://schemas.openxmlformats.org/officeDocument/2006/relationships/hyperlink" Target="mailto:Walmart@2" TargetMode="External"/><Relationship Id="rId130" Type="http://schemas.openxmlformats.org/officeDocument/2006/relationships/hyperlink" Target="mailto:Walmart@2" TargetMode="External"/><Relationship Id="rId151" Type="http://schemas.openxmlformats.org/officeDocument/2006/relationships/hyperlink" Target="mailto:Walmart@2" TargetMode="External"/><Relationship Id="rId172" Type="http://schemas.openxmlformats.org/officeDocument/2006/relationships/hyperlink" Target="mailto:Walmart@2" TargetMode="External"/><Relationship Id="rId193" Type="http://schemas.openxmlformats.org/officeDocument/2006/relationships/hyperlink" Target="mailto:Walmart@2" TargetMode="External"/><Relationship Id="rId207" Type="http://schemas.openxmlformats.org/officeDocument/2006/relationships/hyperlink" Target="mailto:Walmart@2" TargetMode="External"/><Relationship Id="rId228" Type="http://schemas.openxmlformats.org/officeDocument/2006/relationships/hyperlink" Target="mailto:Walmart@2" TargetMode="External"/><Relationship Id="rId249" Type="http://schemas.openxmlformats.org/officeDocument/2006/relationships/hyperlink" Target="mailto:Walmart@2" TargetMode="External"/><Relationship Id="rId13" Type="http://schemas.openxmlformats.org/officeDocument/2006/relationships/hyperlink" Target="mailto:Walmart@2" TargetMode="External"/><Relationship Id="rId109" Type="http://schemas.openxmlformats.org/officeDocument/2006/relationships/hyperlink" Target="mailto:Walmart@2" TargetMode="External"/><Relationship Id="rId34" Type="http://schemas.openxmlformats.org/officeDocument/2006/relationships/hyperlink" Target="mailto:Walmart@2" TargetMode="External"/><Relationship Id="rId55" Type="http://schemas.openxmlformats.org/officeDocument/2006/relationships/hyperlink" Target="mailto:Walmart@2" TargetMode="External"/><Relationship Id="rId76" Type="http://schemas.openxmlformats.org/officeDocument/2006/relationships/hyperlink" Target="mailto:Walmart@2" TargetMode="External"/><Relationship Id="rId97" Type="http://schemas.openxmlformats.org/officeDocument/2006/relationships/hyperlink" Target="mailto:Walmart@2" TargetMode="External"/><Relationship Id="rId120" Type="http://schemas.openxmlformats.org/officeDocument/2006/relationships/hyperlink" Target="mailto:Walmart@2" TargetMode="External"/><Relationship Id="rId141" Type="http://schemas.openxmlformats.org/officeDocument/2006/relationships/hyperlink" Target="mailto:Walmart@2" TargetMode="External"/><Relationship Id="rId7" Type="http://schemas.openxmlformats.org/officeDocument/2006/relationships/hyperlink" Target="mailto:Walmart@2" TargetMode="External"/><Relationship Id="rId162" Type="http://schemas.openxmlformats.org/officeDocument/2006/relationships/hyperlink" Target="mailto:Walmart@2" TargetMode="External"/><Relationship Id="rId183" Type="http://schemas.openxmlformats.org/officeDocument/2006/relationships/hyperlink" Target="mailto:Walmart@2" TargetMode="External"/><Relationship Id="rId218" Type="http://schemas.openxmlformats.org/officeDocument/2006/relationships/hyperlink" Target="mailto:Walmart@2" TargetMode="External"/><Relationship Id="rId239" Type="http://schemas.openxmlformats.org/officeDocument/2006/relationships/hyperlink" Target="mailto:Walmart@2" TargetMode="External"/><Relationship Id="rId250" Type="http://schemas.openxmlformats.org/officeDocument/2006/relationships/printerSettings" Target="../printerSettings/printerSettings10.bin"/><Relationship Id="rId24" Type="http://schemas.openxmlformats.org/officeDocument/2006/relationships/hyperlink" Target="mailto:Walmart@2" TargetMode="External"/><Relationship Id="rId45" Type="http://schemas.openxmlformats.org/officeDocument/2006/relationships/hyperlink" Target="mailto:Walmart@2" TargetMode="External"/><Relationship Id="rId66" Type="http://schemas.openxmlformats.org/officeDocument/2006/relationships/hyperlink" Target="mailto:Walmart@2" TargetMode="External"/><Relationship Id="rId87" Type="http://schemas.openxmlformats.org/officeDocument/2006/relationships/hyperlink" Target="mailto:Walmart@2" TargetMode="External"/><Relationship Id="rId110" Type="http://schemas.openxmlformats.org/officeDocument/2006/relationships/hyperlink" Target="mailto:Walmart@2" TargetMode="External"/><Relationship Id="rId131" Type="http://schemas.openxmlformats.org/officeDocument/2006/relationships/hyperlink" Target="mailto:Walmart@2" TargetMode="External"/><Relationship Id="rId152" Type="http://schemas.openxmlformats.org/officeDocument/2006/relationships/hyperlink" Target="mailto:Walmart@2" TargetMode="External"/><Relationship Id="rId173" Type="http://schemas.openxmlformats.org/officeDocument/2006/relationships/hyperlink" Target="mailto:Walmart@2" TargetMode="External"/><Relationship Id="rId194" Type="http://schemas.openxmlformats.org/officeDocument/2006/relationships/hyperlink" Target="mailto:Walmart@2" TargetMode="External"/><Relationship Id="rId208" Type="http://schemas.openxmlformats.org/officeDocument/2006/relationships/hyperlink" Target="mailto:Walmart@2" TargetMode="External"/><Relationship Id="rId229" Type="http://schemas.openxmlformats.org/officeDocument/2006/relationships/hyperlink" Target="mailto:Walmart@2" TargetMode="External"/><Relationship Id="rId240" Type="http://schemas.openxmlformats.org/officeDocument/2006/relationships/hyperlink" Target="mailto:Walmart@2" TargetMode="External"/><Relationship Id="rId14" Type="http://schemas.openxmlformats.org/officeDocument/2006/relationships/hyperlink" Target="mailto:Walmart@2" TargetMode="External"/><Relationship Id="rId35" Type="http://schemas.openxmlformats.org/officeDocument/2006/relationships/hyperlink" Target="mailto:Walmart@2" TargetMode="External"/><Relationship Id="rId56" Type="http://schemas.openxmlformats.org/officeDocument/2006/relationships/hyperlink" Target="mailto:Walmart@2" TargetMode="External"/><Relationship Id="rId77" Type="http://schemas.openxmlformats.org/officeDocument/2006/relationships/hyperlink" Target="mailto:Walmart@2" TargetMode="External"/><Relationship Id="rId100" Type="http://schemas.openxmlformats.org/officeDocument/2006/relationships/hyperlink" Target="mailto:Walmart@2" TargetMode="External"/><Relationship Id="rId8" Type="http://schemas.openxmlformats.org/officeDocument/2006/relationships/hyperlink" Target="mailto:Walmart@2" TargetMode="External"/><Relationship Id="rId98" Type="http://schemas.openxmlformats.org/officeDocument/2006/relationships/hyperlink" Target="mailto:Walmart@2" TargetMode="External"/><Relationship Id="rId121" Type="http://schemas.openxmlformats.org/officeDocument/2006/relationships/hyperlink" Target="mailto:Walmart@2" TargetMode="External"/><Relationship Id="rId142" Type="http://schemas.openxmlformats.org/officeDocument/2006/relationships/hyperlink" Target="mailto:Walmart@2" TargetMode="External"/><Relationship Id="rId163" Type="http://schemas.openxmlformats.org/officeDocument/2006/relationships/hyperlink" Target="mailto:Walmart@2" TargetMode="External"/><Relationship Id="rId184" Type="http://schemas.openxmlformats.org/officeDocument/2006/relationships/hyperlink" Target="mailto:Walmart@2" TargetMode="External"/><Relationship Id="rId219" Type="http://schemas.openxmlformats.org/officeDocument/2006/relationships/hyperlink" Target="mailto:Walmart@2" TargetMode="External"/><Relationship Id="rId230" Type="http://schemas.openxmlformats.org/officeDocument/2006/relationships/hyperlink" Target="mailto:Walmart@2" TargetMode="External"/><Relationship Id="rId25" Type="http://schemas.openxmlformats.org/officeDocument/2006/relationships/hyperlink" Target="mailto:Walmart@2" TargetMode="External"/><Relationship Id="rId46" Type="http://schemas.openxmlformats.org/officeDocument/2006/relationships/hyperlink" Target="mailto:Walmart@2" TargetMode="External"/><Relationship Id="rId67" Type="http://schemas.openxmlformats.org/officeDocument/2006/relationships/hyperlink" Target="mailto:Walmart@2" TargetMode="External"/><Relationship Id="rId88" Type="http://schemas.openxmlformats.org/officeDocument/2006/relationships/hyperlink" Target="mailto:Walmart@2" TargetMode="External"/><Relationship Id="rId111" Type="http://schemas.openxmlformats.org/officeDocument/2006/relationships/hyperlink" Target="mailto:Walmart@2" TargetMode="External"/><Relationship Id="rId132" Type="http://schemas.openxmlformats.org/officeDocument/2006/relationships/hyperlink" Target="mailto:Walmart@2" TargetMode="External"/><Relationship Id="rId153" Type="http://schemas.openxmlformats.org/officeDocument/2006/relationships/hyperlink" Target="mailto:Walmart@2" TargetMode="External"/><Relationship Id="rId174" Type="http://schemas.openxmlformats.org/officeDocument/2006/relationships/hyperlink" Target="mailto:Walmart@2" TargetMode="External"/><Relationship Id="rId195" Type="http://schemas.openxmlformats.org/officeDocument/2006/relationships/hyperlink" Target="mailto:Walmart@2" TargetMode="External"/><Relationship Id="rId209" Type="http://schemas.openxmlformats.org/officeDocument/2006/relationships/hyperlink" Target="mailto:Walmart@2" TargetMode="External"/><Relationship Id="rId220" Type="http://schemas.openxmlformats.org/officeDocument/2006/relationships/hyperlink" Target="mailto:Walmart@2" TargetMode="External"/><Relationship Id="rId241" Type="http://schemas.openxmlformats.org/officeDocument/2006/relationships/hyperlink" Target="mailto:Walmart@2" TargetMode="External"/><Relationship Id="rId15" Type="http://schemas.openxmlformats.org/officeDocument/2006/relationships/hyperlink" Target="mailto:Walmart@2" TargetMode="External"/><Relationship Id="rId36" Type="http://schemas.openxmlformats.org/officeDocument/2006/relationships/hyperlink" Target="mailto:Walmart@2" TargetMode="External"/><Relationship Id="rId57" Type="http://schemas.openxmlformats.org/officeDocument/2006/relationships/hyperlink" Target="mailto:Walmart@2" TargetMode="External"/><Relationship Id="rId78" Type="http://schemas.openxmlformats.org/officeDocument/2006/relationships/hyperlink" Target="mailto:Walmart@2" TargetMode="External"/><Relationship Id="rId99" Type="http://schemas.openxmlformats.org/officeDocument/2006/relationships/hyperlink" Target="mailto:Walmart@2" TargetMode="External"/><Relationship Id="rId101" Type="http://schemas.openxmlformats.org/officeDocument/2006/relationships/hyperlink" Target="mailto:Walmart@2" TargetMode="External"/><Relationship Id="rId122" Type="http://schemas.openxmlformats.org/officeDocument/2006/relationships/hyperlink" Target="mailto:Walmart@2" TargetMode="External"/><Relationship Id="rId143" Type="http://schemas.openxmlformats.org/officeDocument/2006/relationships/hyperlink" Target="mailto:Walmart@2" TargetMode="External"/><Relationship Id="rId164" Type="http://schemas.openxmlformats.org/officeDocument/2006/relationships/hyperlink" Target="mailto:Walmart@2" TargetMode="External"/><Relationship Id="rId185" Type="http://schemas.openxmlformats.org/officeDocument/2006/relationships/hyperlink" Target="mailto:Walmart@2" TargetMode="External"/><Relationship Id="rId4" Type="http://schemas.openxmlformats.org/officeDocument/2006/relationships/hyperlink" Target="mailto:Walmart@2" TargetMode="External"/><Relationship Id="rId9" Type="http://schemas.openxmlformats.org/officeDocument/2006/relationships/hyperlink" Target="mailto:Walmart@2" TargetMode="External"/><Relationship Id="rId180" Type="http://schemas.openxmlformats.org/officeDocument/2006/relationships/hyperlink" Target="mailto:Walmart@2" TargetMode="External"/><Relationship Id="rId210" Type="http://schemas.openxmlformats.org/officeDocument/2006/relationships/hyperlink" Target="mailto:Walmart@2" TargetMode="External"/><Relationship Id="rId215" Type="http://schemas.openxmlformats.org/officeDocument/2006/relationships/hyperlink" Target="mailto:Walmart@2" TargetMode="External"/><Relationship Id="rId236" Type="http://schemas.openxmlformats.org/officeDocument/2006/relationships/hyperlink" Target="mailto:Walmart@2" TargetMode="External"/><Relationship Id="rId26" Type="http://schemas.openxmlformats.org/officeDocument/2006/relationships/hyperlink" Target="mailto:Walmart@2" TargetMode="External"/><Relationship Id="rId231" Type="http://schemas.openxmlformats.org/officeDocument/2006/relationships/hyperlink" Target="mailto:Walmart@2" TargetMode="External"/><Relationship Id="rId47" Type="http://schemas.openxmlformats.org/officeDocument/2006/relationships/hyperlink" Target="mailto:Walmart@2" TargetMode="External"/><Relationship Id="rId68" Type="http://schemas.openxmlformats.org/officeDocument/2006/relationships/hyperlink" Target="mailto:Walmart@2" TargetMode="External"/><Relationship Id="rId89" Type="http://schemas.openxmlformats.org/officeDocument/2006/relationships/hyperlink" Target="mailto:Walmart@2" TargetMode="External"/><Relationship Id="rId112" Type="http://schemas.openxmlformats.org/officeDocument/2006/relationships/hyperlink" Target="mailto:Walmart@2" TargetMode="External"/><Relationship Id="rId133" Type="http://schemas.openxmlformats.org/officeDocument/2006/relationships/hyperlink" Target="mailto:Walmart@2" TargetMode="External"/><Relationship Id="rId154" Type="http://schemas.openxmlformats.org/officeDocument/2006/relationships/hyperlink" Target="mailto:Walmart@2" TargetMode="External"/><Relationship Id="rId175" Type="http://schemas.openxmlformats.org/officeDocument/2006/relationships/hyperlink" Target="mailto:Walmart@2" TargetMode="External"/><Relationship Id="rId196" Type="http://schemas.openxmlformats.org/officeDocument/2006/relationships/hyperlink" Target="mailto:Walmart@2" TargetMode="External"/><Relationship Id="rId200" Type="http://schemas.openxmlformats.org/officeDocument/2006/relationships/hyperlink" Target="mailto:Walmart@2" TargetMode="External"/><Relationship Id="rId16" Type="http://schemas.openxmlformats.org/officeDocument/2006/relationships/hyperlink" Target="mailto:Walmart@2" TargetMode="External"/><Relationship Id="rId221" Type="http://schemas.openxmlformats.org/officeDocument/2006/relationships/hyperlink" Target="mailto:Walmart@2" TargetMode="External"/><Relationship Id="rId242" Type="http://schemas.openxmlformats.org/officeDocument/2006/relationships/hyperlink" Target="mailto:Walmart@2" TargetMode="External"/><Relationship Id="rId37" Type="http://schemas.openxmlformats.org/officeDocument/2006/relationships/hyperlink" Target="mailto:Walmart@2" TargetMode="External"/><Relationship Id="rId58" Type="http://schemas.openxmlformats.org/officeDocument/2006/relationships/hyperlink" Target="mailto:Walmart@2" TargetMode="External"/><Relationship Id="rId79" Type="http://schemas.openxmlformats.org/officeDocument/2006/relationships/hyperlink" Target="mailto:Walmart@2" TargetMode="External"/><Relationship Id="rId102" Type="http://schemas.openxmlformats.org/officeDocument/2006/relationships/hyperlink" Target="mailto:Walmart@2" TargetMode="External"/><Relationship Id="rId123" Type="http://schemas.openxmlformats.org/officeDocument/2006/relationships/hyperlink" Target="mailto:Walmart@2" TargetMode="External"/><Relationship Id="rId144" Type="http://schemas.openxmlformats.org/officeDocument/2006/relationships/hyperlink" Target="mailto:Walmart@2" TargetMode="External"/><Relationship Id="rId90" Type="http://schemas.openxmlformats.org/officeDocument/2006/relationships/hyperlink" Target="mailto:Walmart@2" TargetMode="External"/><Relationship Id="rId165" Type="http://schemas.openxmlformats.org/officeDocument/2006/relationships/hyperlink" Target="mailto:Walmart@2" TargetMode="External"/><Relationship Id="rId186" Type="http://schemas.openxmlformats.org/officeDocument/2006/relationships/hyperlink" Target="mailto:Walmart@2" TargetMode="External"/><Relationship Id="rId211" Type="http://schemas.openxmlformats.org/officeDocument/2006/relationships/hyperlink" Target="mailto:Walmart@2" TargetMode="External"/><Relationship Id="rId232" Type="http://schemas.openxmlformats.org/officeDocument/2006/relationships/hyperlink" Target="mailto:Walmart@2" TargetMode="External"/><Relationship Id="rId27" Type="http://schemas.openxmlformats.org/officeDocument/2006/relationships/hyperlink" Target="mailto:Walmart@2" TargetMode="External"/><Relationship Id="rId48" Type="http://schemas.openxmlformats.org/officeDocument/2006/relationships/hyperlink" Target="mailto:Walmart@2" TargetMode="External"/><Relationship Id="rId69" Type="http://schemas.openxmlformats.org/officeDocument/2006/relationships/hyperlink" Target="mailto:Walmart@2" TargetMode="External"/><Relationship Id="rId113" Type="http://schemas.openxmlformats.org/officeDocument/2006/relationships/hyperlink" Target="mailto:Walmart@2" TargetMode="External"/><Relationship Id="rId134" Type="http://schemas.openxmlformats.org/officeDocument/2006/relationships/hyperlink" Target="mailto:Walmart@2" TargetMode="External"/><Relationship Id="rId80" Type="http://schemas.openxmlformats.org/officeDocument/2006/relationships/hyperlink" Target="mailto:Walmart@2" TargetMode="External"/><Relationship Id="rId155" Type="http://schemas.openxmlformats.org/officeDocument/2006/relationships/hyperlink" Target="mailto:Walmart@2" TargetMode="External"/><Relationship Id="rId176" Type="http://schemas.openxmlformats.org/officeDocument/2006/relationships/hyperlink" Target="mailto:Walmart@2" TargetMode="External"/><Relationship Id="rId197" Type="http://schemas.openxmlformats.org/officeDocument/2006/relationships/hyperlink" Target="mailto:Walmart@2" TargetMode="External"/><Relationship Id="rId201" Type="http://schemas.openxmlformats.org/officeDocument/2006/relationships/hyperlink" Target="mailto:Walmart@2" TargetMode="External"/><Relationship Id="rId222" Type="http://schemas.openxmlformats.org/officeDocument/2006/relationships/hyperlink" Target="mailto:Walmart@2" TargetMode="External"/><Relationship Id="rId243" Type="http://schemas.openxmlformats.org/officeDocument/2006/relationships/hyperlink" Target="mailto:Walmart@2" TargetMode="External"/><Relationship Id="rId17" Type="http://schemas.openxmlformats.org/officeDocument/2006/relationships/hyperlink" Target="mailto:Walmart@2" TargetMode="External"/><Relationship Id="rId38" Type="http://schemas.openxmlformats.org/officeDocument/2006/relationships/hyperlink" Target="mailto:Walmart@2" TargetMode="External"/><Relationship Id="rId59" Type="http://schemas.openxmlformats.org/officeDocument/2006/relationships/hyperlink" Target="mailto:Walmart@2" TargetMode="External"/><Relationship Id="rId103" Type="http://schemas.openxmlformats.org/officeDocument/2006/relationships/hyperlink" Target="mailto:Walmart@2" TargetMode="External"/><Relationship Id="rId124" Type="http://schemas.openxmlformats.org/officeDocument/2006/relationships/hyperlink" Target="mailto:Walmart@2" TargetMode="External"/><Relationship Id="rId70" Type="http://schemas.openxmlformats.org/officeDocument/2006/relationships/hyperlink" Target="mailto:Walmart@2" TargetMode="External"/><Relationship Id="rId91" Type="http://schemas.openxmlformats.org/officeDocument/2006/relationships/hyperlink" Target="mailto:Walmart@2" TargetMode="External"/><Relationship Id="rId145" Type="http://schemas.openxmlformats.org/officeDocument/2006/relationships/hyperlink" Target="mailto:Walmart@2" TargetMode="External"/><Relationship Id="rId166" Type="http://schemas.openxmlformats.org/officeDocument/2006/relationships/hyperlink" Target="mailto:Walmart@2" TargetMode="External"/><Relationship Id="rId187" Type="http://schemas.openxmlformats.org/officeDocument/2006/relationships/hyperlink" Target="mailto:Walmart@2" TargetMode="External"/><Relationship Id="rId1" Type="http://schemas.openxmlformats.org/officeDocument/2006/relationships/hyperlink" Target="mailto:Walmart@2" TargetMode="External"/><Relationship Id="rId212" Type="http://schemas.openxmlformats.org/officeDocument/2006/relationships/hyperlink" Target="mailto:Walmart@2" TargetMode="External"/><Relationship Id="rId233" Type="http://schemas.openxmlformats.org/officeDocument/2006/relationships/hyperlink" Target="mailto:Walmart@2" TargetMode="External"/><Relationship Id="rId28" Type="http://schemas.openxmlformats.org/officeDocument/2006/relationships/hyperlink" Target="mailto:Walmart@2" TargetMode="External"/><Relationship Id="rId49" Type="http://schemas.openxmlformats.org/officeDocument/2006/relationships/hyperlink" Target="mailto:Walmart@2" TargetMode="External"/><Relationship Id="rId114" Type="http://schemas.openxmlformats.org/officeDocument/2006/relationships/hyperlink" Target="mailto:Walmart@2" TargetMode="External"/><Relationship Id="rId60" Type="http://schemas.openxmlformats.org/officeDocument/2006/relationships/hyperlink" Target="mailto:Walmart@2" TargetMode="External"/><Relationship Id="rId81" Type="http://schemas.openxmlformats.org/officeDocument/2006/relationships/hyperlink" Target="mailto:Walmart@2" TargetMode="External"/><Relationship Id="rId135" Type="http://schemas.openxmlformats.org/officeDocument/2006/relationships/hyperlink" Target="mailto:Walmart@2" TargetMode="External"/><Relationship Id="rId156" Type="http://schemas.openxmlformats.org/officeDocument/2006/relationships/hyperlink" Target="mailto:Walmart@2" TargetMode="External"/><Relationship Id="rId177" Type="http://schemas.openxmlformats.org/officeDocument/2006/relationships/hyperlink" Target="mailto:Walmart@2" TargetMode="External"/><Relationship Id="rId198" Type="http://schemas.openxmlformats.org/officeDocument/2006/relationships/hyperlink" Target="mailto:Walmart@2" TargetMode="External"/><Relationship Id="rId202" Type="http://schemas.openxmlformats.org/officeDocument/2006/relationships/hyperlink" Target="mailto:Walmart@2" TargetMode="External"/><Relationship Id="rId223" Type="http://schemas.openxmlformats.org/officeDocument/2006/relationships/hyperlink" Target="mailto:Walmart@2" TargetMode="External"/><Relationship Id="rId244" Type="http://schemas.openxmlformats.org/officeDocument/2006/relationships/hyperlink" Target="mailto:Walmart@2" TargetMode="External"/><Relationship Id="rId18" Type="http://schemas.openxmlformats.org/officeDocument/2006/relationships/hyperlink" Target="mailto:Walmart@2" TargetMode="External"/><Relationship Id="rId39" Type="http://schemas.openxmlformats.org/officeDocument/2006/relationships/hyperlink" Target="mailto:Walmart@2" TargetMode="External"/><Relationship Id="rId50" Type="http://schemas.openxmlformats.org/officeDocument/2006/relationships/hyperlink" Target="mailto:Walmart@2" TargetMode="External"/><Relationship Id="rId104" Type="http://schemas.openxmlformats.org/officeDocument/2006/relationships/hyperlink" Target="mailto:Walmart@2" TargetMode="External"/><Relationship Id="rId125" Type="http://schemas.openxmlformats.org/officeDocument/2006/relationships/hyperlink" Target="mailto:Walmart@2" TargetMode="External"/><Relationship Id="rId146" Type="http://schemas.openxmlformats.org/officeDocument/2006/relationships/hyperlink" Target="mailto:Walmart@2" TargetMode="External"/><Relationship Id="rId167" Type="http://schemas.openxmlformats.org/officeDocument/2006/relationships/hyperlink" Target="mailto:Walmart@2" TargetMode="External"/><Relationship Id="rId188" Type="http://schemas.openxmlformats.org/officeDocument/2006/relationships/hyperlink" Target="mailto:Walmart@2" TargetMode="External"/><Relationship Id="rId71" Type="http://schemas.openxmlformats.org/officeDocument/2006/relationships/hyperlink" Target="mailto:Walmart@2" TargetMode="External"/><Relationship Id="rId92" Type="http://schemas.openxmlformats.org/officeDocument/2006/relationships/hyperlink" Target="mailto:Walmart@2" TargetMode="External"/><Relationship Id="rId213" Type="http://schemas.openxmlformats.org/officeDocument/2006/relationships/hyperlink" Target="mailto:Walmart@2" TargetMode="External"/><Relationship Id="rId234" Type="http://schemas.openxmlformats.org/officeDocument/2006/relationships/hyperlink" Target="mailto:Walmart@2" TargetMode="External"/><Relationship Id="rId2" Type="http://schemas.openxmlformats.org/officeDocument/2006/relationships/hyperlink" Target="mailto:Walmart@2" TargetMode="External"/><Relationship Id="rId29" Type="http://schemas.openxmlformats.org/officeDocument/2006/relationships/hyperlink" Target="mailto:Walmart@2" TargetMode="External"/><Relationship Id="rId40" Type="http://schemas.openxmlformats.org/officeDocument/2006/relationships/hyperlink" Target="mailto:Walmart@2" TargetMode="External"/><Relationship Id="rId115" Type="http://schemas.openxmlformats.org/officeDocument/2006/relationships/hyperlink" Target="mailto:Walmart@2" TargetMode="External"/><Relationship Id="rId136" Type="http://schemas.openxmlformats.org/officeDocument/2006/relationships/hyperlink" Target="mailto:Walmart@2" TargetMode="External"/><Relationship Id="rId157" Type="http://schemas.openxmlformats.org/officeDocument/2006/relationships/hyperlink" Target="mailto:Walmart@2" TargetMode="External"/><Relationship Id="rId178" Type="http://schemas.openxmlformats.org/officeDocument/2006/relationships/hyperlink" Target="mailto:Walmart@2" TargetMode="External"/><Relationship Id="rId61" Type="http://schemas.openxmlformats.org/officeDocument/2006/relationships/hyperlink" Target="mailto:Walmart@2" TargetMode="External"/><Relationship Id="rId82" Type="http://schemas.openxmlformats.org/officeDocument/2006/relationships/hyperlink" Target="mailto:Walmart@2" TargetMode="External"/><Relationship Id="rId199" Type="http://schemas.openxmlformats.org/officeDocument/2006/relationships/hyperlink" Target="mailto:Walmart@2" TargetMode="External"/><Relationship Id="rId203" Type="http://schemas.openxmlformats.org/officeDocument/2006/relationships/hyperlink" Target="mailto:Walmart@2" TargetMode="External"/><Relationship Id="rId19" Type="http://schemas.openxmlformats.org/officeDocument/2006/relationships/hyperlink" Target="mailto:Walmart@2" TargetMode="External"/><Relationship Id="rId224" Type="http://schemas.openxmlformats.org/officeDocument/2006/relationships/hyperlink" Target="mailto:Walmart@2" TargetMode="External"/><Relationship Id="rId245" Type="http://schemas.openxmlformats.org/officeDocument/2006/relationships/hyperlink" Target="mailto:Walmart@2" TargetMode="External"/><Relationship Id="rId30" Type="http://schemas.openxmlformats.org/officeDocument/2006/relationships/hyperlink" Target="mailto:Walmart@2" TargetMode="External"/><Relationship Id="rId105" Type="http://schemas.openxmlformats.org/officeDocument/2006/relationships/hyperlink" Target="mailto:Walmart@2" TargetMode="External"/><Relationship Id="rId126" Type="http://schemas.openxmlformats.org/officeDocument/2006/relationships/hyperlink" Target="mailto:Walmart@2" TargetMode="External"/><Relationship Id="rId147" Type="http://schemas.openxmlformats.org/officeDocument/2006/relationships/hyperlink" Target="mailto:Walmart@2" TargetMode="External"/><Relationship Id="rId168" Type="http://schemas.openxmlformats.org/officeDocument/2006/relationships/hyperlink" Target="mailto:Walmart@2" TargetMode="External"/><Relationship Id="rId51" Type="http://schemas.openxmlformats.org/officeDocument/2006/relationships/hyperlink" Target="mailto:Walmart@2" TargetMode="External"/><Relationship Id="rId72" Type="http://schemas.openxmlformats.org/officeDocument/2006/relationships/hyperlink" Target="mailto:Walmart@2" TargetMode="External"/><Relationship Id="rId93" Type="http://schemas.openxmlformats.org/officeDocument/2006/relationships/hyperlink" Target="mailto:Walmart@2" TargetMode="External"/><Relationship Id="rId189" Type="http://schemas.openxmlformats.org/officeDocument/2006/relationships/hyperlink" Target="mailto:Walmart@2" TargetMode="External"/><Relationship Id="rId3" Type="http://schemas.openxmlformats.org/officeDocument/2006/relationships/hyperlink" Target="mailto:Walmart@2" TargetMode="External"/><Relationship Id="rId214" Type="http://schemas.openxmlformats.org/officeDocument/2006/relationships/hyperlink" Target="mailto:Walmart@2" TargetMode="External"/><Relationship Id="rId235" Type="http://schemas.openxmlformats.org/officeDocument/2006/relationships/hyperlink" Target="mailto:Walmart@2" TargetMode="External"/><Relationship Id="rId116" Type="http://schemas.openxmlformats.org/officeDocument/2006/relationships/hyperlink" Target="mailto:Walmart@2" TargetMode="External"/><Relationship Id="rId137" Type="http://schemas.openxmlformats.org/officeDocument/2006/relationships/hyperlink" Target="mailto:Walmart@2" TargetMode="External"/><Relationship Id="rId158" Type="http://schemas.openxmlformats.org/officeDocument/2006/relationships/hyperlink" Target="mailto:Walmart@2" TargetMode="External"/><Relationship Id="rId20" Type="http://schemas.openxmlformats.org/officeDocument/2006/relationships/hyperlink" Target="mailto:Walmart@2" TargetMode="External"/><Relationship Id="rId41" Type="http://schemas.openxmlformats.org/officeDocument/2006/relationships/hyperlink" Target="mailto:Walmart@2" TargetMode="External"/><Relationship Id="rId62" Type="http://schemas.openxmlformats.org/officeDocument/2006/relationships/hyperlink" Target="mailto:Walmart@2" TargetMode="External"/><Relationship Id="rId83" Type="http://schemas.openxmlformats.org/officeDocument/2006/relationships/hyperlink" Target="mailto:Walmart@2" TargetMode="External"/><Relationship Id="rId179" Type="http://schemas.openxmlformats.org/officeDocument/2006/relationships/hyperlink" Target="mailto:Walmart@2" TargetMode="External"/><Relationship Id="rId190" Type="http://schemas.openxmlformats.org/officeDocument/2006/relationships/hyperlink" Target="mailto:Walmart@2" TargetMode="External"/><Relationship Id="rId204" Type="http://schemas.openxmlformats.org/officeDocument/2006/relationships/hyperlink" Target="mailto:Walmart@2" TargetMode="External"/><Relationship Id="rId225" Type="http://schemas.openxmlformats.org/officeDocument/2006/relationships/hyperlink" Target="mailto:Walmart@2" TargetMode="External"/><Relationship Id="rId246" Type="http://schemas.openxmlformats.org/officeDocument/2006/relationships/hyperlink" Target="mailto:Walmart@2" TargetMode="External"/><Relationship Id="rId106" Type="http://schemas.openxmlformats.org/officeDocument/2006/relationships/hyperlink" Target="mailto:Walmart@2" TargetMode="External"/><Relationship Id="rId127" Type="http://schemas.openxmlformats.org/officeDocument/2006/relationships/hyperlink" Target="mailto:Walmart@2" TargetMode="External"/><Relationship Id="rId10" Type="http://schemas.openxmlformats.org/officeDocument/2006/relationships/hyperlink" Target="mailto:Walmart@2" TargetMode="External"/><Relationship Id="rId31" Type="http://schemas.openxmlformats.org/officeDocument/2006/relationships/hyperlink" Target="mailto:Walmart@2" TargetMode="External"/><Relationship Id="rId52" Type="http://schemas.openxmlformats.org/officeDocument/2006/relationships/hyperlink" Target="mailto:Walmart@2" TargetMode="External"/><Relationship Id="rId73" Type="http://schemas.openxmlformats.org/officeDocument/2006/relationships/hyperlink" Target="mailto:Walmart@2" TargetMode="External"/><Relationship Id="rId94" Type="http://schemas.openxmlformats.org/officeDocument/2006/relationships/hyperlink" Target="mailto:Walmart@2" TargetMode="External"/><Relationship Id="rId148" Type="http://schemas.openxmlformats.org/officeDocument/2006/relationships/hyperlink" Target="mailto:Walmart@2" TargetMode="External"/><Relationship Id="rId169" Type="http://schemas.openxmlformats.org/officeDocument/2006/relationships/hyperlink" Target="mailto:Walmart@2"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s://jira.walmart.com/servicedesk/customer/portal/5144/create/11466"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B1048576"/>
  <sheetViews>
    <sheetView zoomScaleNormal="100" workbookViewId="0">
      <selection activeCell="D2" sqref="D2:D16"/>
    </sheetView>
  </sheetViews>
  <sheetFormatPr defaultColWidth="9.140625" defaultRowHeight="15.75" x14ac:dyDescent="0.25"/>
  <cols>
    <col min="1" max="1" width="9.140625" style="17"/>
    <col min="2" max="2" width="30" style="17" customWidth="1"/>
    <col min="3" max="6" width="30.7109375" style="17" customWidth="1"/>
    <col min="7" max="7" width="23.28515625" style="30" customWidth="1"/>
    <col min="8" max="8" width="22.140625" customWidth="1"/>
    <col min="9" max="9" width="48" style="17" customWidth="1"/>
    <col min="10" max="10" width="27.7109375" style="30" bestFit="1" customWidth="1"/>
    <col min="11" max="12" width="23.28515625" style="30" customWidth="1"/>
    <col min="13" max="13" width="12.140625" style="17" customWidth="1"/>
    <col min="14" max="14" width="36" style="17" customWidth="1"/>
    <col min="15" max="15" width="21.28515625" style="17" bestFit="1" customWidth="1"/>
    <col min="16" max="16" width="21.140625" style="17" bestFit="1" customWidth="1"/>
    <col min="17" max="17" width="22.28515625" style="17" bestFit="1" customWidth="1"/>
    <col min="18" max="18" width="25.28515625" style="30" bestFit="1" customWidth="1"/>
    <col min="19" max="19" width="63.85546875" style="18" bestFit="1" customWidth="1"/>
    <col min="20" max="20" width="36.7109375" style="20" bestFit="1" customWidth="1"/>
    <col min="21" max="21" width="27.28515625" style="20" bestFit="1" customWidth="1"/>
    <col min="22" max="22" width="26.28515625" style="17" bestFit="1" customWidth="1"/>
    <col min="23" max="25" width="28.7109375" style="17" bestFit="1" customWidth="1"/>
    <col min="26" max="26" width="15.7109375" style="17" customWidth="1"/>
    <col min="27" max="27" width="13.7109375" style="17" customWidth="1"/>
    <col min="28" max="28" width="12.28515625" style="17" customWidth="1"/>
    <col min="29" max="29" width="9" style="17" customWidth="1"/>
    <col min="30" max="30" width="18.85546875" style="17" customWidth="1"/>
    <col min="31" max="32" width="18.42578125" style="17" customWidth="1"/>
    <col min="33" max="33" width="20.5703125" style="17" customWidth="1"/>
    <col min="34" max="35" width="20.7109375" style="17" customWidth="1"/>
    <col min="36" max="36" width="17.140625" style="17" customWidth="1"/>
    <col min="37" max="37" width="28.28515625" style="17" customWidth="1"/>
    <col min="38" max="38" width="14.5703125" style="17" customWidth="1"/>
    <col min="39" max="49" width="29.7109375" style="17" customWidth="1"/>
    <col min="50" max="50" width="9" style="24" customWidth="1"/>
    <col min="51" max="51" width="36.140625" style="24" customWidth="1"/>
    <col min="52" max="52" width="12.28515625" style="24" customWidth="1"/>
    <col min="53" max="53" width="22.7109375" style="17" customWidth="1"/>
    <col min="54" max="54" width="17.85546875" style="24" customWidth="1"/>
    <col min="55" max="55" width="41.85546875" style="24" customWidth="1"/>
    <col min="56" max="56" width="12.140625" style="17" customWidth="1"/>
    <col min="57" max="57" width="35.5703125" style="17" customWidth="1"/>
    <col min="58" max="58" width="17.42578125" style="17" customWidth="1"/>
    <col min="59" max="59" width="10.7109375" style="17" bestFit="1" customWidth="1"/>
    <col min="60" max="60" width="22" style="17" bestFit="1" customWidth="1"/>
    <col min="61" max="61" width="33.85546875" style="17" customWidth="1"/>
    <col min="62" max="62" width="1.140625" style="41" customWidth="1"/>
    <col min="63" max="63" width="33.42578125" style="75" bestFit="1" customWidth="1"/>
    <col min="64" max="64" width="74.7109375" style="18" customWidth="1"/>
    <col min="65" max="65" width="23.140625" style="18" customWidth="1"/>
    <col min="66" max="66" width="50.140625" style="18" customWidth="1"/>
    <col min="67" max="67" width="20.140625" style="17" customWidth="1"/>
    <col min="68" max="68" width="15.28515625" style="17" customWidth="1"/>
    <col min="69" max="69" width="20.42578125" style="17" customWidth="1"/>
    <col min="70" max="70" width="124.28515625" style="17" customWidth="1"/>
    <col min="71" max="72" width="17.28515625" style="17" customWidth="1"/>
    <col min="73" max="74" width="21.7109375" style="17" customWidth="1"/>
    <col min="75" max="75" width="1.140625" style="41" customWidth="1"/>
    <col min="76" max="76" width="9.5703125" style="24" customWidth="1"/>
    <col min="77" max="77" width="10" style="17" bestFit="1" customWidth="1"/>
    <col min="78" max="78" width="12.5703125" style="17" customWidth="1"/>
    <col min="79" max="79" width="1.140625" style="41" customWidth="1"/>
    <col min="80" max="80" width="15.7109375" customWidth="1"/>
    <col min="81" max="82" width="20.140625" customWidth="1"/>
    <col min="83" max="83" width="9.140625" customWidth="1"/>
    <col min="84" max="92" width="29.7109375" style="17" customWidth="1"/>
    <col min="93" max="93" width="42.140625" style="17" bestFit="1" customWidth="1"/>
    <col min="94" max="94" width="29.7109375" style="41" customWidth="1"/>
    <col min="95" max="95" width="72.85546875" style="17" hidden="1" customWidth="1"/>
    <col min="96" max="96" width="8.42578125" style="17" hidden="1" customWidth="1"/>
    <col min="97" max="97" width="27.7109375" style="17" hidden="1" customWidth="1"/>
    <col min="98" max="98" width="74.7109375" style="17" hidden="1" customWidth="1"/>
    <col min="99" max="99" width="9.5703125" style="17" hidden="1" customWidth="1"/>
    <col min="100" max="100" width="27.7109375" style="17" hidden="1" customWidth="1"/>
    <col min="101" max="101" width="65.140625" style="17" hidden="1" customWidth="1"/>
    <col min="102" max="102" width="73.85546875" style="17" hidden="1" customWidth="1"/>
    <col min="103" max="103" width="11.7109375" style="17" hidden="1" customWidth="1"/>
    <col min="104" max="104" width="67" style="17" hidden="1" customWidth="1"/>
    <col min="105" max="105" width="23.5703125" style="17" hidden="1" customWidth="1"/>
    <col min="106" max="106" width="9.5703125" style="17" hidden="1" customWidth="1"/>
    <col min="107" max="107" width="67" style="17" hidden="1" customWidth="1"/>
    <col min="108" max="109" width="11.5703125" style="17" hidden="1" customWidth="1"/>
    <col min="110" max="110" width="44.7109375" style="17" hidden="1" customWidth="1"/>
    <col min="111" max="112" width="24.7109375" style="17" hidden="1" customWidth="1"/>
    <col min="113" max="113" width="45" style="17" hidden="1" customWidth="1"/>
    <col min="114" max="114" width="24.7109375" style="17" hidden="1" customWidth="1"/>
    <col min="115" max="115" width="11.5703125" style="17" hidden="1" customWidth="1"/>
    <col min="116" max="116" width="44.7109375" style="17" hidden="1" customWidth="1"/>
    <col min="117" max="117" width="24.7109375" style="17" hidden="1" customWidth="1"/>
    <col min="118" max="118" width="11.5703125" style="17" hidden="1" customWidth="1"/>
    <col min="119" max="119" width="15.5703125" style="17" hidden="1" customWidth="1"/>
    <col min="120" max="120" width="44.7109375" style="17" hidden="1" customWidth="1"/>
    <col min="121" max="122" width="24" style="17" hidden="1" customWidth="1"/>
    <col min="123" max="123" width="24.5703125" style="17" hidden="1" customWidth="1"/>
    <col min="124" max="124" width="27.7109375" style="17" hidden="1" customWidth="1"/>
    <col min="125" max="125" width="72.85546875" style="17" hidden="1" customWidth="1"/>
    <col min="126" max="126" width="4.5703125" style="17" hidden="1" customWidth="1"/>
    <col min="127" max="127" width="27.7109375" style="17" hidden="1" customWidth="1"/>
    <col min="128" max="128" width="34.42578125" style="17" hidden="1" customWidth="1"/>
    <col min="129" max="129" width="7.85546875" style="17" hidden="1" customWidth="1"/>
    <col min="130" max="131" width="0" style="17" hidden="1" customWidth="1"/>
    <col min="132" max="132" width="22.7109375" style="17" hidden="1" customWidth="1"/>
    <col min="133" max="16384" width="9.140625" style="17"/>
  </cols>
  <sheetData>
    <row r="1" spans="1:132" x14ac:dyDescent="0.25">
      <c r="A1" s="2" t="s">
        <v>587</v>
      </c>
      <c r="B1" s="2" t="s">
        <v>2</v>
      </c>
      <c r="C1" s="2" t="s">
        <v>1</v>
      </c>
      <c r="D1" s="2" t="s">
        <v>0</v>
      </c>
      <c r="E1" s="2" t="s">
        <v>1061</v>
      </c>
      <c r="F1" s="2" t="s">
        <v>1062</v>
      </c>
      <c r="G1" s="111" t="s">
        <v>6</v>
      </c>
      <c r="H1" s="2" t="s">
        <v>819</v>
      </c>
      <c r="I1" s="2" t="s">
        <v>820</v>
      </c>
      <c r="J1" s="2" t="s">
        <v>821</v>
      </c>
      <c r="K1" s="2" t="s">
        <v>822</v>
      </c>
      <c r="L1" s="2" t="s">
        <v>823</v>
      </c>
      <c r="M1" s="2" t="s">
        <v>3</v>
      </c>
      <c r="N1" s="2" t="s">
        <v>616</v>
      </c>
      <c r="O1" s="2" t="s">
        <v>539</v>
      </c>
      <c r="P1" s="2" t="s">
        <v>540</v>
      </c>
      <c r="Q1" s="2" t="s">
        <v>541</v>
      </c>
      <c r="R1" s="112" t="s">
        <v>7</v>
      </c>
      <c r="S1" s="2" t="s">
        <v>8</v>
      </c>
      <c r="T1" s="2" t="s">
        <v>1063</v>
      </c>
      <c r="U1" s="111" t="s">
        <v>9</v>
      </c>
      <c r="V1" s="16" t="s">
        <v>10</v>
      </c>
      <c r="W1" s="16" t="s">
        <v>11</v>
      </c>
      <c r="X1" s="16" t="s">
        <v>12</v>
      </c>
      <c r="Y1" s="16" t="s">
        <v>13</v>
      </c>
      <c r="Z1" s="16" t="s">
        <v>14</v>
      </c>
      <c r="AA1" s="16" t="s">
        <v>15</v>
      </c>
      <c r="AB1" s="16" t="s">
        <v>16</v>
      </c>
      <c r="AC1" s="16" t="s">
        <v>17</v>
      </c>
      <c r="AD1" s="16" t="s">
        <v>18</v>
      </c>
      <c r="AE1" s="16" t="s">
        <v>19</v>
      </c>
      <c r="AF1" s="16" t="s">
        <v>551</v>
      </c>
      <c r="AG1" s="16" t="s">
        <v>20</v>
      </c>
      <c r="AH1" s="16" t="s">
        <v>21</v>
      </c>
      <c r="AI1" s="16" t="s">
        <v>542</v>
      </c>
      <c r="AJ1" s="16" t="s">
        <v>600</v>
      </c>
      <c r="AK1" s="16" t="s">
        <v>601</v>
      </c>
      <c r="AL1" s="16" t="s">
        <v>602</v>
      </c>
      <c r="AM1" s="16" t="s">
        <v>22</v>
      </c>
      <c r="AN1" s="16" t="s">
        <v>23</v>
      </c>
      <c r="AO1" s="16" t="s">
        <v>603</v>
      </c>
      <c r="AP1" s="16" t="s">
        <v>565</v>
      </c>
      <c r="AQ1" s="16" t="s">
        <v>604</v>
      </c>
      <c r="AR1" s="16" t="s">
        <v>605</v>
      </c>
      <c r="AS1" s="16" t="s">
        <v>606</v>
      </c>
      <c r="AT1" s="16" t="s">
        <v>607</v>
      </c>
      <c r="AU1" s="16" t="s">
        <v>608</v>
      </c>
      <c r="AV1" s="16" t="s">
        <v>611</v>
      </c>
      <c r="AW1" s="16" t="s">
        <v>628</v>
      </c>
      <c r="AX1" s="24" t="s">
        <v>587</v>
      </c>
      <c r="AY1" s="24" t="s">
        <v>590</v>
      </c>
      <c r="AZ1" s="24" t="s">
        <v>508</v>
      </c>
      <c r="BA1" s="17" t="s">
        <v>5</v>
      </c>
      <c r="BB1" s="24" t="s">
        <v>565</v>
      </c>
      <c r="BC1" s="24" t="s">
        <v>592</v>
      </c>
      <c r="BD1" s="39"/>
      <c r="BE1" s="59"/>
      <c r="BF1" s="39"/>
      <c r="BG1" s="59"/>
      <c r="BH1" s="59"/>
      <c r="BI1" s="39">
        <v>1</v>
      </c>
      <c r="BJ1" s="53"/>
      <c r="BK1" s="73">
        <v>3</v>
      </c>
      <c r="BL1" s="73">
        <v>4</v>
      </c>
      <c r="BM1" s="73">
        <v>5</v>
      </c>
      <c r="BN1" s="73">
        <v>6</v>
      </c>
      <c r="BO1" s="39">
        <v>7</v>
      </c>
      <c r="BP1" s="39">
        <v>8</v>
      </c>
      <c r="BQ1" s="39">
        <v>9</v>
      </c>
      <c r="BR1" s="39">
        <v>10</v>
      </c>
      <c r="BS1" s="39">
        <v>11</v>
      </c>
      <c r="BT1" s="39">
        <v>12</v>
      </c>
      <c r="BU1" s="39">
        <v>13</v>
      </c>
      <c r="BV1" s="56">
        <v>14</v>
      </c>
      <c r="BW1" s="53"/>
      <c r="BX1" s="39">
        <v>16</v>
      </c>
      <c r="BY1" s="39">
        <v>17</v>
      </c>
      <c r="BZ1" s="56">
        <v>18</v>
      </c>
      <c r="CA1" s="53"/>
      <c r="CB1" s="45">
        <v>20</v>
      </c>
      <c r="CC1" s="45">
        <v>21</v>
      </c>
      <c r="CD1" s="58">
        <v>22</v>
      </c>
      <c r="CE1" s="45">
        <v>23</v>
      </c>
      <c r="CF1" s="45">
        <v>24</v>
      </c>
      <c r="CG1" s="58">
        <v>25</v>
      </c>
      <c r="CH1" s="45">
        <v>26</v>
      </c>
      <c r="CI1" s="55">
        <v>27</v>
      </c>
      <c r="CJ1" s="55">
        <v>28</v>
      </c>
      <c r="CK1" s="60">
        <v>29</v>
      </c>
      <c r="CL1" s="60">
        <v>30</v>
      </c>
      <c r="CM1" s="60">
        <v>31</v>
      </c>
      <c r="CN1" s="60">
        <v>32</v>
      </c>
      <c r="CO1" s="55">
        <v>33</v>
      </c>
      <c r="CP1" s="47"/>
    </row>
    <row r="2" spans="1:132" ht="18.75" customHeight="1" x14ac:dyDescent="0.25">
      <c r="A2" s="134" t="s">
        <v>1085</v>
      </c>
      <c r="B2" s="134" t="s">
        <v>1134</v>
      </c>
      <c r="C2" s="134" t="s">
        <v>1135</v>
      </c>
      <c r="D2" s="134" t="s">
        <v>1136</v>
      </c>
      <c r="E2" s="134">
        <v>6</v>
      </c>
      <c r="F2" s="134">
        <v>5</v>
      </c>
      <c r="G2" s="135">
        <v>44851</v>
      </c>
      <c r="H2" s="134" t="s">
        <v>87</v>
      </c>
      <c r="I2" s="134" t="s">
        <v>51</v>
      </c>
      <c r="J2" s="134" t="s">
        <v>828</v>
      </c>
      <c r="K2" s="134" t="s">
        <v>58</v>
      </c>
      <c r="L2" s="134" t="s">
        <v>127</v>
      </c>
      <c r="M2" s="134">
        <v>2463</v>
      </c>
      <c r="N2" s="134" t="s">
        <v>1137</v>
      </c>
      <c r="O2" s="134" t="s">
        <v>1138</v>
      </c>
      <c r="P2" s="134" t="s">
        <v>1139</v>
      </c>
      <c r="Q2" s="137" t="s">
        <v>1140</v>
      </c>
      <c r="R2" s="138"/>
      <c r="S2" s="136"/>
      <c r="T2" s="136" t="s">
        <v>1141</v>
      </c>
      <c r="U2" s="97"/>
      <c r="V2" s="20" t="str">
        <f>IF(ISNA(VLOOKUP(J2&amp;H2&amp;I2&amp;L2&amp;K2,$BI:$CO,3,FALSE)),"",VLOOKUP(J2&amp;H2&amp;I2&amp;L2&amp;K2,$BI:$CO,3,FALSE))</f>
        <v>24-7Intouch_GTM_GUA_Chat_Nest</v>
      </c>
      <c r="W2" s="20" t="str">
        <f>IF(ISNA(VLOOKUP(J2&amp;H2&amp;I2&amp;L2&amp;K2,$BI:$CO,5,FALSE)),"",VLOOKUP(J2&amp;H2&amp;I2&amp;L2&amp;K2,$BI:$CO,5,FALSE))</f>
        <v>247Intouch Agent</v>
      </c>
      <c r="X2" s="20" t="str">
        <f>IF(ISNA(VLOOKUP(J2&amp;H2&amp;I2&amp;L2&amp;K2,$BI:$CO,6,FALSE)),"",VLOOKUP(J2&amp;H2&amp;I2&amp;L2&amp;K2,$BI:$CO,6,FALSE))</f>
        <v>guawmtops@24-7intouch.com</v>
      </c>
      <c r="Y2" s="20" t="str">
        <f>IF(ISNA(VLOOKUP(J2&amp;H2&amp;I2&amp;L2&amp;K2,$BI:$CO,10,FALSE)),"",VLOOKUP(J2&amp;H2&amp;I2&amp;L2&amp;K2,$BI:$CO,10,FALSE))</f>
        <v>10670368:3:TRUE</v>
      </c>
      <c r="Z2" s="20">
        <f>IF(ISNA(VLOOKUP(J2&amp;H2&amp;I2&amp;L2&amp;K2,$BI:$CO,12,FALSE)),"",VLOOKUP(J2&amp;H2&amp;I2&amp;L2&amp;K2,$BI:$CO,12,FALSE))</f>
        <v>0</v>
      </c>
      <c r="AA2" s="20" t="str">
        <f>IF(ISNA(VLOOKUP(J2&amp;H2&amp;I2&amp;L2&amp;K2,$BI:$CO,7,FALSE)),"",VLOOKUP(J2&amp;H2&amp;I2&amp;L2&amp;K2,$BI:$CO,7,FALSE))</f>
        <v>Guatemala</v>
      </c>
      <c r="AB2" s="20" t="str">
        <f>IF(ISNA(VLOOKUP(J2&amp;H2&amp;I2&amp;L2&amp;K2,$BI:$CO,8,FALSE)),"",VLOOKUP(J2&amp;H2&amp;I2&amp;L2&amp;K2,$BI:$CO,8,FALSE))</f>
        <v>Guatemala</v>
      </c>
      <c r="AC2" s="20" t="str">
        <f>IF(ISNA(VLOOKUP(J2&amp;H2&amp;I2&amp;L2&amp;K2,$BI:$CO,9,FALSE)),"",VLOOKUP(J2&amp;H2&amp;I2&amp;L2&amp;K2,$BI:$CO,9,FALSE))</f>
        <v>Guatemala City</v>
      </c>
      <c r="AD2" s="20" t="str">
        <f>IF(ISNA(VLOOKUP(J2&amp;H2&amp;I2&amp;L2&amp;K2,$BI:$CO,13,FALSE)),"",VLOOKUP(J2&amp;H2&amp;I2&amp;L2&amp;K2,$BI:$CO,13,FALSE))</f>
        <v>SURVEY_US_GM_2</v>
      </c>
      <c r="AE2" s="20" t="str">
        <f>IF(ISNA(VLOOKUP(J2&amp;H2&amp;I2&amp;L2&amp;K2,$BI:$CO,11,FALSE)),"",VLOOKUP(J2&amp;H2&amp;I2&amp;L2&amp;K2,$BI:$CO,11,FALSE))</f>
        <v>@wmt45.com</v>
      </c>
      <c r="AF2" s="20">
        <f>IF(ISNA(VLOOKUP(J2&amp;H2&amp;I2&amp;L2&amp;K2,$BI:$CO,14,FALSE)),"",VLOOKUP(J2&amp;H2&amp;I2&amp;L2&amp;K2,$BI:$CO,14,FALSE))</f>
        <v>0</v>
      </c>
      <c r="AG2" s="20">
        <f>IF(ISNA(VLOOKUP(J2&amp;H2&amp;I2&amp;L2&amp;K2,$BI:$CO,16,FALSE)),"",VLOOKUP(J2&amp;H2&amp;I2&amp;L2&amp;K2,$BI:$CO,16,FALSE))</f>
        <v>169</v>
      </c>
      <c r="AH2" s="20">
        <f>IF(ISNA(VLOOKUP(J2&amp;H2&amp;I2&amp;L2&amp;K2,$BI:$CO,17,FALSE)),"",VLOOKUP(J2&amp;H2&amp;I2&amp;L2&amp;K2,$BI:$CO,17,FALSE))</f>
        <v>100978</v>
      </c>
      <c r="AI2" s="20">
        <f>IF(ISNA(VLOOKUP(J2&amp;H2&amp;I2&amp;L2&amp;K2,$BI:$CO,18,FALSE)),"",VLOOKUP(J2&amp;H2&amp;I2&amp;L2&amp;K2,$BI:$CO,18,FALSE))</f>
        <v>0</v>
      </c>
      <c r="AJ2" s="20" t="str">
        <f>IF(ISNA(VLOOKUP(J2&amp;H2&amp;I2&amp;L2&amp;K2,$BI:$CO,20,FALSE)),"",VLOOKUP(J2&amp;H2&amp;I2&amp;L2&amp;K2,$BI:$CO,20,FALSE))</f>
        <v>Team Lead</v>
      </c>
      <c r="AK2" s="20" t="str">
        <f>IF(ISNA(VLOOKUP(J2&amp;H2&amp;I2&amp;L2&amp;K2,$BI:$CO,21,FALSE)),"",VLOOKUP(J2&amp;H2&amp;I2&amp;L2&amp;K2,$BI:$CO,21,FALSE))</f>
        <v>GTM</v>
      </c>
      <c r="AL2" s="20" t="str">
        <f>IF(ISNA(VLOOKUP(J2&amp;H2&amp;I2&amp;L2&amp;K2,$BI:$CO,22,FALSE)),"",VLOOKUP(J2&amp;H2&amp;I2&amp;L2&amp;K2,$BI:$CO,22,FALSE))</f>
        <v>GUA</v>
      </c>
      <c r="AM2" s="20" t="str">
        <f>IF(ISNA(VLOOKUP(J2&amp;H2&amp;I2&amp;L2&amp;K2,$BI:$CO,23,FALSE)),"",VLOOKUP(J2&amp;H2&amp;I2&amp;L2&amp;K2,$BI:$CO,23,FALSE))</f>
        <v>m0b017c</v>
      </c>
      <c r="AN2" s="20" t="str">
        <f>IF(ISNA(VLOOKUP(J2&amp;H2&amp;I2&amp;L2&amp;K2,$BI:$CO,24,FALSE)),"",VLOOKUP(J2&amp;H2&amp;I2&amp;L2&amp;K2,$BI:$CO,24,FALSE))</f>
        <v>Digital</v>
      </c>
      <c r="AO2" s="20" t="str">
        <f>IF(ISNA(VLOOKUP(J2&amp;H2&amp;I2&amp;L2&amp;K2,$BI:$CO,25,FALSE)),"",VLOOKUP(J2&amp;H2&amp;I2&amp;L2&amp;K2,$BI:$CO,25,FALSE))</f>
        <v>WMCOM</v>
      </c>
      <c r="AP2" s="20" t="str">
        <f>IF(ISNA(VLOOKUP(J2&amp;H2&amp;I2&amp;L2&amp;K2,$BI:$CO,26,FALSE)),"",VLOOKUP(J2&amp;H2&amp;I2&amp;L2&amp;K2,$BI:$CO,26,FALSE))</f>
        <v>24-7Intouch</v>
      </c>
      <c r="AQ2" s="20" t="b">
        <f>IF(ISNA(VLOOKUP(J2&amp;H2&amp;I2&amp;L2&amp;K2,$BI:$CO,28,FALSE)),"",VLOOKUP(J2&amp;H2&amp;I2&amp;L2&amp;K2,$BI:$CO,28,FALSE))</f>
        <v>0</v>
      </c>
      <c r="AR2" s="20" t="b">
        <f>IF(ISNA(VLOOKUP(J2&amp;H2&amp;I2&amp;L2&amp;K2,$BI:$CO,29,FALSE)),"",VLOOKUP(J2&amp;H2&amp;I2&amp;L2&amp;K2,$BI:$CO,29,FALSE))</f>
        <v>1</v>
      </c>
      <c r="AS2" s="20" t="b">
        <f>IF(ISNA(VLOOKUP(J2&amp;H2&amp;I2&amp;L2&amp;K2,$BI:$CO,30,FALSE)),"",VLOOKUP(J2&amp;H2&amp;I2&amp;L2&amp;K2,$BI:$CO,30,FALSE))</f>
        <v>0</v>
      </c>
      <c r="AT2" s="20" t="b">
        <f>IF(ISNA(VLOOKUP(J2&amp;H2&amp;I2&amp;L2&amp;K2,$BI:$CO,31,FALSE)),"",VLOOKUP(J2&amp;H2&amp;I2&amp;L2&amp;K2,$BI:$CO,31,FALSE))</f>
        <v>0</v>
      </c>
      <c r="AU2" s="20" t="b">
        <f>IF(ISNA(VLOOKUP(J2&amp;H2&amp;I2&amp;L2&amp;K2,$BI:$CO,32,FALSE)),"",VLOOKUP(J2&amp;H2&amp;I2&amp;L2&amp;K2,$BI:$CO,32,FALSE))</f>
        <v>0</v>
      </c>
      <c r="AV2" s="20" t="str">
        <f>IF(ISNA(VLOOKUP(J2&amp;H2&amp;I2&amp;L2&amp;K2,$BI:$CO,33,FALSE)),"",VLOOKUP(J2&amp;H2&amp;I2&amp;L2&amp;K2,$BI:$CO,33,FALSE))</f>
        <v>Tier 1</v>
      </c>
      <c r="AW2" s="20" t="str">
        <f t="shared" ref="AW2" si="0">TRIM(N2)</f>
        <v>Sucely Aldana</v>
      </c>
      <c r="AX2" s="24" t="s">
        <v>1085</v>
      </c>
      <c r="AY2" s="24" t="s">
        <v>24</v>
      </c>
      <c r="AZ2" s="24" t="s">
        <v>24</v>
      </c>
      <c r="BA2" s="17" t="s">
        <v>24</v>
      </c>
      <c r="BB2" s="24" t="s">
        <v>24</v>
      </c>
      <c r="BC2" s="24" t="s">
        <v>24</v>
      </c>
      <c r="BD2" s="118" t="s">
        <v>464</v>
      </c>
      <c r="BE2" s="118"/>
      <c r="BF2" s="118"/>
      <c r="BG2" s="118"/>
      <c r="BH2" s="118"/>
      <c r="BI2" s="118"/>
      <c r="BJ2" s="40"/>
      <c r="BK2" s="117" t="s">
        <v>463</v>
      </c>
      <c r="BL2" s="117"/>
      <c r="BM2" s="117"/>
      <c r="BN2" s="117"/>
      <c r="BO2" s="117"/>
      <c r="BP2" s="117"/>
      <c r="BQ2" s="117"/>
      <c r="BR2" s="117"/>
      <c r="BS2" s="117"/>
      <c r="BT2" s="117"/>
      <c r="BU2" s="117"/>
      <c r="BV2" s="56"/>
      <c r="BW2" s="40"/>
      <c r="BX2" s="117" t="s">
        <v>465</v>
      </c>
      <c r="BY2" s="117"/>
      <c r="BZ2" s="56"/>
      <c r="CA2" s="40"/>
      <c r="CB2" s="119" t="s">
        <v>1064</v>
      </c>
      <c r="CC2" s="119"/>
      <c r="CD2" s="119"/>
      <c r="CE2" s="119"/>
      <c r="CF2" s="119"/>
      <c r="CG2" s="119"/>
      <c r="CH2" s="119"/>
      <c r="CI2" s="119"/>
      <c r="CJ2" s="119"/>
      <c r="CK2" s="119"/>
      <c r="CL2" s="119"/>
      <c r="CM2" s="119"/>
      <c r="CN2" s="119"/>
      <c r="CO2" s="119"/>
      <c r="CP2" s="48"/>
    </row>
    <row r="3" spans="1:132" ht="16.5" x14ac:dyDescent="0.25">
      <c r="A3" s="134" t="s">
        <v>1085</v>
      </c>
      <c r="B3" s="134" t="s">
        <v>1142</v>
      </c>
      <c r="C3" s="134" t="s">
        <v>1143</v>
      </c>
      <c r="D3" s="134" t="s">
        <v>1144</v>
      </c>
      <c r="E3" s="134">
        <v>12</v>
      </c>
      <c r="F3" s="134">
        <v>29</v>
      </c>
      <c r="G3" s="135">
        <v>44851</v>
      </c>
      <c r="H3" s="134" t="s">
        <v>87</v>
      </c>
      <c r="I3" s="134" t="s">
        <v>51</v>
      </c>
      <c r="J3" s="134" t="s">
        <v>828</v>
      </c>
      <c r="K3" s="134" t="s">
        <v>58</v>
      </c>
      <c r="L3" s="134" t="s">
        <v>127</v>
      </c>
      <c r="M3" s="134">
        <v>2464</v>
      </c>
      <c r="N3" s="134" t="s">
        <v>1137</v>
      </c>
      <c r="O3" s="134" t="s">
        <v>1138</v>
      </c>
      <c r="P3" s="134" t="s">
        <v>1139</v>
      </c>
      <c r="Q3" s="137" t="s">
        <v>1140</v>
      </c>
      <c r="R3" s="138"/>
      <c r="S3" s="136"/>
      <c r="T3" s="136" t="s">
        <v>1141</v>
      </c>
      <c r="U3" s="97"/>
      <c r="V3" s="20" t="str">
        <f t="shared" ref="V3:V66" si="1">IF(ISNA(VLOOKUP(J3&amp;H3&amp;I3&amp;L3&amp;K3,$BI:$CO,3,FALSE)),"",VLOOKUP(J3&amp;H3&amp;I3&amp;L3&amp;K3,$BI:$CO,3,FALSE))</f>
        <v>24-7Intouch_GTM_GUA_Chat_Nest</v>
      </c>
      <c r="W3" s="20" t="str">
        <f t="shared" ref="W3:W66" si="2">IF(ISNA(VLOOKUP(J3&amp;H3&amp;I3&amp;L3&amp;K3,$BI:$CO,5,FALSE)),"",VLOOKUP(J3&amp;H3&amp;I3&amp;L3&amp;K3,$BI:$CO,5,FALSE))</f>
        <v>247Intouch Agent</v>
      </c>
      <c r="X3" s="20" t="str">
        <f t="shared" ref="X3:X66" si="3">IF(ISNA(VLOOKUP(J3&amp;H3&amp;I3&amp;L3&amp;K3,$BI:$CO,6,FALSE)),"",VLOOKUP(J3&amp;H3&amp;I3&amp;L3&amp;K3,$BI:$CO,6,FALSE))</f>
        <v>guawmtops@24-7intouch.com</v>
      </c>
      <c r="Y3" s="20" t="str">
        <f t="shared" ref="Y3:Y66" si="4">IF(ISNA(VLOOKUP(J3&amp;H3&amp;I3&amp;L3&amp;K3,$BI:$CO,10,FALSE)),"",VLOOKUP(J3&amp;H3&amp;I3&amp;L3&amp;K3,$BI:$CO,10,FALSE))</f>
        <v>10670368:3:TRUE</v>
      </c>
      <c r="Z3" s="20">
        <f t="shared" ref="Z3:Z66" si="5">IF(ISNA(VLOOKUP(J3&amp;H3&amp;I3&amp;L3&amp;K3,$BI:$CO,12,FALSE)),"",VLOOKUP(J3&amp;H3&amp;I3&amp;L3&amp;K3,$BI:$CO,12,FALSE))</f>
        <v>0</v>
      </c>
      <c r="AA3" s="20" t="str">
        <f t="shared" ref="AA3:AA66" si="6">IF(ISNA(VLOOKUP(J3&amp;H3&amp;I3&amp;L3&amp;K3,$BI:$CO,7,FALSE)),"",VLOOKUP(J3&amp;H3&amp;I3&amp;L3&amp;K3,$BI:$CO,7,FALSE))</f>
        <v>Guatemala</v>
      </c>
      <c r="AB3" s="20" t="str">
        <f t="shared" ref="AB3:AB66" si="7">IF(ISNA(VLOOKUP(J3&amp;H3&amp;I3&amp;L3&amp;K3,$BI:$CO,8,FALSE)),"",VLOOKUP(J3&amp;H3&amp;I3&amp;L3&amp;K3,$BI:$CO,8,FALSE))</f>
        <v>Guatemala</v>
      </c>
      <c r="AC3" s="20" t="str">
        <f t="shared" ref="AC3:AC66" si="8">IF(ISNA(VLOOKUP(J3&amp;H3&amp;I3&amp;L3&amp;K3,$BI:$CO,9,FALSE)),"",VLOOKUP(J3&amp;H3&amp;I3&amp;L3&amp;K3,$BI:$CO,9,FALSE))</f>
        <v>Guatemala City</v>
      </c>
      <c r="AD3" s="20" t="str">
        <f t="shared" ref="AD3:AD66" si="9">IF(ISNA(VLOOKUP(J3&amp;H3&amp;I3&amp;L3&amp;K3,$BI:$CO,13,FALSE)),"",VLOOKUP(J3&amp;H3&amp;I3&amp;L3&amp;K3,$BI:$CO,13,FALSE))</f>
        <v>SURVEY_US_GM_2</v>
      </c>
      <c r="AE3" s="20" t="str">
        <f t="shared" ref="AE3:AE66" si="10">IF(ISNA(VLOOKUP(J3&amp;H3&amp;I3&amp;L3&amp;K3,$BI:$CO,11,FALSE)),"",VLOOKUP(J3&amp;H3&amp;I3&amp;L3&amp;K3,$BI:$CO,11,FALSE))</f>
        <v>@wmt45.com</v>
      </c>
      <c r="AF3" s="20">
        <f t="shared" ref="AF3:AF66" si="11">IF(ISNA(VLOOKUP(J3&amp;H3&amp;I3&amp;L3&amp;K3,$BI:$CO,14,FALSE)),"",VLOOKUP(J3&amp;H3&amp;I3&amp;L3&amp;K3,$BI:$CO,14,FALSE))</f>
        <v>0</v>
      </c>
      <c r="AG3" s="20">
        <f t="shared" ref="AG3:AG66" si="12">IF(ISNA(VLOOKUP(J3&amp;H3&amp;I3&amp;L3&amp;K3,$BI:$CO,16,FALSE)),"",VLOOKUP(J3&amp;H3&amp;I3&amp;L3&amp;K3,$BI:$CO,16,FALSE))</f>
        <v>169</v>
      </c>
      <c r="AH3" s="20">
        <f t="shared" ref="AH3:AH66" si="13">IF(ISNA(VLOOKUP(J3&amp;H3&amp;I3&amp;L3&amp;K3,$BI:$CO,17,FALSE)),"",VLOOKUP(J3&amp;H3&amp;I3&amp;L3&amp;K3,$BI:$CO,17,FALSE))</f>
        <v>100978</v>
      </c>
      <c r="AI3" s="20">
        <f t="shared" ref="AI3:AI66" si="14">IF(ISNA(VLOOKUP(J3&amp;H3&amp;I3&amp;L3&amp;K3,$BI:$CO,18,FALSE)),"",VLOOKUP(J3&amp;H3&amp;I3&amp;L3&amp;K3,$BI:$CO,18,FALSE))</f>
        <v>0</v>
      </c>
      <c r="AJ3" s="20" t="str">
        <f t="shared" ref="AJ3:AJ66" si="15">IF(ISNA(VLOOKUP(J3&amp;H3&amp;I3&amp;L3&amp;K3,$BI:$CO,20,FALSE)),"",VLOOKUP(J3&amp;H3&amp;I3&amp;L3&amp;K3,$BI:$CO,20,FALSE))</f>
        <v>Team Lead</v>
      </c>
      <c r="AK3" s="20" t="str">
        <f t="shared" ref="AK3:AK66" si="16">IF(ISNA(VLOOKUP(J3&amp;H3&amp;I3&amp;L3&amp;K3,$BI:$CO,21,FALSE)),"",VLOOKUP(J3&amp;H3&amp;I3&amp;L3&amp;K3,$BI:$CO,21,FALSE))</f>
        <v>GTM</v>
      </c>
      <c r="AL3" s="20" t="str">
        <f t="shared" ref="AL3:AL66" si="17">IF(ISNA(VLOOKUP(J3&amp;H3&amp;I3&amp;L3&amp;K3,$BI:$CO,22,FALSE)),"",VLOOKUP(J3&amp;H3&amp;I3&amp;L3&amp;K3,$BI:$CO,22,FALSE))</f>
        <v>GUA</v>
      </c>
      <c r="AM3" s="20" t="str">
        <f t="shared" ref="AM3:AM66" si="18">IF(ISNA(VLOOKUP(J3&amp;H3&amp;I3&amp;L3&amp;K3,$BI:$CO,23,FALSE)),"",VLOOKUP(J3&amp;H3&amp;I3&amp;L3&amp;K3,$BI:$CO,23,FALSE))</f>
        <v>m0b017c</v>
      </c>
      <c r="AN3" s="20" t="str">
        <f t="shared" ref="AN3:AN66" si="19">IF(ISNA(VLOOKUP(J3&amp;H3&amp;I3&amp;L3&amp;K3,$BI:$CO,24,FALSE)),"",VLOOKUP(J3&amp;H3&amp;I3&amp;L3&amp;K3,$BI:$CO,24,FALSE))</f>
        <v>Digital</v>
      </c>
      <c r="AO3" s="20" t="str">
        <f t="shared" ref="AO3:AO66" si="20">IF(ISNA(VLOOKUP(J3&amp;H3&amp;I3&amp;L3&amp;K3,$BI:$CO,25,FALSE)),"",VLOOKUP(J3&amp;H3&amp;I3&amp;L3&amp;K3,$BI:$CO,25,FALSE))</f>
        <v>WMCOM</v>
      </c>
      <c r="AP3" s="20" t="str">
        <f t="shared" ref="AP3:AP66" si="21">IF(ISNA(VLOOKUP(J3&amp;H3&amp;I3&amp;L3&amp;K3,$BI:$CO,26,FALSE)),"",VLOOKUP(J3&amp;H3&amp;I3&amp;L3&amp;K3,$BI:$CO,26,FALSE))</f>
        <v>24-7Intouch</v>
      </c>
      <c r="AQ3" s="20" t="b">
        <f t="shared" ref="AQ3:AQ66" si="22">IF(ISNA(VLOOKUP(J3&amp;H3&amp;I3&amp;L3&amp;K3,$BI:$CO,28,FALSE)),"",VLOOKUP(J3&amp;H3&amp;I3&amp;L3&amp;K3,$BI:$CO,28,FALSE))</f>
        <v>0</v>
      </c>
      <c r="AR3" s="20" t="b">
        <f t="shared" ref="AR3:AR66" si="23">IF(ISNA(VLOOKUP(J3&amp;H3&amp;I3&amp;L3&amp;K3,$BI:$CO,29,FALSE)),"",VLOOKUP(J3&amp;H3&amp;I3&amp;L3&amp;K3,$BI:$CO,29,FALSE))</f>
        <v>1</v>
      </c>
      <c r="AS3" s="20" t="b">
        <f t="shared" ref="AS3:AS66" si="24">IF(ISNA(VLOOKUP(J3&amp;H3&amp;I3&amp;L3&amp;K3,$BI:$CO,30,FALSE)),"",VLOOKUP(J3&amp;H3&amp;I3&amp;L3&amp;K3,$BI:$CO,30,FALSE))</f>
        <v>0</v>
      </c>
      <c r="AT3" s="20" t="b">
        <f t="shared" ref="AT3:AT66" si="25">IF(ISNA(VLOOKUP(J3&amp;H3&amp;I3&amp;L3&amp;K3,$BI:$CO,31,FALSE)),"",VLOOKUP(J3&amp;H3&amp;I3&amp;L3&amp;K3,$BI:$CO,31,FALSE))</f>
        <v>0</v>
      </c>
      <c r="AU3" s="20" t="b">
        <f t="shared" ref="AU3:AU66" si="26">IF(ISNA(VLOOKUP(J3&amp;H3&amp;I3&amp;L3&amp;K3,$BI:$CO,32,FALSE)),"",VLOOKUP(J3&amp;H3&amp;I3&amp;L3&amp;K3,$BI:$CO,32,FALSE))</f>
        <v>0</v>
      </c>
      <c r="AV3" s="20" t="str">
        <f t="shared" ref="AV3:AV66" si="27">IF(ISNA(VLOOKUP(J3&amp;H3&amp;I3&amp;L3&amp;K3,$BI:$CO,33,FALSE)),"",VLOOKUP(J3&amp;H3&amp;I3&amp;L3&amp;K3,$BI:$CO,33,FALSE))</f>
        <v>Tier 1</v>
      </c>
      <c r="AW3" s="20" t="str">
        <f t="shared" ref="AW3:AW66" si="28">TRIM(N3)</f>
        <v>Sucely Aldana</v>
      </c>
      <c r="AX3" s="24" t="s">
        <v>588</v>
      </c>
      <c r="AY3" s="24" t="s">
        <v>828</v>
      </c>
      <c r="AZ3" s="17" t="s">
        <v>595</v>
      </c>
      <c r="BA3" s="24" t="s">
        <v>58</v>
      </c>
      <c r="BB3" s="17" t="s">
        <v>87</v>
      </c>
      <c r="BC3" s="17" t="s">
        <v>201</v>
      </c>
      <c r="BD3" s="43" t="s">
        <v>591</v>
      </c>
      <c r="BE3" s="43" t="s">
        <v>590</v>
      </c>
      <c r="BF3" s="43" t="s">
        <v>592</v>
      </c>
      <c r="BG3" s="43" t="s">
        <v>508</v>
      </c>
      <c r="BH3" s="43" t="s">
        <v>5</v>
      </c>
      <c r="BI3" s="43" t="s">
        <v>25</v>
      </c>
      <c r="BJ3" s="44"/>
      <c r="BK3" s="71" t="s">
        <v>484</v>
      </c>
      <c r="BL3" s="71" t="s">
        <v>26</v>
      </c>
      <c r="BM3" s="71" t="s">
        <v>11</v>
      </c>
      <c r="BN3" s="71" t="s">
        <v>28</v>
      </c>
      <c r="BO3" s="38" t="s">
        <v>29</v>
      </c>
      <c r="BP3" s="38" t="s">
        <v>30</v>
      </c>
      <c r="BQ3" s="38" t="s">
        <v>31</v>
      </c>
      <c r="BR3" s="38" t="s">
        <v>32</v>
      </c>
      <c r="BS3" s="38" t="s">
        <v>33</v>
      </c>
      <c r="BT3" s="44" t="s">
        <v>36</v>
      </c>
      <c r="BU3" s="44" t="s">
        <v>466</v>
      </c>
      <c r="BV3" s="44" t="s">
        <v>551</v>
      </c>
      <c r="BW3" s="44"/>
      <c r="BX3" s="44" t="s">
        <v>392</v>
      </c>
      <c r="BY3" s="44" t="s">
        <v>393</v>
      </c>
      <c r="BZ3" s="44" t="s">
        <v>467</v>
      </c>
      <c r="CA3" s="44"/>
      <c r="CB3" s="43" t="s">
        <v>469</v>
      </c>
      <c r="CC3" s="43" t="s">
        <v>558</v>
      </c>
      <c r="CD3" s="46" t="s">
        <v>559</v>
      </c>
      <c r="CE3" s="46" t="s">
        <v>467</v>
      </c>
      <c r="CF3" s="46" t="s">
        <v>468</v>
      </c>
      <c r="CG3" s="46" t="s">
        <v>560</v>
      </c>
      <c r="CH3" s="46" t="s">
        <v>565</v>
      </c>
      <c r="CI3" s="46" t="s">
        <v>470</v>
      </c>
      <c r="CJ3" s="46" t="s">
        <v>57</v>
      </c>
      <c r="CK3" s="46" t="s">
        <v>127</v>
      </c>
      <c r="CL3" s="46" t="s">
        <v>150</v>
      </c>
      <c r="CM3" s="46" t="s">
        <v>596</v>
      </c>
      <c r="CN3" s="46" t="s">
        <v>609</v>
      </c>
      <c r="CO3" s="46" t="s">
        <v>509</v>
      </c>
      <c r="CP3" s="46"/>
      <c r="CQ3" s="120" t="s">
        <v>37</v>
      </c>
      <c r="CR3" s="120"/>
      <c r="CT3" s="120" t="s">
        <v>38</v>
      </c>
      <c r="CU3" s="120"/>
      <c r="CW3" s="120" t="s">
        <v>39</v>
      </c>
      <c r="CX3" s="120"/>
      <c r="CY3" s="34"/>
      <c r="CZ3" s="121" t="s">
        <v>40</v>
      </c>
      <c r="DA3" s="121"/>
      <c r="DB3" s="31"/>
      <c r="DC3" s="121" t="s">
        <v>41</v>
      </c>
      <c r="DD3" s="121"/>
      <c r="DE3" s="31"/>
      <c r="DF3" s="35" t="s">
        <v>42</v>
      </c>
      <c r="DG3" s="35"/>
      <c r="DH3" s="31"/>
      <c r="DI3" s="121" t="s">
        <v>43</v>
      </c>
      <c r="DJ3" s="121"/>
      <c r="DK3" s="31"/>
      <c r="DL3" s="35" t="s">
        <v>44</v>
      </c>
      <c r="DM3" s="35"/>
      <c r="DN3" s="31"/>
      <c r="DO3" s="21"/>
      <c r="DP3" s="35" t="s">
        <v>45</v>
      </c>
      <c r="DQ3" s="35" t="s">
        <v>46</v>
      </c>
      <c r="DR3" s="35"/>
      <c r="DS3" s="35"/>
      <c r="DU3" s="120" t="s">
        <v>47</v>
      </c>
      <c r="DV3" s="120"/>
      <c r="DX3" s="120" t="s">
        <v>48</v>
      </c>
      <c r="DY3" s="120"/>
    </row>
    <row r="4" spans="1:132" ht="16.5" x14ac:dyDescent="0.25">
      <c r="A4" s="134" t="s">
        <v>1085</v>
      </c>
      <c r="B4" s="134" t="s">
        <v>1145</v>
      </c>
      <c r="C4" s="134" t="s">
        <v>1146</v>
      </c>
      <c r="D4" s="134" t="s">
        <v>1147</v>
      </c>
      <c r="E4" s="134">
        <v>8</v>
      </c>
      <c r="F4" s="134">
        <v>30</v>
      </c>
      <c r="G4" s="135">
        <v>44851</v>
      </c>
      <c r="H4" s="134" t="s">
        <v>87</v>
      </c>
      <c r="I4" s="134" t="s">
        <v>51</v>
      </c>
      <c r="J4" s="134" t="s">
        <v>828</v>
      </c>
      <c r="K4" s="134" t="s">
        <v>58</v>
      </c>
      <c r="L4" s="134" t="s">
        <v>127</v>
      </c>
      <c r="M4" s="134">
        <v>2465</v>
      </c>
      <c r="N4" s="134" t="s">
        <v>1137</v>
      </c>
      <c r="O4" s="134" t="s">
        <v>1138</v>
      </c>
      <c r="P4" s="134" t="s">
        <v>1139</v>
      </c>
      <c r="Q4" s="137" t="s">
        <v>1140</v>
      </c>
      <c r="R4" s="138"/>
      <c r="S4" s="136"/>
      <c r="T4" s="136" t="s">
        <v>1141</v>
      </c>
      <c r="U4" s="97"/>
      <c r="V4" s="20" t="str">
        <f t="shared" si="1"/>
        <v>24-7Intouch_GTM_GUA_Chat_Nest</v>
      </c>
      <c r="W4" s="20" t="str">
        <f t="shared" si="2"/>
        <v>247Intouch Agent</v>
      </c>
      <c r="X4" s="20" t="str">
        <f t="shared" si="3"/>
        <v>guawmtops@24-7intouch.com</v>
      </c>
      <c r="Y4" s="20" t="str">
        <f t="shared" si="4"/>
        <v>10670368:3:TRUE</v>
      </c>
      <c r="Z4" s="20">
        <f t="shared" si="5"/>
        <v>0</v>
      </c>
      <c r="AA4" s="20" t="str">
        <f t="shared" si="6"/>
        <v>Guatemala</v>
      </c>
      <c r="AB4" s="20" t="str">
        <f t="shared" si="7"/>
        <v>Guatemala</v>
      </c>
      <c r="AC4" s="20" t="str">
        <f t="shared" si="8"/>
        <v>Guatemala City</v>
      </c>
      <c r="AD4" s="20" t="str">
        <f t="shared" si="9"/>
        <v>SURVEY_US_GM_2</v>
      </c>
      <c r="AE4" s="20" t="str">
        <f t="shared" si="10"/>
        <v>@wmt45.com</v>
      </c>
      <c r="AF4" s="20">
        <f t="shared" si="11"/>
        <v>0</v>
      </c>
      <c r="AG4" s="20">
        <f t="shared" si="12"/>
        <v>169</v>
      </c>
      <c r="AH4" s="20">
        <f t="shared" si="13"/>
        <v>100978</v>
      </c>
      <c r="AI4" s="20">
        <f t="shared" si="14"/>
        <v>0</v>
      </c>
      <c r="AJ4" s="20" t="str">
        <f t="shared" si="15"/>
        <v>Team Lead</v>
      </c>
      <c r="AK4" s="20" t="str">
        <f t="shared" si="16"/>
        <v>GTM</v>
      </c>
      <c r="AL4" s="20" t="str">
        <f t="shared" si="17"/>
        <v>GUA</v>
      </c>
      <c r="AM4" s="20" t="str">
        <f t="shared" si="18"/>
        <v>m0b017c</v>
      </c>
      <c r="AN4" s="20" t="str">
        <f t="shared" si="19"/>
        <v>Digital</v>
      </c>
      <c r="AO4" s="20" t="str">
        <f t="shared" si="20"/>
        <v>WMCOM</v>
      </c>
      <c r="AP4" s="20" t="str">
        <f t="shared" si="21"/>
        <v>24-7Intouch</v>
      </c>
      <c r="AQ4" s="20" t="b">
        <f t="shared" si="22"/>
        <v>0</v>
      </c>
      <c r="AR4" s="20" t="b">
        <f t="shared" si="23"/>
        <v>1</v>
      </c>
      <c r="AS4" s="20" t="b">
        <f t="shared" si="24"/>
        <v>0</v>
      </c>
      <c r="AT4" s="20" t="b">
        <f t="shared" si="25"/>
        <v>0</v>
      </c>
      <c r="AU4" s="20" t="b">
        <f t="shared" si="26"/>
        <v>0</v>
      </c>
      <c r="AV4" s="20" t="str">
        <f t="shared" si="27"/>
        <v>Tier 1</v>
      </c>
      <c r="AW4" s="20" t="str">
        <f t="shared" si="28"/>
        <v>Sucely Aldana</v>
      </c>
      <c r="AX4" s="24" t="s">
        <v>589</v>
      </c>
      <c r="AY4" s="24" t="s">
        <v>593</v>
      </c>
      <c r="AZ4" s="17" t="s">
        <v>127</v>
      </c>
      <c r="BA4" s="24" t="s">
        <v>92</v>
      </c>
      <c r="BB4" s="17" t="s">
        <v>555</v>
      </c>
      <c r="BC4" s="17" t="s">
        <v>547</v>
      </c>
      <c r="BD4" s="17" t="s">
        <v>87</v>
      </c>
      <c r="BE4" s="17" t="s">
        <v>593</v>
      </c>
      <c r="BF4" s="17" t="s">
        <v>547</v>
      </c>
      <c r="BG4" s="17" t="s">
        <v>596</v>
      </c>
      <c r="BH4" s="17" t="s">
        <v>92</v>
      </c>
      <c r="BI4" s="17" t="s">
        <v>809</v>
      </c>
      <c r="BK4" s="18"/>
      <c r="BO4" s="17" t="s">
        <v>86</v>
      </c>
      <c r="BP4" s="17" t="s">
        <v>547</v>
      </c>
      <c r="BQ4" s="17" t="s">
        <v>547</v>
      </c>
      <c r="BS4" s="22" t="s">
        <v>517</v>
      </c>
      <c r="BV4" s="17" t="s">
        <v>83</v>
      </c>
      <c r="BX4" s="17" t="s">
        <v>636</v>
      </c>
      <c r="BY4" s="17" t="s">
        <v>636</v>
      </c>
      <c r="BZ4" s="17" t="s">
        <v>543</v>
      </c>
      <c r="CB4" s="17" t="s">
        <v>83</v>
      </c>
      <c r="CC4" s="17" t="s">
        <v>569</v>
      </c>
      <c r="CD4" s="17" t="s">
        <v>579</v>
      </c>
      <c r="CE4" s="17" t="s">
        <v>64</v>
      </c>
      <c r="CF4" s="17" t="s">
        <v>1131</v>
      </c>
      <c r="CG4" s="17" t="s">
        <v>519</v>
      </c>
      <c r="CH4" s="17" t="s">
        <v>566</v>
      </c>
      <c r="CI4" s="23">
        <v>5284</v>
      </c>
      <c r="CJ4" s="23" t="b">
        <v>0</v>
      </c>
      <c r="CK4" s="23" t="b">
        <v>0</v>
      </c>
      <c r="CL4" s="23" t="b">
        <v>0</v>
      </c>
      <c r="CM4" s="23" t="b">
        <v>1</v>
      </c>
      <c r="CN4" s="23" t="b">
        <v>0</v>
      </c>
      <c r="CO4" s="17" t="s">
        <v>1133</v>
      </c>
      <c r="CP4" s="49"/>
      <c r="CQ4" s="17" t="s">
        <v>53</v>
      </c>
      <c r="CR4" s="17" t="s">
        <v>57</v>
      </c>
      <c r="CT4" s="17" t="s">
        <v>53</v>
      </c>
      <c r="CU4" s="17" t="s">
        <v>58</v>
      </c>
      <c r="CW4" s="17" t="s">
        <v>59</v>
      </c>
      <c r="CX4" s="10" t="s">
        <v>60</v>
      </c>
      <c r="CY4" s="10"/>
      <c r="CZ4" s="17" t="s">
        <v>53</v>
      </c>
      <c r="DA4" s="24" t="s">
        <v>61</v>
      </c>
      <c r="DB4" s="24"/>
      <c r="DC4" s="17" t="s">
        <v>53</v>
      </c>
      <c r="DD4" s="17" t="s">
        <v>58</v>
      </c>
      <c r="DE4" s="24"/>
      <c r="DF4" s="17" t="s">
        <v>54</v>
      </c>
      <c r="DG4" s="24" t="s">
        <v>62</v>
      </c>
      <c r="DH4" s="24"/>
      <c r="DI4" s="17" t="s">
        <v>54</v>
      </c>
      <c r="DJ4" s="24" t="s">
        <v>63</v>
      </c>
      <c r="DK4" s="24"/>
      <c r="DL4" s="17" t="s">
        <v>54</v>
      </c>
      <c r="DM4" s="24" t="s">
        <v>64</v>
      </c>
      <c r="DN4" s="24"/>
      <c r="DP4" s="17" t="s">
        <v>54</v>
      </c>
      <c r="DQ4" s="23">
        <v>5876</v>
      </c>
      <c r="DR4" s="23"/>
      <c r="DS4" s="33" t="s">
        <v>65</v>
      </c>
      <c r="DU4" s="17" t="s">
        <v>34</v>
      </c>
      <c r="DV4" s="17" t="s">
        <v>35</v>
      </c>
      <c r="DX4" s="17" t="s">
        <v>27</v>
      </c>
      <c r="DY4" s="17" t="s">
        <v>35</v>
      </c>
      <c r="EB4" s="17" t="s">
        <v>56</v>
      </c>
    </row>
    <row r="5" spans="1:132" ht="16.5" x14ac:dyDescent="0.25">
      <c r="A5" s="134" t="s">
        <v>1085</v>
      </c>
      <c r="B5" s="134" t="s">
        <v>1148</v>
      </c>
      <c r="C5" s="134" t="s">
        <v>1149</v>
      </c>
      <c r="D5" s="134" t="s">
        <v>1150</v>
      </c>
      <c r="E5" s="134">
        <v>9</v>
      </c>
      <c r="F5" s="134">
        <v>13</v>
      </c>
      <c r="G5" s="135">
        <v>44851</v>
      </c>
      <c r="H5" s="134" t="s">
        <v>87</v>
      </c>
      <c r="I5" s="134" t="s">
        <v>51</v>
      </c>
      <c r="J5" s="134" t="s">
        <v>828</v>
      </c>
      <c r="K5" s="134" t="s">
        <v>58</v>
      </c>
      <c r="L5" s="134" t="s">
        <v>127</v>
      </c>
      <c r="M5" s="134">
        <v>2466</v>
      </c>
      <c r="N5" s="134" t="s">
        <v>1137</v>
      </c>
      <c r="O5" s="134" t="s">
        <v>1138</v>
      </c>
      <c r="P5" s="134" t="s">
        <v>1139</v>
      </c>
      <c r="Q5" s="137" t="s">
        <v>1140</v>
      </c>
      <c r="R5" s="138"/>
      <c r="S5" s="136"/>
      <c r="T5" s="136" t="s">
        <v>1141</v>
      </c>
      <c r="U5" s="97"/>
      <c r="V5" s="20" t="str">
        <f t="shared" si="1"/>
        <v>24-7Intouch_GTM_GUA_Chat_Nest</v>
      </c>
      <c r="W5" s="20" t="str">
        <f t="shared" si="2"/>
        <v>247Intouch Agent</v>
      </c>
      <c r="X5" s="20" t="str">
        <f t="shared" si="3"/>
        <v>guawmtops@24-7intouch.com</v>
      </c>
      <c r="Y5" s="20" t="str">
        <f t="shared" si="4"/>
        <v>10670368:3:TRUE</v>
      </c>
      <c r="Z5" s="20">
        <f t="shared" si="5"/>
        <v>0</v>
      </c>
      <c r="AA5" s="20" t="str">
        <f t="shared" si="6"/>
        <v>Guatemala</v>
      </c>
      <c r="AB5" s="20" t="str">
        <f t="shared" si="7"/>
        <v>Guatemala</v>
      </c>
      <c r="AC5" s="20" t="str">
        <f t="shared" si="8"/>
        <v>Guatemala City</v>
      </c>
      <c r="AD5" s="20" t="str">
        <f t="shared" si="9"/>
        <v>SURVEY_US_GM_2</v>
      </c>
      <c r="AE5" s="20" t="str">
        <f t="shared" si="10"/>
        <v>@wmt45.com</v>
      </c>
      <c r="AF5" s="20">
        <f t="shared" si="11"/>
        <v>0</v>
      </c>
      <c r="AG5" s="20">
        <f t="shared" si="12"/>
        <v>169</v>
      </c>
      <c r="AH5" s="20">
        <f t="shared" si="13"/>
        <v>100978</v>
      </c>
      <c r="AI5" s="20">
        <f t="shared" si="14"/>
        <v>0</v>
      </c>
      <c r="AJ5" s="20" t="str">
        <f t="shared" si="15"/>
        <v>Team Lead</v>
      </c>
      <c r="AK5" s="20" t="str">
        <f t="shared" si="16"/>
        <v>GTM</v>
      </c>
      <c r="AL5" s="20" t="str">
        <f t="shared" si="17"/>
        <v>GUA</v>
      </c>
      <c r="AM5" s="20" t="str">
        <f t="shared" si="18"/>
        <v>m0b017c</v>
      </c>
      <c r="AN5" s="20" t="str">
        <f t="shared" si="19"/>
        <v>Digital</v>
      </c>
      <c r="AO5" s="20" t="str">
        <f t="shared" si="20"/>
        <v>WMCOM</v>
      </c>
      <c r="AP5" s="20" t="str">
        <f t="shared" si="21"/>
        <v>24-7Intouch</v>
      </c>
      <c r="AQ5" s="20" t="b">
        <f t="shared" si="22"/>
        <v>0</v>
      </c>
      <c r="AR5" s="20" t="b">
        <f t="shared" si="23"/>
        <v>1</v>
      </c>
      <c r="AS5" s="20" t="b">
        <f t="shared" si="24"/>
        <v>0</v>
      </c>
      <c r="AT5" s="20" t="b">
        <f t="shared" si="25"/>
        <v>0</v>
      </c>
      <c r="AU5" s="20" t="b">
        <f t="shared" si="26"/>
        <v>0</v>
      </c>
      <c r="AV5" s="20" t="str">
        <f t="shared" si="27"/>
        <v>Tier 1</v>
      </c>
      <c r="AW5" s="20" t="str">
        <f t="shared" si="28"/>
        <v>Sucely Aldana</v>
      </c>
      <c r="AY5" s="24" t="s">
        <v>594</v>
      </c>
      <c r="AZ5" s="17" t="s">
        <v>150</v>
      </c>
      <c r="BA5" s="24" t="s">
        <v>147</v>
      </c>
      <c r="BB5" s="17" t="s">
        <v>137</v>
      </c>
      <c r="BC5" s="17" t="s">
        <v>703</v>
      </c>
      <c r="BD5" s="17" t="s">
        <v>87</v>
      </c>
      <c r="BE5" s="17" t="s">
        <v>593</v>
      </c>
      <c r="BF5" s="17" t="s">
        <v>547</v>
      </c>
      <c r="BG5" s="17" t="s">
        <v>595</v>
      </c>
      <c r="BH5" s="17" t="s">
        <v>58</v>
      </c>
      <c r="BI5" s="17" t="s">
        <v>810</v>
      </c>
      <c r="BK5" s="18"/>
      <c r="BO5" s="17" t="s">
        <v>86</v>
      </c>
      <c r="BP5" s="17" t="s">
        <v>547</v>
      </c>
      <c r="BQ5" s="17" t="s">
        <v>547</v>
      </c>
      <c r="BS5" s="22" t="s">
        <v>517</v>
      </c>
      <c r="BV5" s="17" t="s">
        <v>58</v>
      </c>
      <c r="BX5" s="17" t="s">
        <v>636</v>
      </c>
      <c r="BY5" s="17" t="s">
        <v>636</v>
      </c>
      <c r="BZ5" s="17" t="s">
        <v>543</v>
      </c>
      <c r="CB5" s="17" t="s">
        <v>58</v>
      </c>
      <c r="CC5" s="17" t="s">
        <v>569</v>
      </c>
      <c r="CD5" s="17" t="s">
        <v>579</v>
      </c>
      <c r="CE5" s="17" t="s">
        <v>64</v>
      </c>
      <c r="CF5" s="17" t="s">
        <v>1131</v>
      </c>
      <c r="CG5" s="17" t="s">
        <v>519</v>
      </c>
      <c r="CH5" s="17" t="s">
        <v>566</v>
      </c>
      <c r="CI5" s="23">
        <v>5284</v>
      </c>
      <c r="CJ5" s="23" t="b">
        <v>1</v>
      </c>
      <c r="CK5" s="23" t="b">
        <v>0</v>
      </c>
      <c r="CL5" s="23" t="b">
        <v>0</v>
      </c>
      <c r="CM5" s="23" t="b">
        <v>0</v>
      </c>
      <c r="CN5" s="23" t="b">
        <v>0</v>
      </c>
      <c r="CO5" s="17" t="s">
        <v>1133</v>
      </c>
      <c r="CP5" s="49"/>
      <c r="CQ5" s="17" t="s">
        <v>66</v>
      </c>
      <c r="CR5" s="17" t="s">
        <v>57</v>
      </c>
      <c r="CT5" s="17" t="s">
        <v>66</v>
      </c>
      <c r="CU5" s="17" t="s">
        <v>58</v>
      </c>
      <c r="CW5" s="10" t="s">
        <v>71</v>
      </c>
      <c r="CX5" s="10" t="s">
        <v>72</v>
      </c>
      <c r="CY5" s="10"/>
      <c r="CZ5" s="17" t="s">
        <v>66</v>
      </c>
      <c r="DA5" s="24" t="s">
        <v>73</v>
      </c>
      <c r="DB5" s="24"/>
      <c r="DC5" s="17" t="s">
        <v>66</v>
      </c>
      <c r="DD5" s="17" t="s">
        <v>58</v>
      </c>
      <c r="DE5" s="24"/>
      <c r="DF5" s="17" t="s">
        <v>69</v>
      </c>
      <c r="DG5" s="24" t="s">
        <v>74</v>
      </c>
      <c r="DH5" s="24"/>
      <c r="DI5" s="17" t="s">
        <v>69</v>
      </c>
      <c r="DJ5" s="24" t="s">
        <v>63</v>
      </c>
      <c r="DK5" s="24"/>
      <c r="DL5" s="17" t="s">
        <v>69</v>
      </c>
      <c r="DM5" s="24" t="s">
        <v>64</v>
      </c>
      <c r="DN5" s="24" t="s">
        <v>75</v>
      </c>
      <c r="DO5" s="17" t="s">
        <v>76</v>
      </c>
      <c r="DP5" s="17" t="s">
        <v>69</v>
      </c>
      <c r="DQ5" s="23">
        <v>5876</v>
      </c>
      <c r="DR5" s="23"/>
      <c r="DS5" s="33" t="s">
        <v>77</v>
      </c>
      <c r="DU5" s="17" t="s">
        <v>78</v>
      </c>
      <c r="DV5" s="17">
        <v>746</v>
      </c>
      <c r="DX5" s="17" t="s">
        <v>79</v>
      </c>
      <c r="DY5" s="17">
        <v>197394</v>
      </c>
      <c r="EB5" s="17" t="s">
        <v>70</v>
      </c>
    </row>
    <row r="6" spans="1:132" ht="16.5" x14ac:dyDescent="0.25">
      <c r="A6" s="134" t="s">
        <v>1085</v>
      </c>
      <c r="B6" s="134" t="s">
        <v>1151</v>
      </c>
      <c r="C6" s="134" t="s">
        <v>1152</v>
      </c>
      <c r="D6" s="134" t="s">
        <v>1153</v>
      </c>
      <c r="E6" s="134">
        <v>8</v>
      </c>
      <c r="F6" s="134">
        <v>14</v>
      </c>
      <c r="G6" s="135">
        <v>44851</v>
      </c>
      <c r="H6" s="134" t="s">
        <v>87</v>
      </c>
      <c r="I6" s="134" t="s">
        <v>51</v>
      </c>
      <c r="J6" s="134" t="s">
        <v>828</v>
      </c>
      <c r="K6" s="134" t="s">
        <v>58</v>
      </c>
      <c r="L6" s="134" t="s">
        <v>127</v>
      </c>
      <c r="M6" s="134">
        <v>2467</v>
      </c>
      <c r="N6" s="134" t="s">
        <v>1137</v>
      </c>
      <c r="O6" s="134" t="s">
        <v>1138</v>
      </c>
      <c r="P6" s="134" t="s">
        <v>1139</v>
      </c>
      <c r="Q6" s="137" t="s">
        <v>1140</v>
      </c>
      <c r="R6" s="138"/>
      <c r="S6" s="136"/>
      <c r="T6" s="136" t="s">
        <v>1141</v>
      </c>
      <c r="U6" s="97"/>
      <c r="V6" s="20" t="str">
        <f t="shared" si="1"/>
        <v>24-7Intouch_GTM_GUA_Chat_Nest</v>
      </c>
      <c r="W6" s="20" t="str">
        <f t="shared" si="2"/>
        <v>247Intouch Agent</v>
      </c>
      <c r="X6" s="20" t="str">
        <f t="shared" si="3"/>
        <v>guawmtops@24-7intouch.com</v>
      </c>
      <c r="Y6" s="20" t="str">
        <f t="shared" si="4"/>
        <v>10670368:3:TRUE</v>
      </c>
      <c r="Z6" s="20">
        <f t="shared" si="5"/>
        <v>0</v>
      </c>
      <c r="AA6" s="20" t="str">
        <f t="shared" si="6"/>
        <v>Guatemala</v>
      </c>
      <c r="AB6" s="20" t="str">
        <f t="shared" si="7"/>
        <v>Guatemala</v>
      </c>
      <c r="AC6" s="20" t="str">
        <f t="shared" si="8"/>
        <v>Guatemala City</v>
      </c>
      <c r="AD6" s="20" t="str">
        <f t="shared" si="9"/>
        <v>SURVEY_US_GM_2</v>
      </c>
      <c r="AE6" s="20" t="str">
        <f t="shared" si="10"/>
        <v>@wmt45.com</v>
      </c>
      <c r="AF6" s="20">
        <f t="shared" si="11"/>
        <v>0</v>
      </c>
      <c r="AG6" s="20">
        <f t="shared" si="12"/>
        <v>169</v>
      </c>
      <c r="AH6" s="20">
        <f t="shared" si="13"/>
        <v>100978</v>
      </c>
      <c r="AI6" s="20">
        <f t="shared" si="14"/>
        <v>0</v>
      </c>
      <c r="AJ6" s="20" t="str">
        <f t="shared" si="15"/>
        <v>Team Lead</v>
      </c>
      <c r="AK6" s="20" t="str">
        <f t="shared" si="16"/>
        <v>GTM</v>
      </c>
      <c r="AL6" s="20" t="str">
        <f t="shared" si="17"/>
        <v>GUA</v>
      </c>
      <c r="AM6" s="20" t="str">
        <f t="shared" si="18"/>
        <v>m0b017c</v>
      </c>
      <c r="AN6" s="20" t="str">
        <f t="shared" si="19"/>
        <v>Digital</v>
      </c>
      <c r="AO6" s="20" t="str">
        <f t="shared" si="20"/>
        <v>WMCOM</v>
      </c>
      <c r="AP6" s="20" t="str">
        <f t="shared" si="21"/>
        <v>24-7Intouch</v>
      </c>
      <c r="AQ6" s="20" t="b">
        <f t="shared" si="22"/>
        <v>0</v>
      </c>
      <c r="AR6" s="20" t="b">
        <f t="shared" si="23"/>
        <v>1</v>
      </c>
      <c r="AS6" s="20" t="b">
        <f t="shared" si="24"/>
        <v>0</v>
      </c>
      <c r="AT6" s="20" t="b">
        <f t="shared" si="25"/>
        <v>0</v>
      </c>
      <c r="AU6" s="20" t="b">
        <f t="shared" si="26"/>
        <v>0</v>
      </c>
      <c r="AV6" s="20" t="str">
        <f t="shared" si="27"/>
        <v>Tier 1</v>
      </c>
      <c r="AW6" s="20" t="str">
        <f t="shared" si="28"/>
        <v>Sucely Aldana</v>
      </c>
      <c r="AY6" s="24" t="s">
        <v>73</v>
      </c>
      <c r="AZ6" s="17" t="s">
        <v>596</v>
      </c>
      <c r="BA6" s="24"/>
      <c r="BB6" s="24" t="s">
        <v>169</v>
      </c>
      <c r="BC6" s="17" t="s">
        <v>684</v>
      </c>
      <c r="BD6" s="17" t="s">
        <v>87</v>
      </c>
      <c r="BE6" s="17" t="s">
        <v>594</v>
      </c>
      <c r="BF6" s="17" t="s">
        <v>547</v>
      </c>
      <c r="BG6" s="17" t="s">
        <v>596</v>
      </c>
      <c r="BH6" s="17" t="s">
        <v>92</v>
      </c>
      <c r="BI6" s="17" t="s">
        <v>811</v>
      </c>
      <c r="BK6" s="79">
        <v>360370</v>
      </c>
      <c r="BL6" s="79" t="s">
        <v>545</v>
      </c>
      <c r="BM6" s="18">
        <v>3322</v>
      </c>
      <c r="BN6" s="18" t="s">
        <v>548</v>
      </c>
      <c r="BO6" s="17" t="s">
        <v>86</v>
      </c>
      <c r="BP6" s="17" t="s">
        <v>547</v>
      </c>
      <c r="BQ6" s="17" t="s">
        <v>547</v>
      </c>
      <c r="BS6" s="22" t="s">
        <v>517</v>
      </c>
      <c r="BV6" s="17" t="s">
        <v>83</v>
      </c>
      <c r="BX6" s="17">
        <v>267</v>
      </c>
      <c r="BY6" s="17">
        <v>144406</v>
      </c>
      <c r="BZ6" s="17" t="s">
        <v>543</v>
      </c>
      <c r="CB6" s="17" t="s">
        <v>83</v>
      </c>
      <c r="CC6" s="17" t="s">
        <v>569</v>
      </c>
      <c r="CD6" s="17" t="s">
        <v>579</v>
      </c>
      <c r="CE6" s="17" t="s">
        <v>64</v>
      </c>
      <c r="CF6" s="17" t="s">
        <v>1131</v>
      </c>
      <c r="CG6" s="17" t="s">
        <v>518</v>
      </c>
      <c r="CH6" s="17" t="s">
        <v>566</v>
      </c>
      <c r="CI6" s="23">
        <v>5284</v>
      </c>
      <c r="CJ6" s="23" t="b">
        <v>0</v>
      </c>
      <c r="CK6" s="23" t="b">
        <v>0</v>
      </c>
      <c r="CL6" s="23" t="b">
        <v>0</v>
      </c>
      <c r="CM6" s="23" t="b">
        <v>1</v>
      </c>
      <c r="CN6" s="23" t="b">
        <v>0</v>
      </c>
      <c r="CO6" s="17" t="s">
        <v>562</v>
      </c>
      <c r="CP6" s="49"/>
      <c r="CQ6" s="17" t="s">
        <v>80</v>
      </c>
      <c r="CR6" s="17" t="s">
        <v>57</v>
      </c>
      <c r="CT6" s="17" t="s">
        <v>80</v>
      </c>
      <c r="CU6" s="17" t="s">
        <v>83</v>
      </c>
      <c r="CW6" s="10" t="s">
        <v>84</v>
      </c>
      <c r="CX6" s="10" t="s">
        <v>85</v>
      </c>
      <c r="CY6" s="10"/>
      <c r="CZ6" s="17" t="s">
        <v>80</v>
      </c>
      <c r="DA6" s="24" t="s">
        <v>73</v>
      </c>
      <c r="DB6" s="24"/>
      <c r="DC6" s="17" t="s">
        <v>80</v>
      </c>
      <c r="DD6" s="17" t="s">
        <v>83</v>
      </c>
      <c r="DE6" s="24"/>
      <c r="DF6" s="17" t="s">
        <v>81</v>
      </c>
      <c r="DG6" s="24" t="s">
        <v>86</v>
      </c>
      <c r="DH6" s="24"/>
      <c r="DI6" s="17" t="s">
        <v>81</v>
      </c>
      <c r="DJ6" s="24" t="s">
        <v>87</v>
      </c>
      <c r="DK6" s="24"/>
      <c r="DL6" s="17" t="s">
        <v>81</v>
      </c>
      <c r="DM6" s="24" t="s">
        <v>64</v>
      </c>
      <c r="DN6" s="24" t="s">
        <v>88</v>
      </c>
      <c r="DO6" s="24" t="s">
        <v>64</v>
      </c>
      <c r="DP6" s="17" t="s">
        <v>81</v>
      </c>
      <c r="DQ6" s="23">
        <v>3474</v>
      </c>
      <c r="DR6" s="23"/>
      <c r="DS6" s="33" t="s">
        <v>89</v>
      </c>
      <c r="DU6" s="17" t="s">
        <v>90</v>
      </c>
      <c r="DV6" s="17">
        <v>124</v>
      </c>
      <c r="DX6" s="17" t="s">
        <v>91</v>
      </c>
      <c r="DY6" s="17">
        <v>195928</v>
      </c>
      <c r="EB6" s="17" t="s">
        <v>82</v>
      </c>
    </row>
    <row r="7" spans="1:132" ht="16.5" x14ac:dyDescent="0.25">
      <c r="A7" s="134" t="s">
        <v>1085</v>
      </c>
      <c r="B7" s="134" t="s">
        <v>1154</v>
      </c>
      <c r="C7" s="134" t="s">
        <v>1143</v>
      </c>
      <c r="D7" s="134" t="s">
        <v>1155</v>
      </c>
      <c r="E7" s="134">
        <v>9</v>
      </c>
      <c r="F7" s="134">
        <v>13</v>
      </c>
      <c r="G7" s="135">
        <v>44851</v>
      </c>
      <c r="H7" s="134" t="s">
        <v>87</v>
      </c>
      <c r="I7" s="134" t="s">
        <v>51</v>
      </c>
      <c r="J7" s="134" t="s">
        <v>828</v>
      </c>
      <c r="K7" s="134" t="s">
        <v>58</v>
      </c>
      <c r="L7" s="134" t="s">
        <v>127</v>
      </c>
      <c r="M7" s="134">
        <v>2468</v>
      </c>
      <c r="N7" s="134" t="s">
        <v>1137</v>
      </c>
      <c r="O7" s="134" t="s">
        <v>1138</v>
      </c>
      <c r="P7" s="134" t="s">
        <v>1139</v>
      </c>
      <c r="Q7" s="137" t="s">
        <v>1140</v>
      </c>
      <c r="R7" s="138"/>
      <c r="S7" s="136"/>
      <c r="T7" s="136" t="s">
        <v>1141</v>
      </c>
      <c r="U7" s="97"/>
      <c r="V7" s="20" t="str">
        <f t="shared" si="1"/>
        <v>24-7Intouch_GTM_GUA_Chat_Nest</v>
      </c>
      <c r="W7" s="20" t="str">
        <f t="shared" si="2"/>
        <v>247Intouch Agent</v>
      </c>
      <c r="X7" s="20" t="str">
        <f t="shared" si="3"/>
        <v>guawmtops@24-7intouch.com</v>
      </c>
      <c r="Y7" s="20" t="str">
        <f t="shared" si="4"/>
        <v>10670368:3:TRUE</v>
      </c>
      <c r="Z7" s="20">
        <f t="shared" si="5"/>
        <v>0</v>
      </c>
      <c r="AA7" s="20" t="str">
        <f t="shared" si="6"/>
        <v>Guatemala</v>
      </c>
      <c r="AB7" s="20" t="str">
        <f t="shared" si="7"/>
        <v>Guatemala</v>
      </c>
      <c r="AC7" s="20" t="str">
        <f t="shared" si="8"/>
        <v>Guatemala City</v>
      </c>
      <c r="AD7" s="20" t="str">
        <f t="shared" si="9"/>
        <v>SURVEY_US_GM_2</v>
      </c>
      <c r="AE7" s="20" t="str">
        <f t="shared" si="10"/>
        <v>@wmt45.com</v>
      </c>
      <c r="AF7" s="20">
        <f t="shared" si="11"/>
        <v>0</v>
      </c>
      <c r="AG7" s="20">
        <f t="shared" si="12"/>
        <v>169</v>
      </c>
      <c r="AH7" s="20">
        <f t="shared" si="13"/>
        <v>100978</v>
      </c>
      <c r="AI7" s="20">
        <f t="shared" si="14"/>
        <v>0</v>
      </c>
      <c r="AJ7" s="20" t="str">
        <f t="shared" si="15"/>
        <v>Team Lead</v>
      </c>
      <c r="AK7" s="20" t="str">
        <f t="shared" si="16"/>
        <v>GTM</v>
      </c>
      <c r="AL7" s="20" t="str">
        <f t="shared" si="17"/>
        <v>GUA</v>
      </c>
      <c r="AM7" s="20" t="str">
        <f t="shared" si="18"/>
        <v>m0b017c</v>
      </c>
      <c r="AN7" s="20" t="str">
        <f t="shared" si="19"/>
        <v>Digital</v>
      </c>
      <c r="AO7" s="20" t="str">
        <f t="shared" si="20"/>
        <v>WMCOM</v>
      </c>
      <c r="AP7" s="20" t="str">
        <f t="shared" si="21"/>
        <v>24-7Intouch</v>
      </c>
      <c r="AQ7" s="20" t="b">
        <f t="shared" si="22"/>
        <v>0</v>
      </c>
      <c r="AR7" s="20" t="b">
        <f t="shared" si="23"/>
        <v>1</v>
      </c>
      <c r="AS7" s="20" t="b">
        <f t="shared" si="24"/>
        <v>0</v>
      </c>
      <c r="AT7" s="20" t="b">
        <f t="shared" si="25"/>
        <v>0</v>
      </c>
      <c r="AU7" s="20" t="b">
        <f t="shared" si="26"/>
        <v>0</v>
      </c>
      <c r="AV7" s="20" t="str">
        <f t="shared" si="27"/>
        <v>Tier 1</v>
      </c>
      <c r="AW7" s="20" t="str">
        <f t="shared" si="28"/>
        <v>Sucely Aldana</v>
      </c>
      <c r="AY7" s="24" t="s">
        <v>301</v>
      </c>
      <c r="AZ7" s="17"/>
      <c r="BA7" s="24"/>
      <c r="BB7" s="17" t="s">
        <v>178</v>
      </c>
      <c r="BC7" s="24" t="s">
        <v>1052</v>
      </c>
      <c r="BD7" s="17" t="s">
        <v>87</v>
      </c>
      <c r="BE7" s="17" t="s">
        <v>594</v>
      </c>
      <c r="BF7" s="17" t="s">
        <v>547</v>
      </c>
      <c r="BG7" s="17" t="s">
        <v>595</v>
      </c>
      <c r="BH7" s="17" t="s">
        <v>58</v>
      </c>
      <c r="BI7" s="17" t="s">
        <v>812</v>
      </c>
      <c r="BK7" s="79">
        <v>360362</v>
      </c>
      <c r="BL7" s="79" t="s">
        <v>549</v>
      </c>
      <c r="BM7" s="18">
        <v>3321</v>
      </c>
      <c r="BN7" s="18" t="s">
        <v>548</v>
      </c>
      <c r="BO7" s="17" t="s">
        <v>86</v>
      </c>
      <c r="BP7" s="17" t="s">
        <v>547</v>
      </c>
      <c r="BQ7" s="17" t="s">
        <v>547</v>
      </c>
      <c r="BS7" s="22" t="s">
        <v>517</v>
      </c>
      <c r="BV7" s="17" t="s">
        <v>58</v>
      </c>
      <c r="BX7" s="17">
        <v>267</v>
      </c>
      <c r="BY7" s="17">
        <v>144406</v>
      </c>
      <c r="BZ7" s="17" t="s">
        <v>543</v>
      </c>
      <c r="CB7" s="17" t="s">
        <v>58</v>
      </c>
      <c r="CC7" s="17" t="s">
        <v>569</v>
      </c>
      <c r="CD7" s="17" t="s">
        <v>579</v>
      </c>
      <c r="CE7" s="17" t="s">
        <v>64</v>
      </c>
      <c r="CF7" s="17" t="s">
        <v>1131</v>
      </c>
      <c r="CG7" s="17" t="s">
        <v>518</v>
      </c>
      <c r="CH7" s="17" t="s">
        <v>566</v>
      </c>
      <c r="CI7" s="23">
        <v>5284</v>
      </c>
      <c r="CJ7" s="23" t="b">
        <v>1</v>
      </c>
      <c r="CK7" s="23" t="b">
        <v>0</v>
      </c>
      <c r="CL7" s="23" t="b">
        <v>0</v>
      </c>
      <c r="CM7" s="23" t="b">
        <v>0</v>
      </c>
      <c r="CN7" s="23" t="b">
        <v>0</v>
      </c>
      <c r="CO7" s="17" t="s">
        <v>562</v>
      </c>
      <c r="CP7" s="49"/>
      <c r="CQ7" s="17" t="s">
        <v>68</v>
      </c>
      <c r="CR7" s="17" t="s">
        <v>57</v>
      </c>
      <c r="CT7" s="17" t="s">
        <v>68</v>
      </c>
      <c r="CU7" s="17" t="s">
        <v>83</v>
      </c>
      <c r="CW7" s="10" t="s">
        <v>95</v>
      </c>
      <c r="CX7" s="10" t="s">
        <v>96</v>
      </c>
      <c r="CY7" s="10"/>
      <c r="CZ7" s="17" t="s">
        <v>68</v>
      </c>
      <c r="DA7" s="24" t="s">
        <v>61</v>
      </c>
      <c r="DB7" s="24"/>
      <c r="DC7" s="17" t="s">
        <v>68</v>
      </c>
      <c r="DD7" s="17" t="s">
        <v>83</v>
      </c>
      <c r="DE7" s="24"/>
      <c r="DF7" s="17" t="s">
        <v>93</v>
      </c>
      <c r="DG7" s="24" t="s">
        <v>62</v>
      </c>
      <c r="DH7" s="24"/>
      <c r="DI7" s="17" t="s">
        <v>93</v>
      </c>
      <c r="DJ7" s="24" t="s">
        <v>87</v>
      </c>
      <c r="DK7" s="24"/>
      <c r="DL7" s="17" t="s">
        <v>93</v>
      </c>
      <c r="DM7" s="24" t="s">
        <v>64</v>
      </c>
      <c r="DN7" s="24" t="s">
        <v>97</v>
      </c>
      <c r="DO7" t="s">
        <v>98</v>
      </c>
      <c r="DP7" s="17" t="s">
        <v>93</v>
      </c>
      <c r="DQ7" s="23">
        <v>3474</v>
      </c>
      <c r="DR7" s="23"/>
      <c r="DS7" s="33" t="s">
        <v>99</v>
      </c>
      <c r="DU7" s="17" t="s">
        <v>100</v>
      </c>
      <c r="DV7" s="17">
        <v>232</v>
      </c>
      <c r="DX7" s="17" t="s">
        <v>101</v>
      </c>
      <c r="DY7" s="17">
        <v>164022</v>
      </c>
      <c r="EB7" s="17" t="s">
        <v>94</v>
      </c>
    </row>
    <row r="8" spans="1:132" ht="16.5" x14ac:dyDescent="0.25">
      <c r="A8" s="134" t="s">
        <v>1085</v>
      </c>
      <c r="B8" s="134" t="s">
        <v>1156</v>
      </c>
      <c r="C8" s="134" t="s">
        <v>1157</v>
      </c>
      <c r="D8" s="134" t="s">
        <v>1158</v>
      </c>
      <c r="E8" s="134">
        <v>12</v>
      </c>
      <c r="F8" s="134">
        <v>31</v>
      </c>
      <c r="G8" s="135">
        <v>44851</v>
      </c>
      <c r="H8" s="134" t="s">
        <v>87</v>
      </c>
      <c r="I8" s="134" t="s">
        <v>51</v>
      </c>
      <c r="J8" s="134" t="s">
        <v>828</v>
      </c>
      <c r="K8" s="134" t="s">
        <v>58</v>
      </c>
      <c r="L8" s="134" t="s">
        <v>127</v>
      </c>
      <c r="M8" s="134">
        <v>2469</v>
      </c>
      <c r="N8" s="134" t="s">
        <v>1137</v>
      </c>
      <c r="O8" s="134" t="s">
        <v>1138</v>
      </c>
      <c r="P8" s="134" t="s">
        <v>1139</v>
      </c>
      <c r="Q8" s="137" t="s">
        <v>1140</v>
      </c>
      <c r="R8" s="138"/>
      <c r="S8" s="136"/>
      <c r="T8" s="136" t="s">
        <v>1141</v>
      </c>
      <c r="U8" s="97"/>
      <c r="V8" s="20" t="str">
        <f t="shared" si="1"/>
        <v>24-7Intouch_GTM_GUA_Chat_Nest</v>
      </c>
      <c r="W8" s="20" t="str">
        <f t="shared" si="2"/>
        <v>247Intouch Agent</v>
      </c>
      <c r="X8" s="20" t="str">
        <f t="shared" si="3"/>
        <v>guawmtops@24-7intouch.com</v>
      </c>
      <c r="Y8" s="20" t="str">
        <f t="shared" si="4"/>
        <v>10670368:3:TRUE</v>
      </c>
      <c r="Z8" s="20">
        <f t="shared" si="5"/>
        <v>0</v>
      </c>
      <c r="AA8" s="20" t="str">
        <f t="shared" si="6"/>
        <v>Guatemala</v>
      </c>
      <c r="AB8" s="20" t="str">
        <f t="shared" si="7"/>
        <v>Guatemala</v>
      </c>
      <c r="AC8" s="20" t="str">
        <f t="shared" si="8"/>
        <v>Guatemala City</v>
      </c>
      <c r="AD8" s="20" t="str">
        <f t="shared" si="9"/>
        <v>SURVEY_US_GM_2</v>
      </c>
      <c r="AE8" s="20" t="str">
        <f t="shared" si="10"/>
        <v>@wmt45.com</v>
      </c>
      <c r="AF8" s="20">
        <f t="shared" si="11"/>
        <v>0</v>
      </c>
      <c r="AG8" s="20">
        <f t="shared" si="12"/>
        <v>169</v>
      </c>
      <c r="AH8" s="20">
        <f t="shared" si="13"/>
        <v>100978</v>
      </c>
      <c r="AI8" s="20">
        <f t="shared" si="14"/>
        <v>0</v>
      </c>
      <c r="AJ8" s="20" t="str">
        <f t="shared" si="15"/>
        <v>Team Lead</v>
      </c>
      <c r="AK8" s="20" t="str">
        <f t="shared" si="16"/>
        <v>GTM</v>
      </c>
      <c r="AL8" s="20" t="str">
        <f t="shared" si="17"/>
        <v>GUA</v>
      </c>
      <c r="AM8" s="20" t="str">
        <f t="shared" si="18"/>
        <v>m0b017c</v>
      </c>
      <c r="AN8" s="20" t="str">
        <f t="shared" si="19"/>
        <v>Digital</v>
      </c>
      <c r="AO8" s="20" t="str">
        <f t="shared" si="20"/>
        <v>WMCOM</v>
      </c>
      <c r="AP8" s="20" t="str">
        <f t="shared" si="21"/>
        <v>24-7Intouch</v>
      </c>
      <c r="AQ8" s="20" t="b">
        <f t="shared" si="22"/>
        <v>0</v>
      </c>
      <c r="AR8" s="20" t="b">
        <f t="shared" si="23"/>
        <v>1</v>
      </c>
      <c r="AS8" s="20" t="b">
        <f t="shared" si="24"/>
        <v>0</v>
      </c>
      <c r="AT8" s="20" t="b">
        <f t="shared" si="25"/>
        <v>0</v>
      </c>
      <c r="AU8" s="20" t="b">
        <f t="shared" si="26"/>
        <v>0</v>
      </c>
      <c r="AV8" s="20" t="str">
        <f t="shared" si="27"/>
        <v>Tier 1</v>
      </c>
      <c r="AW8" s="20" t="str">
        <f t="shared" si="28"/>
        <v>Sucely Aldana</v>
      </c>
      <c r="AY8" s="24" t="s">
        <v>504</v>
      </c>
      <c r="AZ8" s="17"/>
      <c r="BA8" s="24"/>
      <c r="BB8" s="17" t="s">
        <v>204</v>
      </c>
      <c r="BC8" s="24" t="s">
        <v>1094</v>
      </c>
      <c r="BD8" s="17" t="s">
        <v>87</v>
      </c>
      <c r="BE8" s="17" t="s">
        <v>828</v>
      </c>
      <c r="BF8" s="17" t="s">
        <v>51</v>
      </c>
      <c r="BG8" s="17" t="s">
        <v>596</v>
      </c>
      <c r="BH8" s="17" t="s">
        <v>147</v>
      </c>
      <c r="BI8" s="17" t="s">
        <v>829</v>
      </c>
      <c r="BJ8" s="94"/>
      <c r="BK8" s="18" t="s">
        <v>667</v>
      </c>
      <c r="BL8" s="18" t="s">
        <v>667</v>
      </c>
      <c r="BM8" s="18" t="s">
        <v>331</v>
      </c>
      <c r="BN8" s="18" t="s">
        <v>124</v>
      </c>
      <c r="BO8" s="17" t="s">
        <v>50</v>
      </c>
      <c r="BP8" s="17" t="s">
        <v>50</v>
      </c>
      <c r="BQ8" s="17" t="s">
        <v>51</v>
      </c>
      <c r="BS8" s="22" t="s">
        <v>52</v>
      </c>
      <c r="BT8" s="22"/>
      <c r="BU8" s="17" t="s">
        <v>70</v>
      </c>
      <c r="BW8" s="94"/>
      <c r="BX8" s="17">
        <v>124</v>
      </c>
      <c r="BY8" s="17">
        <v>100978</v>
      </c>
      <c r="CA8" s="94"/>
      <c r="CB8" s="17" t="s">
        <v>83</v>
      </c>
      <c r="CC8" s="17" t="s">
        <v>577</v>
      </c>
      <c r="CD8" s="17" t="s">
        <v>62</v>
      </c>
      <c r="CE8" s="17" t="s">
        <v>64</v>
      </c>
      <c r="CF8" s="17" t="s">
        <v>1132</v>
      </c>
      <c r="CG8" s="17" t="s">
        <v>828</v>
      </c>
      <c r="CH8" s="17" t="s">
        <v>566</v>
      </c>
      <c r="CI8" s="23">
        <v>5254</v>
      </c>
      <c r="CJ8" s="23" t="b">
        <v>0</v>
      </c>
      <c r="CK8" s="23" t="b">
        <v>0</v>
      </c>
      <c r="CL8" s="23" t="b">
        <v>0</v>
      </c>
      <c r="CM8" s="23" t="b">
        <v>1</v>
      </c>
      <c r="CN8" s="23" t="b">
        <v>0</v>
      </c>
      <c r="CO8" s="23" t="s">
        <v>61</v>
      </c>
      <c r="CP8" s="49"/>
      <c r="CQ8" s="17" t="s">
        <v>102</v>
      </c>
      <c r="CR8" s="17" t="s">
        <v>57</v>
      </c>
      <c r="CT8" s="17" t="s">
        <v>102</v>
      </c>
      <c r="CU8" s="17" t="s">
        <v>58</v>
      </c>
      <c r="CW8" s="10" t="s">
        <v>107</v>
      </c>
      <c r="CX8" s="10" t="s">
        <v>108</v>
      </c>
      <c r="CY8" s="10"/>
      <c r="CZ8" s="17" t="s">
        <v>102</v>
      </c>
      <c r="DA8" s="24" t="s">
        <v>73</v>
      </c>
      <c r="DB8" s="24"/>
      <c r="DC8" s="17" t="s">
        <v>102</v>
      </c>
      <c r="DD8" s="17" t="s">
        <v>58</v>
      </c>
      <c r="DE8" s="24"/>
      <c r="DF8" s="17" t="s">
        <v>105</v>
      </c>
      <c r="DG8" s="24" t="s">
        <v>109</v>
      </c>
      <c r="DH8" s="24"/>
      <c r="DI8" s="17" t="s">
        <v>105</v>
      </c>
      <c r="DJ8" s="24" t="s">
        <v>87</v>
      </c>
      <c r="DK8" s="24"/>
      <c r="DL8" s="17" t="s">
        <v>105</v>
      </c>
      <c r="DM8" s="24" t="s">
        <v>64</v>
      </c>
      <c r="DN8" s="24" t="s">
        <v>110</v>
      </c>
      <c r="DO8" s="32" t="s">
        <v>111</v>
      </c>
      <c r="DP8" s="17" t="s">
        <v>105</v>
      </c>
      <c r="DQ8" s="23">
        <v>3474</v>
      </c>
      <c r="DR8" s="23"/>
      <c r="DS8" s="33" t="s">
        <v>112</v>
      </c>
      <c r="DU8" s="17" t="s">
        <v>113</v>
      </c>
      <c r="DV8" s="17">
        <v>124</v>
      </c>
      <c r="DX8" s="17" t="s">
        <v>114</v>
      </c>
      <c r="DY8" s="17">
        <v>141962</v>
      </c>
      <c r="EB8" s="17" t="s">
        <v>106</v>
      </c>
    </row>
    <row r="9" spans="1:132" ht="16.5" x14ac:dyDescent="0.25">
      <c r="A9" s="134" t="s">
        <v>1085</v>
      </c>
      <c r="B9" s="134" t="s">
        <v>1159</v>
      </c>
      <c r="C9" s="134" t="s">
        <v>1160</v>
      </c>
      <c r="D9" s="134" t="s">
        <v>1147</v>
      </c>
      <c r="E9" s="134">
        <v>7</v>
      </c>
      <c r="F9" s="134">
        <v>1</v>
      </c>
      <c r="G9" s="135">
        <v>44851</v>
      </c>
      <c r="H9" s="134" t="s">
        <v>87</v>
      </c>
      <c r="I9" s="134" t="s">
        <v>51</v>
      </c>
      <c r="J9" s="134" t="s">
        <v>828</v>
      </c>
      <c r="K9" s="134" t="s">
        <v>58</v>
      </c>
      <c r="L9" s="134" t="s">
        <v>127</v>
      </c>
      <c r="M9" s="134">
        <v>2470</v>
      </c>
      <c r="N9" s="134" t="s">
        <v>1137</v>
      </c>
      <c r="O9" s="134" t="s">
        <v>1138</v>
      </c>
      <c r="P9" s="134" t="s">
        <v>1139</v>
      </c>
      <c r="Q9" s="137" t="s">
        <v>1140</v>
      </c>
      <c r="R9" s="138"/>
      <c r="S9" s="136"/>
      <c r="T9" s="136" t="s">
        <v>1141</v>
      </c>
      <c r="U9" s="97"/>
      <c r="V9" s="20" t="str">
        <f t="shared" si="1"/>
        <v>24-7Intouch_GTM_GUA_Chat_Nest</v>
      </c>
      <c r="W9" s="20" t="str">
        <f t="shared" si="2"/>
        <v>247Intouch Agent</v>
      </c>
      <c r="X9" s="20" t="str">
        <f t="shared" si="3"/>
        <v>guawmtops@24-7intouch.com</v>
      </c>
      <c r="Y9" s="20" t="str">
        <f t="shared" si="4"/>
        <v>10670368:3:TRUE</v>
      </c>
      <c r="Z9" s="20">
        <f t="shared" si="5"/>
        <v>0</v>
      </c>
      <c r="AA9" s="20" t="str">
        <f t="shared" si="6"/>
        <v>Guatemala</v>
      </c>
      <c r="AB9" s="20" t="str">
        <f t="shared" si="7"/>
        <v>Guatemala</v>
      </c>
      <c r="AC9" s="20" t="str">
        <f t="shared" si="8"/>
        <v>Guatemala City</v>
      </c>
      <c r="AD9" s="20" t="str">
        <f t="shared" si="9"/>
        <v>SURVEY_US_GM_2</v>
      </c>
      <c r="AE9" s="20" t="str">
        <f t="shared" si="10"/>
        <v>@wmt45.com</v>
      </c>
      <c r="AF9" s="20">
        <f t="shared" si="11"/>
        <v>0</v>
      </c>
      <c r="AG9" s="20">
        <f t="shared" si="12"/>
        <v>169</v>
      </c>
      <c r="AH9" s="20">
        <f t="shared" si="13"/>
        <v>100978</v>
      </c>
      <c r="AI9" s="20">
        <f t="shared" si="14"/>
        <v>0</v>
      </c>
      <c r="AJ9" s="20" t="str">
        <f t="shared" si="15"/>
        <v>Team Lead</v>
      </c>
      <c r="AK9" s="20" t="str">
        <f t="shared" si="16"/>
        <v>GTM</v>
      </c>
      <c r="AL9" s="20" t="str">
        <f t="shared" si="17"/>
        <v>GUA</v>
      </c>
      <c r="AM9" s="20" t="str">
        <f t="shared" si="18"/>
        <v>m0b017c</v>
      </c>
      <c r="AN9" s="20" t="str">
        <f t="shared" si="19"/>
        <v>Digital</v>
      </c>
      <c r="AO9" s="20" t="str">
        <f t="shared" si="20"/>
        <v>WMCOM</v>
      </c>
      <c r="AP9" s="20" t="str">
        <f t="shared" si="21"/>
        <v>24-7Intouch</v>
      </c>
      <c r="AQ9" s="20" t="b">
        <f t="shared" si="22"/>
        <v>0</v>
      </c>
      <c r="AR9" s="20" t="b">
        <f t="shared" si="23"/>
        <v>1</v>
      </c>
      <c r="AS9" s="20" t="b">
        <f t="shared" si="24"/>
        <v>0</v>
      </c>
      <c r="AT9" s="20" t="b">
        <f t="shared" si="25"/>
        <v>0</v>
      </c>
      <c r="AU9" s="20" t="b">
        <f t="shared" si="26"/>
        <v>0</v>
      </c>
      <c r="AV9" s="20" t="str">
        <f t="shared" si="27"/>
        <v>Tier 1</v>
      </c>
      <c r="AW9" s="20" t="str">
        <f t="shared" si="28"/>
        <v>Sucely Aldana</v>
      </c>
      <c r="AZ9" s="17"/>
      <c r="BA9" s="24"/>
      <c r="BB9" s="24" t="s">
        <v>712</v>
      </c>
      <c r="BC9" s="17" t="s">
        <v>51</v>
      </c>
      <c r="BD9" s="17" t="s">
        <v>87</v>
      </c>
      <c r="BE9" s="17" t="s">
        <v>828</v>
      </c>
      <c r="BF9" s="17" t="s">
        <v>51</v>
      </c>
      <c r="BG9" s="17" t="s">
        <v>596</v>
      </c>
      <c r="BH9" s="17" t="s">
        <v>92</v>
      </c>
      <c r="BI9" s="17" t="s">
        <v>830</v>
      </c>
      <c r="BK9" s="18" t="s">
        <v>677</v>
      </c>
      <c r="BL9" s="18" t="s">
        <v>677</v>
      </c>
      <c r="BM9" s="18" t="s">
        <v>488</v>
      </c>
      <c r="BN9" s="18" t="s">
        <v>124</v>
      </c>
      <c r="BO9" s="17" t="s">
        <v>50</v>
      </c>
      <c r="BP9" s="17" t="s">
        <v>50</v>
      </c>
      <c r="BQ9" s="17" t="s">
        <v>51</v>
      </c>
      <c r="BR9" s="17" t="s">
        <v>983</v>
      </c>
      <c r="BS9" s="22" t="s">
        <v>52</v>
      </c>
      <c r="BT9" s="22"/>
      <c r="BU9" s="17" t="s">
        <v>70</v>
      </c>
      <c r="BX9" s="17">
        <v>124</v>
      </c>
      <c r="BY9" s="17">
        <v>100978</v>
      </c>
      <c r="CB9" s="17" t="s">
        <v>83</v>
      </c>
      <c r="CC9" s="17" t="s">
        <v>577</v>
      </c>
      <c r="CD9" s="17" t="s">
        <v>62</v>
      </c>
      <c r="CE9" s="17" t="s">
        <v>64</v>
      </c>
      <c r="CF9" s="17" t="s">
        <v>1132</v>
      </c>
      <c r="CG9" s="17" t="s">
        <v>828</v>
      </c>
      <c r="CH9" s="17" t="s">
        <v>566</v>
      </c>
      <c r="CI9" s="23">
        <v>5254</v>
      </c>
      <c r="CJ9" s="23" t="b">
        <v>0</v>
      </c>
      <c r="CK9" s="23" t="b">
        <v>0</v>
      </c>
      <c r="CL9" s="23" t="b">
        <v>0</v>
      </c>
      <c r="CM9" s="23" t="b">
        <v>1</v>
      </c>
      <c r="CN9" s="23" t="b">
        <v>0</v>
      </c>
      <c r="CO9" s="23" t="s">
        <v>61</v>
      </c>
      <c r="CP9" s="49"/>
      <c r="CQ9" s="17" t="s">
        <v>115</v>
      </c>
      <c r="CR9" s="17" t="s">
        <v>57</v>
      </c>
      <c r="CT9" s="17" t="s">
        <v>115</v>
      </c>
      <c r="CU9" s="17" t="s">
        <v>83</v>
      </c>
      <c r="CW9" s="25" t="s">
        <v>118</v>
      </c>
      <c r="CX9" s="25" t="s">
        <v>119</v>
      </c>
      <c r="CY9" s="29"/>
      <c r="CZ9" s="17" t="s">
        <v>115</v>
      </c>
      <c r="DA9" s="24" t="s">
        <v>73</v>
      </c>
      <c r="DB9" s="24"/>
      <c r="DC9" s="17" t="s">
        <v>115</v>
      </c>
      <c r="DD9" s="17" t="s">
        <v>83</v>
      </c>
      <c r="DE9" s="24"/>
      <c r="DF9" s="17" t="s">
        <v>116</v>
      </c>
      <c r="DG9" s="24" t="s">
        <v>120</v>
      </c>
      <c r="DH9" s="24"/>
      <c r="DI9" s="17" t="s">
        <v>116</v>
      </c>
      <c r="DJ9" s="24" t="s">
        <v>87</v>
      </c>
      <c r="DK9" s="24"/>
      <c r="DL9" s="17" t="s">
        <v>116</v>
      </c>
      <c r="DM9" s="24" t="s">
        <v>64</v>
      </c>
      <c r="DN9" s="24"/>
      <c r="DP9" s="17" t="s">
        <v>116</v>
      </c>
      <c r="DQ9" s="23">
        <v>3474</v>
      </c>
      <c r="DR9" s="23"/>
      <c r="DS9" s="33" t="s">
        <v>121</v>
      </c>
      <c r="DU9" s="17" t="s">
        <v>122</v>
      </c>
      <c r="DV9" s="17">
        <v>573</v>
      </c>
      <c r="DX9" s="17" t="s">
        <v>123</v>
      </c>
      <c r="DY9" s="17">
        <v>106951</v>
      </c>
      <c r="EB9" s="17" t="s">
        <v>117</v>
      </c>
    </row>
    <row r="10" spans="1:132" ht="16.5" x14ac:dyDescent="0.25">
      <c r="A10" s="134" t="s">
        <v>1085</v>
      </c>
      <c r="B10" s="134" t="s">
        <v>1161</v>
      </c>
      <c r="C10" s="134" t="s">
        <v>1162</v>
      </c>
      <c r="D10" s="134" t="s">
        <v>1163</v>
      </c>
      <c r="E10" s="134">
        <v>7</v>
      </c>
      <c r="F10" s="134">
        <v>16</v>
      </c>
      <c r="G10" s="135">
        <v>44851</v>
      </c>
      <c r="H10" s="134" t="s">
        <v>87</v>
      </c>
      <c r="I10" s="134" t="s">
        <v>51</v>
      </c>
      <c r="J10" s="134" t="s">
        <v>828</v>
      </c>
      <c r="K10" s="134" t="s">
        <v>58</v>
      </c>
      <c r="L10" s="134" t="s">
        <v>127</v>
      </c>
      <c r="M10" s="134">
        <v>2471</v>
      </c>
      <c r="N10" s="134" t="s">
        <v>1137</v>
      </c>
      <c r="O10" s="134" t="s">
        <v>1138</v>
      </c>
      <c r="P10" s="134" t="s">
        <v>1139</v>
      </c>
      <c r="Q10" s="137" t="s">
        <v>1140</v>
      </c>
      <c r="R10" s="138"/>
      <c r="S10" s="136"/>
      <c r="T10" s="136" t="s">
        <v>1141</v>
      </c>
      <c r="U10" s="97"/>
      <c r="V10" s="20" t="str">
        <f t="shared" si="1"/>
        <v>24-7Intouch_GTM_GUA_Chat_Nest</v>
      </c>
      <c r="W10" s="20" t="str">
        <f t="shared" si="2"/>
        <v>247Intouch Agent</v>
      </c>
      <c r="X10" s="20" t="str">
        <f t="shared" si="3"/>
        <v>guawmtops@24-7intouch.com</v>
      </c>
      <c r="Y10" s="20" t="str">
        <f t="shared" si="4"/>
        <v>10670368:3:TRUE</v>
      </c>
      <c r="Z10" s="20">
        <f t="shared" si="5"/>
        <v>0</v>
      </c>
      <c r="AA10" s="20" t="str">
        <f t="shared" si="6"/>
        <v>Guatemala</v>
      </c>
      <c r="AB10" s="20" t="str">
        <f t="shared" si="7"/>
        <v>Guatemala</v>
      </c>
      <c r="AC10" s="20" t="str">
        <f t="shared" si="8"/>
        <v>Guatemala City</v>
      </c>
      <c r="AD10" s="20" t="str">
        <f t="shared" si="9"/>
        <v>SURVEY_US_GM_2</v>
      </c>
      <c r="AE10" s="20" t="str">
        <f t="shared" si="10"/>
        <v>@wmt45.com</v>
      </c>
      <c r="AF10" s="20">
        <f t="shared" si="11"/>
        <v>0</v>
      </c>
      <c r="AG10" s="20">
        <f t="shared" si="12"/>
        <v>169</v>
      </c>
      <c r="AH10" s="20">
        <f t="shared" si="13"/>
        <v>100978</v>
      </c>
      <c r="AI10" s="20">
        <f t="shared" si="14"/>
        <v>0</v>
      </c>
      <c r="AJ10" s="20" t="str">
        <f t="shared" si="15"/>
        <v>Team Lead</v>
      </c>
      <c r="AK10" s="20" t="str">
        <f t="shared" si="16"/>
        <v>GTM</v>
      </c>
      <c r="AL10" s="20" t="str">
        <f t="shared" si="17"/>
        <v>GUA</v>
      </c>
      <c r="AM10" s="20" t="str">
        <f t="shared" si="18"/>
        <v>m0b017c</v>
      </c>
      <c r="AN10" s="20" t="str">
        <f t="shared" si="19"/>
        <v>Digital</v>
      </c>
      <c r="AO10" s="20" t="str">
        <f t="shared" si="20"/>
        <v>WMCOM</v>
      </c>
      <c r="AP10" s="20" t="str">
        <f t="shared" si="21"/>
        <v>24-7Intouch</v>
      </c>
      <c r="AQ10" s="20" t="b">
        <f t="shared" si="22"/>
        <v>0</v>
      </c>
      <c r="AR10" s="20" t="b">
        <f t="shared" si="23"/>
        <v>1</v>
      </c>
      <c r="AS10" s="20" t="b">
        <f t="shared" si="24"/>
        <v>0</v>
      </c>
      <c r="AT10" s="20" t="b">
        <f t="shared" si="25"/>
        <v>0</v>
      </c>
      <c r="AU10" s="20" t="b">
        <f t="shared" si="26"/>
        <v>0</v>
      </c>
      <c r="AV10" s="20" t="str">
        <f t="shared" si="27"/>
        <v>Tier 1</v>
      </c>
      <c r="AW10" s="20" t="str">
        <f t="shared" si="28"/>
        <v>Sucely Aldana</v>
      </c>
      <c r="AZ10" s="17"/>
      <c r="BA10" s="24"/>
      <c r="BB10" s="24" t="s">
        <v>702</v>
      </c>
      <c r="BC10" s="24" t="s">
        <v>974</v>
      </c>
      <c r="BD10" s="17" t="s">
        <v>87</v>
      </c>
      <c r="BE10" s="17" t="s">
        <v>828</v>
      </c>
      <c r="BF10" s="17" t="s">
        <v>51</v>
      </c>
      <c r="BG10" s="17" t="s">
        <v>127</v>
      </c>
      <c r="BH10" s="17" t="s">
        <v>58</v>
      </c>
      <c r="BI10" s="17" t="s">
        <v>831</v>
      </c>
      <c r="BK10" s="80" t="s">
        <v>766</v>
      </c>
      <c r="BL10" s="80" t="s">
        <v>766</v>
      </c>
      <c r="BM10" s="18" t="s">
        <v>487</v>
      </c>
      <c r="BN10" s="18" t="s">
        <v>124</v>
      </c>
      <c r="BO10" s="17" t="s">
        <v>50</v>
      </c>
      <c r="BP10" s="17" t="s">
        <v>50</v>
      </c>
      <c r="BQ10" s="17" t="s">
        <v>51</v>
      </c>
      <c r="BR10" s="17" t="s">
        <v>984</v>
      </c>
      <c r="BS10" s="22" t="s">
        <v>52</v>
      </c>
      <c r="BT10" s="22"/>
      <c r="BU10" s="17" t="s">
        <v>70</v>
      </c>
      <c r="BX10" s="17">
        <v>169</v>
      </c>
      <c r="BY10" s="17">
        <v>100978</v>
      </c>
      <c r="CB10" s="17" t="s">
        <v>83</v>
      </c>
      <c r="CC10" s="17" t="s">
        <v>577</v>
      </c>
      <c r="CD10" s="17" t="s">
        <v>62</v>
      </c>
      <c r="CE10" s="17" t="s">
        <v>64</v>
      </c>
      <c r="CF10" s="17" t="s">
        <v>1132</v>
      </c>
      <c r="CG10" s="17" t="s">
        <v>828</v>
      </c>
      <c r="CH10" s="17" t="s">
        <v>566</v>
      </c>
      <c r="CI10" s="23">
        <v>5254</v>
      </c>
      <c r="CJ10" s="23" t="b">
        <v>0</v>
      </c>
      <c r="CK10" s="23" t="b">
        <v>1</v>
      </c>
      <c r="CL10" s="23" t="b">
        <v>0</v>
      </c>
      <c r="CM10" s="23" t="b">
        <v>0</v>
      </c>
      <c r="CN10" s="23" t="b">
        <v>0</v>
      </c>
      <c r="CO10" s="23" t="s">
        <v>61</v>
      </c>
      <c r="CP10" s="49"/>
      <c r="CQ10" s="24" t="s">
        <v>125</v>
      </c>
      <c r="CR10" s="17" t="s">
        <v>127</v>
      </c>
      <c r="CT10" s="24" t="s">
        <v>125</v>
      </c>
      <c r="CU10" s="17" t="s">
        <v>58</v>
      </c>
      <c r="CW10" s="10" t="s">
        <v>128</v>
      </c>
      <c r="CX10" s="10" t="s">
        <v>129</v>
      </c>
      <c r="CY10" s="29"/>
      <c r="CZ10" s="24" t="s">
        <v>125</v>
      </c>
      <c r="DA10" s="24" t="s">
        <v>61</v>
      </c>
      <c r="DB10" s="24"/>
      <c r="DC10" s="24" t="s">
        <v>125</v>
      </c>
      <c r="DD10" s="17" t="s">
        <v>58</v>
      </c>
      <c r="DE10" s="24"/>
      <c r="DF10" s="17" t="s">
        <v>126</v>
      </c>
      <c r="DG10" s="24" t="s">
        <v>74</v>
      </c>
      <c r="DH10" s="24"/>
      <c r="DI10" s="17" t="s">
        <v>126</v>
      </c>
      <c r="DJ10" s="24" t="s">
        <v>87</v>
      </c>
      <c r="DK10" s="24"/>
      <c r="DL10" s="17" t="s">
        <v>126</v>
      </c>
      <c r="DM10" s="24" t="s">
        <v>64</v>
      </c>
      <c r="DN10" s="24"/>
      <c r="DP10" s="17" t="s">
        <v>126</v>
      </c>
      <c r="DQ10" s="23">
        <v>3474</v>
      </c>
      <c r="DR10" s="23"/>
      <c r="DS10" s="33" t="s">
        <v>130</v>
      </c>
      <c r="DU10" s="17" t="s">
        <v>131</v>
      </c>
      <c r="DV10" s="17">
        <v>124</v>
      </c>
      <c r="DX10" s="17" t="s">
        <v>132</v>
      </c>
      <c r="DY10" s="17">
        <v>195930</v>
      </c>
    </row>
    <row r="11" spans="1:132" ht="16.5" x14ac:dyDescent="0.25">
      <c r="A11" s="134" t="s">
        <v>1085</v>
      </c>
      <c r="B11" s="134" t="s">
        <v>1164</v>
      </c>
      <c r="C11" s="134" t="s">
        <v>1165</v>
      </c>
      <c r="D11" s="134" t="s">
        <v>1166</v>
      </c>
      <c r="E11" s="134">
        <v>8</v>
      </c>
      <c r="F11" s="134">
        <v>9</v>
      </c>
      <c r="G11" s="135">
        <v>44851</v>
      </c>
      <c r="H11" s="134" t="s">
        <v>87</v>
      </c>
      <c r="I11" s="134" t="s">
        <v>51</v>
      </c>
      <c r="J11" s="134" t="s">
        <v>828</v>
      </c>
      <c r="K11" s="134" t="s">
        <v>58</v>
      </c>
      <c r="L11" s="134" t="s">
        <v>127</v>
      </c>
      <c r="M11" s="134">
        <v>2472</v>
      </c>
      <c r="N11" s="134" t="s">
        <v>1137</v>
      </c>
      <c r="O11" s="134" t="s">
        <v>1138</v>
      </c>
      <c r="P11" s="134" t="s">
        <v>1139</v>
      </c>
      <c r="Q11" s="137" t="s">
        <v>1140</v>
      </c>
      <c r="R11" s="138"/>
      <c r="S11" s="136"/>
      <c r="T11" s="136" t="s">
        <v>1141</v>
      </c>
      <c r="U11" s="97"/>
      <c r="V11" s="20" t="str">
        <f t="shared" si="1"/>
        <v>24-7Intouch_GTM_GUA_Chat_Nest</v>
      </c>
      <c r="W11" s="20" t="str">
        <f t="shared" si="2"/>
        <v>247Intouch Agent</v>
      </c>
      <c r="X11" s="20" t="str">
        <f t="shared" si="3"/>
        <v>guawmtops@24-7intouch.com</v>
      </c>
      <c r="Y11" s="20" t="str">
        <f t="shared" si="4"/>
        <v>10670368:3:TRUE</v>
      </c>
      <c r="Z11" s="20">
        <f t="shared" si="5"/>
        <v>0</v>
      </c>
      <c r="AA11" s="20" t="str">
        <f t="shared" si="6"/>
        <v>Guatemala</v>
      </c>
      <c r="AB11" s="20" t="str">
        <f t="shared" si="7"/>
        <v>Guatemala</v>
      </c>
      <c r="AC11" s="20" t="str">
        <f t="shared" si="8"/>
        <v>Guatemala City</v>
      </c>
      <c r="AD11" s="20" t="str">
        <f t="shared" si="9"/>
        <v>SURVEY_US_GM_2</v>
      </c>
      <c r="AE11" s="20" t="str">
        <f t="shared" si="10"/>
        <v>@wmt45.com</v>
      </c>
      <c r="AF11" s="20">
        <f t="shared" si="11"/>
        <v>0</v>
      </c>
      <c r="AG11" s="20">
        <f t="shared" si="12"/>
        <v>169</v>
      </c>
      <c r="AH11" s="20">
        <f t="shared" si="13"/>
        <v>100978</v>
      </c>
      <c r="AI11" s="20">
        <f t="shared" si="14"/>
        <v>0</v>
      </c>
      <c r="AJ11" s="20" t="str">
        <f t="shared" si="15"/>
        <v>Team Lead</v>
      </c>
      <c r="AK11" s="20" t="str">
        <f t="shared" si="16"/>
        <v>GTM</v>
      </c>
      <c r="AL11" s="20" t="str">
        <f t="shared" si="17"/>
        <v>GUA</v>
      </c>
      <c r="AM11" s="20" t="str">
        <f t="shared" si="18"/>
        <v>m0b017c</v>
      </c>
      <c r="AN11" s="20" t="str">
        <f t="shared" si="19"/>
        <v>Digital</v>
      </c>
      <c r="AO11" s="20" t="str">
        <f t="shared" si="20"/>
        <v>WMCOM</v>
      </c>
      <c r="AP11" s="20" t="str">
        <f t="shared" si="21"/>
        <v>24-7Intouch</v>
      </c>
      <c r="AQ11" s="20" t="b">
        <f t="shared" si="22"/>
        <v>0</v>
      </c>
      <c r="AR11" s="20" t="b">
        <f t="shared" si="23"/>
        <v>1</v>
      </c>
      <c r="AS11" s="20" t="b">
        <f t="shared" si="24"/>
        <v>0</v>
      </c>
      <c r="AT11" s="20" t="b">
        <f t="shared" si="25"/>
        <v>0</v>
      </c>
      <c r="AU11" s="20" t="b">
        <f t="shared" si="26"/>
        <v>0</v>
      </c>
      <c r="AV11" s="20" t="str">
        <f t="shared" si="27"/>
        <v>Tier 1</v>
      </c>
      <c r="AW11" s="20" t="str">
        <f t="shared" si="28"/>
        <v>Sucely Aldana</v>
      </c>
      <c r="AZ11" s="17"/>
      <c r="BB11" s="17" t="s">
        <v>266</v>
      </c>
      <c r="BC11" s="17" t="s">
        <v>790</v>
      </c>
      <c r="BD11" s="17" t="s">
        <v>87</v>
      </c>
      <c r="BE11" s="17" t="s">
        <v>828</v>
      </c>
      <c r="BF11" s="17" t="s">
        <v>51</v>
      </c>
      <c r="BG11" s="17" t="s">
        <v>595</v>
      </c>
      <c r="BH11" s="17" t="s">
        <v>58</v>
      </c>
      <c r="BI11" s="17" t="s">
        <v>832</v>
      </c>
      <c r="BK11" s="80" t="s">
        <v>765</v>
      </c>
      <c r="BL11" s="80" t="s">
        <v>765</v>
      </c>
      <c r="BM11" s="18" t="s">
        <v>487</v>
      </c>
      <c r="BN11" s="18" t="s">
        <v>124</v>
      </c>
      <c r="BO11" s="17" t="s">
        <v>50</v>
      </c>
      <c r="BP11" s="17" t="s">
        <v>50</v>
      </c>
      <c r="BQ11" s="17" t="s">
        <v>51</v>
      </c>
      <c r="BR11" s="17" t="s">
        <v>985</v>
      </c>
      <c r="BS11" s="22" t="s">
        <v>715</v>
      </c>
      <c r="BT11" s="22"/>
      <c r="BU11" s="17" t="s">
        <v>70</v>
      </c>
      <c r="BX11" s="17">
        <v>169</v>
      </c>
      <c r="BY11" s="17">
        <v>100978</v>
      </c>
      <c r="CB11" s="17" t="s">
        <v>83</v>
      </c>
      <c r="CC11" s="17" t="s">
        <v>577</v>
      </c>
      <c r="CD11" s="17" t="s">
        <v>62</v>
      </c>
      <c r="CE11" s="17" t="s">
        <v>64</v>
      </c>
      <c r="CF11" s="17" t="s">
        <v>1132</v>
      </c>
      <c r="CG11" s="17" t="s">
        <v>828</v>
      </c>
      <c r="CH11" s="17" t="s">
        <v>566</v>
      </c>
      <c r="CI11" s="23">
        <v>5254</v>
      </c>
      <c r="CJ11" s="23" t="b">
        <v>1</v>
      </c>
      <c r="CK11" s="23" t="b">
        <v>0</v>
      </c>
      <c r="CL11" s="23" t="b">
        <v>0</v>
      </c>
      <c r="CM11" s="23" t="b">
        <v>0</v>
      </c>
      <c r="CN11" s="23" t="b">
        <v>0</v>
      </c>
      <c r="CO11" s="23" t="s">
        <v>61</v>
      </c>
      <c r="CP11" s="49"/>
      <c r="CQ11" s="17" t="s">
        <v>133</v>
      </c>
      <c r="CR11" s="17" t="s">
        <v>57</v>
      </c>
      <c r="CT11" s="17" t="s">
        <v>133</v>
      </c>
      <c r="CU11" s="17" t="s">
        <v>58</v>
      </c>
      <c r="CW11" s="10" t="s">
        <v>135</v>
      </c>
      <c r="CX11" s="10" t="s">
        <v>136</v>
      </c>
      <c r="CY11" s="29"/>
      <c r="CZ11" s="17" t="s">
        <v>133</v>
      </c>
      <c r="DA11" s="24" t="s">
        <v>61</v>
      </c>
      <c r="DB11" s="24"/>
      <c r="DC11" s="17" t="s">
        <v>133</v>
      </c>
      <c r="DD11" s="17" t="s">
        <v>58</v>
      </c>
      <c r="DE11" s="24"/>
      <c r="DF11" s="17" t="s">
        <v>134</v>
      </c>
      <c r="DG11" s="24" t="s">
        <v>109</v>
      </c>
      <c r="DH11" s="24"/>
      <c r="DI11" s="17" t="s">
        <v>134</v>
      </c>
      <c r="DJ11" s="24" t="s">
        <v>137</v>
      </c>
      <c r="DK11" s="24"/>
      <c r="DL11" s="17" t="s">
        <v>134</v>
      </c>
      <c r="DM11" s="32" t="s">
        <v>111</v>
      </c>
      <c r="DN11" s="24"/>
      <c r="DP11" s="17" t="s">
        <v>134</v>
      </c>
      <c r="DQ11" s="23">
        <v>8586</v>
      </c>
      <c r="DR11" s="23"/>
      <c r="DS11" s="33" t="s">
        <v>138</v>
      </c>
      <c r="DU11" s="17" t="s">
        <v>139</v>
      </c>
      <c r="DV11" s="10">
        <v>592</v>
      </c>
      <c r="DX11" s="17" t="s">
        <v>140</v>
      </c>
      <c r="DY11" s="17">
        <v>164473</v>
      </c>
    </row>
    <row r="12" spans="1:132" ht="16.5" x14ac:dyDescent="0.25">
      <c r="A12" s="134" t="s">
        <v>1085</v>
      </c>
      <c r="B12" s="134" t="s">
        <v>1167</v>
      </c>
      <c r="C12" s="134" t="s">
        <v>1168</v>
      </c>
      <c r="D12" s="134" t="s">
        <v>1169</v>
      </c>
      <c r="E12" s="134">
        <v>12</v>
      </c>
      <c r="F12" s="134">
        <v>2</v>
      </c>
      <c r="G12" s="135">
        <v>44851</v>
      </c>
      <c r="H12" s="134" t="s">
        <v>87</v>
      </c>
      <c r="I12" s="134" t="s">
        <v>51</v>
      </c>
      <c r="J12" s="134" t="s">
        <v>828</v>
      </c>
      <c r="K12" s="134" t="s">
        <v>58</v>
      </c>
      <c r="L12" s="134" t="s">
        <v>127</v>
      </c>
      <c r="M12" s="134">
        <v>2473</v>
      </c>
      <c r="N12" s="134" t="s">
        <v>1137</v>
      </c>
      <c r="O12" s="134" t="s">
        <v>1138</v>
      </c>
      <c r="P12" s="134" t="s">
        <v>1139</v>
      </c>
      <c r="Q12" s="137" t="s">
        <v>1140</v>
      </c>
      <c r="R12" s="138"/>
      <c r="S12" s="136"/>
      <c r="T12" s="136" t="s">
        <v>1141</v>
      </c>
      <c r="U12" s="97"/>
      <c r="V12" s="20" t="str">
        <f t="shared" si="1"/>
        <v>24-7Intouch_GTM_GUA_Chat_Nest</v>
      </c>
      <c r="W12" s="20" t="str">
        <f t="shared" si="2"/>
        <v>247Intouch Agent</v>
      </c>
      <c r="X12" s="20" t="str">
        <f t="shared" si="3"/>
        <v>guawmtops@24-7intouch.com</v>
      </c>
      <c r="Y12" s="20" t="str">
        <f t="shared" si="4"/>
        <v>10670368:3:TRUE</v>
      </c>
      <c r="Z12" s="20">
        <f t="shared" si="5"/>
        <v>0</v>
      </c>
      <c r="AA12" s="20" t="str">
        <f t="shared" si="6"/>
        <v>Guatemala</v>
      </c>
      <c r="AB12" s="20" t="str">
        <f t="shared" si="7"/>
        <v>Guatemala</v>
      </c>
      <c r="AC12" s="20" t="str">
        <f t="shared" si="8"/>
        <v>Guatemala City</v>
      </c>
      <c r="AD12" s="20" t="str">
        <f t="shared" si="9"/>
        <v>SURVEY_US_GM_2</v>
      </c>
      <c r="AE12" s="20" t="str">
        <f t="shared" si="10"/>
        <v>@wmt45.com</v>
      </c>
      <c r="AF12" s="20">
        <f t="shared" si="11"/>
        <v>0</v>
      </c>
      <c r="AG12" s="20">
        <f t="shared" si="12"/>
        <v>169</v>
      </c>
      <c r="AH12" s="20">
        <f t="shared" si="13"/>
        <v>100978</v>
      </c>
      <c r="AI12" s="20">
        <f t="shared" si="14"/>
        <v>0</v>
      </c>
      <c r="AJ12" s="20" t="str">
        <f t="shared" si="15"/>
        <v>Team Lead</v>
      </c>
      <c r="AK12" s="20" t="str">
        <f t="shared" si="16"/>
        <v>GTM</v>
      </c>
      <c r="AL12" s="20" t="str">
        <f t="shared" si="17"/>
        <v>GUA</v>
      </c>
      <c r="AM12" s="20" t="str">
        <f t="shared" si="18"/>
        <v>m0b017c</v>
      </c>
      <c r="AN12" s="20" t="str">
        <f t="shared" si="19"/>
        <v>Digital</v>
      </c>
      <c r="AO12" s="20" t="str">
        <f t="shared" si="20"/>
        <v>WMCOM</v>
      </c>
      <c r="AP12" s="20" t="str">
        <f t="shared" si="21"/>
        <v>24-7Intouch</v>
      </c>
      <c r="AQ12" s="20" t="b">
        <f t="shared" si="22"/>
        <v>0</v>
      </c>
      <c r="AR12" s="20" t="b">
        <f t="shared" si="23"/>
        <v>1</v>
      </c>
      <c r="AS12" s="20" t="b">
        <f t="shared" si="24"/>
        <v>0</v>
      </c>
      <c r="AT12" s="20" t="b">
        <f t="shared" si="25"/>
        <v>0</v>
      </c>
      <c r="AU12" s="20" t="b">
        <f t="shared" si="26"/>
        <v>0</v>
      </c>
      <c r="AV12" s="20" t="str">
        <f t="shared" si="27"/>
        <v>Tier 1</v>
      </c>
      <c r="AW12" s="20" t="str">
        <f t="shared" si="28"/>
        <v>Sucely Aldana</v>
      </c>
      <c r="AZ12" s="17"/>
      <c r="BB12" s="17" t="s">
        <v>1068</v>
      </c>
      <c r="BC12" s="17" t="s">
        <v>281</v>
      </c>
      <c r="BD12" s="17" t="s">
        <v>87</v>
      </c>
      <c r="BE12" s="17" t="s">
        <v>828</v>
      </c>
      <c r="BF12" s="17" t="s">
        <v>790</v>
      </c>
      <c r="BG12" s="17" t="s">
        <v>596</v>
      </c>
      <c r="BH12" s="17" t="s">
        <v>147</v>
      </c>
      <c r="BI12" s="17" t="s">
        <v>833</v>
      </c>
      <c r="BJ12" s="94"/>
      <c r="BK12" s="18" t="s">
        <v>668</v>
      </c>
      <c r="BL12" s="18" t="s">
        <v>668</v>
      </c>
      <c r="BM12" s="18" t="s">
        <v>331</v>
      </c>
      <c r="BN12" s="18" t="s">
        <v>515</v>
      </c>
      <c r="BO12" s="17" t="s">
        <v>109</v>
      </c>
      <c r="BP12" s="17" t="s">
        <v>200</v>
      </c>
      <c r="BQ12" s="17" t="s">
        <v>201</v>
      </c>
      <c r="BS12" s="22" t="s">
        <v>52</v>
      </c>
      <c r="BT12" s="22"/>
      <c r="BU12" s="17" t="s">
        <v>70</v>
      </c>
      <c r="BW12" s="94"/>
      <c r="BX12" s="17">
        <v>124</v>
      </c>
      <c r="BY12" s="17">
        <v>197053</v>
      </c>
      <c r="CA12" s="94"/>
      <c r="CB12" s="17" t="s">
        <v>83</v>
      </c>
      <c r="CC12" s="17" t="s">
        <v>570</v>
      </c>
      <c r="CD12" s="17" t="s">
        <v>580</v>
      </c>
      <c r="CE12" s="17" t="s">
        <v>64</v>
      </c>
      <c r="CF12" s="17" t="s">
        <v>1132</v>
      </c>
      <c r="CG12" s="17" t="s">
        <v>828</v>
      </c>
      <c r="CH12" s="17" t="s">
        <v>566</v>
      </c>
      <c r="CI12" s="23">
        <v>5254</v>
      </c>
      <c r="CJ12" s="23" t="b">
        <v>0</v>
      </c>
      <c r="CK12" s="23" t="b">
        <v>0</v>
      </c>
      <c r="CL12" s="23" t="b">
        <v>0</v>
      </c>
      <c r="CM12" s="23" t="b">
        <v>1</v>
      </c>
      <c r="CN12" s="23" t="b">
        <v>0</v>
      </c>
      <c r="CO12" s="23" t="s">
        <v>61</v>
      </c>
      <c r="CP12" s="49"/>
      <c r="CQ12" s="17" t="s">
        <v>141</v>
      </c>
      <c r="CR12" s="17" t="s">
        <v>57</v>
      </c>
      <c r="CT12" s="17" t="s">
        <v>141</v>
      </c>
      <c r="CU12" s="17" t="s">
        <v>58</v>
      </c>
      <c r="CW12" s="10" t="s">
        <v>143</v>
      </c>
      <c r="CX12" s="10" t="s">
        <v>144</v>
      </c>
      <c r="CY12" s="29"/>
      <c r="CZ12" s="17" t="s">
        <v>141</v>
      </c>
      <c r="DA12" s="24" t="s">
        <v>73</v>
      </c>
      <c r="DB12" s="24"/>
      <c r="DC12" s="17" t="s">
        <v>141</v>
      </c>
      <c r="DD12" s="17" t="s">
        <v>58</v>
      </c>
      <c r="DE12" s="24"/>
      <c r="DF12" s="17" t="s">
        <v>142</v>
      </c>
      <c r="DG12" s="24" t="s">
        <v>62</v>
      </c>
      <c r="DH12" s="24"/>
      <c r="DI12" s="17" t="s">
        <v>142</v>
      </c>
      <c r="DJ12" s="24" t="s">
        <v>137</v>
      </c>
      <c r="DK12" s="24"/>
      <c r="DL12" s="17" t="s">
        <v>142</v>
      </c>
      <c r="DM12" s="32" t="s">
        <v>111</v>
      </c>
      <c r="DN12" s="24"/>
      <c r="DP12" s="17" t="s">
        <v>142</v>
      </c>
      <c r="DQ12" s="23">
        <v>8586</v>
      </c>
      <c r="DR12" s="23"/>
      <c r="DS12" s="33" t="s">
        <v>145</v>
      </c>
      <c r="DU12" s="17" t="s">
        <v>146</v>
      </c>
      <c r="DV12" s="17">
        <v>172</v>
      </c>
      <c r="DX12" s="17" t="s">
        <v>55</v>
      </c>
      <c r="DY12" s="17">
        <v>192719</v>
      </c>
    </row>
    <row r="13" spans="1:132" ht="16.5" x14ac:dyDescent="0.25">
      <c r="A13" s="134" t="s">
        <v>1085</v>
      </c>
      <c r="B13" s="134" t="s">
        <v>1170</v>
      </c>
      <c r="C13" s="134" t="s">
        <v>1171</v>
      </c>
      <c r="D13" s="134" t="s">
        <v>1172</v>
      </c>
      <c r="E13" s="134">
        <v>3</v>
      </c>
      <c r="F13" s="134">
        <v>23</v>
      </c>
      <c r="G13" s="135">
        <v>44851</v>
      </c>
      <c r="H13" s="134" t="s">
        <v>87</v>
      </c>
      <c r="I13" s="134" t="s">
        <v>51</v>
      </c>
      <c r="J13" s="134" t="s">
        <v>828</v>
      </c>
      <c r="K13" s="134" t="s">
        <v>58</v>
      </c>
      <c r="L13" s="134" t="s">
        <v>127</v>
      </c>
      <c r="M13" s="134">
        <v>2474</v>
      </c>
      <c r="N13" s="134" t="s">
        <v>1137</v>
      </c>
      <c r="O13" s="134" t="s">
        <v>1138</v>
      </c>
      <c r="P13" s="134" t="s">
        <v>1139</v>
      </c>
      <c r="Q13" s="137" t="s">
        <v>1140</v>
      </c>
      <c r="R13" s="138"/>
      <c r="S13" s="136"/>
      <c r="T13" s="136" t="s">
        <v>1141</v>
      </c>
      <c r="U13" s="97"/>
      <c r="V13" s="20" t="str">
        <f t="shared" si="1"/>
        <v>24-7Intouch_GTM_GUA_Chat_Nest</v>
      </c>
      <c r="W13" s="20" t="str">
        <f t="shared" si="2"/>
        <v>247Intouch Agent</v>
      </c>
      <c r="X13" s="20" t="str">
        <f t="shared" si="3"/>
        <v>guawmtops@24-7intouch.com</v>
      </c>
      <c r="Y13" s="20" t="str">
        <f t="shared" si="4"/>
        <v>10670368:3:TRUE</v>
      </c>
      <c r="Z13" s="20">
        <f t="shared" si="5"/>
        <v>0</v>
      </c>
      <c r="AA13" s="20" t="str">
        <f t="shared" si="6"/>
        <v>Guatemala</v>
      </c>
      <c r="AB13" s="20" t="str">
        <f t="shared" si="7"/>
        <v>Guatemala</v>
      </c>
      <c r="AC13" s="20" t="str">
        <f t="shared" si="8"/>
        <v>Guatemala City</v>
      </c>
      <c r="AD13" s="20" t="str">
        <f t="shared" si="9"/>
        <v>SURVEY_US_GM_2</v>
      </c>
      <c r="AE13" s="20" t="str">
        <f t="shared" si="10"/>
        <v>@wmt45.com</v>
      </c>
      <c r="AF13" s="20">
        <f t="shared" si="11"/>
        <v>0</v>
      </c>
      <c r="AG13" s="20">
        <f t="shared" si="12"/>
        <v>169</v>
      </c>
      <c r="AH13" s="20">
        <f t="shared" si="13"/>
        <v>100978</v>
      </c>
      <c r="AI13" s="20">
        <f t="shared" si="14"/>
        <v>0</v>
      </c>
      <c r="AJ13" s="20" t="str">
        <f t="shared" si="15"/>
        <v>Team Lead</v>
      </c>
      <c r="AK13" s="20" t="str">
        <f t="shared" si="16"/>
        <v>GTM</v>
      </c>
      <c r="AL13" s="20" t="str">
        <f t="shared" si="17"/>
        <v>GUA</v>
      </c>
      <c r="AM13" s="20" t="str">
        <f t="shared" si="18"/>
        <v>m0b017c</v>
      </c>
      <c r="AN13" s="20" t="str">
        <f t="shared" si="19"/>
        <v>Digital</v>
      </c>
      <c r="AO13" s="20" t="str">
        <f t="shared" si="20"/>
        <v>WMCOM</v>
      </c>
      <c r="AP13" s="20" t="str">
        <f t="shared" si="21"/>
        <v>24-7Intouch</v>
      </c>
      <c r="AQ13" s="20" t="b">
        <f t="shared" si="22"/>
        <v>0</v>
      </c>
      <c r="AR13" s="20" t="b">
        <f t="shared" si="23"/>
        <v>1</v>
      </c>
      <c r="AS13" s="20" t="b">
        <f t="shared" si="24"/>
        <v>0</v>
      </c>
      <c r="AT13" s="20" t="b">
        <f t="shared" si="25"/>
        <v>0</v>
      </c>
      <c r="AU13" s="20" t="b">
        <f t="shared" si="26"/>
        <v>0</v>
      </c>
      <c r="AV13" s="20" t="str">
        <f t="shared" si="27"/>
        <v>Tier 1</v>
      </c>
      <c r="AW13" s="20" t="str">
        <f t="shared" si="28"/>
        <v>Sucely Aldana</v>
      </c>
      <c r="AZ13" s="17"/>
      <c r="BA13" s="24"/>
      <c r="BB13" s="17" t="s">
        <v>233</v>
      </c>
      <c r="BC13" s="24" t="s">
        <v>952</v>
      </c>
      <c r="BD13" s="17" t="s">
        <v>87</v>
      </c>
      <c r="BE13" s="17" t="s">
        <v>828</v>
      </c>
      <c r="BF13" s="17" t="s">
        <v>790</v>
      </c>
      <c r="BG13" s="17" t="s">
        <v>596</v>
      </c>
      <c r="BH13" s="17" t="s">
        <v>92</v>
      </c>
      <c r="BI13" s="17" t="s">
        <v>834</v>
      </c>
      <c r="BK13" s="79" t="s">
        <v>679</v>
      </c>
      <c r="BL13" s="79" t="s">
        <v>679</v>
      </c>
      <c r="BM13" s="18" t="s">
        <v>488</v>
      </c>
      <c r="BN13" s="18" t="s">
        <v>515</v>
      </c>
      <c r="BO13" s="17" t="s">
        <v>109</v>
      </c>
      <c r="BP13" s="17" t="s">
        <v>200</v>
      </c>
      <c r="BQ13" s="17" t="s">
        <v>201</v>
      </c>
      <c r="BR13" s="17" t="s">
        <v>986</v>
      </c>
      <c r="BS13" s="22" t="s">
        <v>52</v>
      </c>
      <c r="BU13" s="17" t="s">
        <v>70</v>
      </c>
      <c r="BX13" s="17">
        <v>124</v>
      </c>
      <c r="BY13" s="17">
        <v>197053</v>
      </c>
      <c r="CB13" s="17" t="s">
        <v>83</v>
      </c>
      <c r="CC13" s="17" t="s">
        <v>570</v>
      </c>
      <c r="CD13" s="17" t="s">
        <v>580</v>
      </c>
      <c r="CE13" s="17" t="s">
        <v>64</v>
      </c>
      <c r="CF13" s="17" t="s">
        <v>1132</v>
      </c>
      <c r="CG13" s="17" t="s">
        <v>828</v>
      </c>
      <c r="CH13" s="17" t="s">
        <v>566</v>
      </c>
      <c r="CI13" s="23">
        <v>5254</v>
      </c>
      <c r="CJ13" s="23" t="b">
        <v>0</v>
      </c>
      <c r="CK13" s="23" t="b">
        <v>0</v>
      </c>
      <c r="CL13" s="23" t="b">
        <v>0</v>
      </c>
      <c r="CM13" s="23" t="b">
        <v>1</v>
      </c>
      <c r="CN13" s="23" t="b">
        <v>0</v>
      </c>
      <c r="CO13" s="23" t="s">
        <v>61</v>
      </c>
      <c r="CP13" s="49"/>
      <c r="CQ13" s="17" t="s">
        <v>148</v>
      </c>
      <c r="CR13" s="17" t="s">
        <v>150</v>
      </c>
      <c r="CT13" s="17" t="s">
        <v>148</v>
      </c>
      <c r="CU13" s="17" t="s">
        <v>58</v>
      </c>
      <c r="CW13" s="27" t="s">
        <v>151</v>
      </c>
      <c r="CX13" s="27" t="s">
        <v>152</v>
      </c>
      <c r="CY13" s="24"/>
      <c r="CZ13" s="17" t="s">
        <v>148</v>
      </c>
      <c r="DA13" s="24" t="s">
        <v>61</v>
      </c>
      <c r="DB13" s="24"/>
      <c r="DC13" s="17" t="s">
        <v>148</v>
      </c>
      <c r="DD13" s="17" t="s">
        <v>58</v>
      </c>
      <c r="DE13" s="24"/>
      <c r="DF13" s="17" t="s">
        <v>149</v>
      </c>
      <c r="DG13" s="24" t="s">
        <v>153</v>
      </c>
      <c r="DH13" s="24"/>
      <c r="DI13" s="17" t="s">
        <v>149</v>
      </c>
      <c r="DJ13" s="24" t="s">
        <v>137</v>
      </c>
      <c r="DK13" s="24"/>
      <c r="DL13" s="17" t="s">
        <v>149</v>
      </c>
      <c r="DM13" s="32" t="s">
        <v>111</v>
      </c>
      <c r="DN13" s="24"/>
      <c r="DP13" s="17" t="s">
        <v>149</v>
      </c>
      <c r="DQ13" s="23">
        <v>8586</v>
      </c>
      <c r="DR13" s="23"/>
      <c r="DS13" s="33" t="s">
        <v>154</v>
      </c>
      <c r="DU13" s="9" t="s">
        <v>155</v>
      </c>
      <c r="DV13" s="17">
        <v>593</v>
      </c>
      <c r="DX13" s="17" t="s">
        <v>156</v>
      </c>
      <c r="DY13" s="17">
        <v>195931</v>
      </c>
    </row>
    <row r="14" spans="1:132" ht="16.5" x14ac:dyDescent="0.25">
      <c r="A14" s="134" t="s">
        <v>1085</v>
      </c>
      <c r="B14" s="134" t="s">
        <v>1173</v>
      </c>
      <c r="C14" s="134" t="s">
        <v>1174</v>
      </c>
      <c r="D14" s="134" t="s">
        <v>1175</v>
      </c>
      <c r="E14" s="134">
        <v>9</v>
      </c>
      <c r="F14" s="134">
        <v>1</v>
      </c>
      <c r="G14" s="135">
        <v>44851</v>
      </c>
      <c r="H14" s="134" t="s">
        <v>87</v>
      </c>
      <c r="I14" s="134" t="s">
        <v>51</v>
      </c>
      <c r="J14" s="134" t="s">
        <v>828</v>
      </c>
      <c r="K14" s="134" t="s">
        <v>58</v>
      </c>
      <c r="L14" s="134" t="s">
        <v>127</v>
      </c>
      <c r="M14" s="134">
        <v>2475</v>
      </c>
      <c r="N14" s="134" t="s">
        <v>1137</v>
      </c>
      <c r="O14" s="134" t="s">
        <v>1138</v>
      </c>
      <c r="P14" s="134" t="s">
        <v>1139</v>
      </c>
      <c r="Q14" s="137" t="s">
        <v>1140</v>
      </c>
      <c r="R14" s="138"/>
      <c r="S14" s="136"/>
      <c r="T14" s="136" t="s">
        <v>1141</v>
      </c>
      <c r="U14" s="97"/>
      <c r="V14" s="20" t="str">
        <f t="shared" si="1"/>
        <v>24-7Intouch_GTM_GUA_Chat_Nest</v>
      </c>
      <c r="W14" s="20" t="str">
        <f t="shared" si="2"/>
        <v>247Intouch Agent</v>
      </c>
      <c r="X14" s="20" t="str">
        <f t="shared" si="3"/>
        <v>guawmtops@24-7intouch.com</v>
      </c>
      <c r="Y14" s="20" t="str">
        <f t="shared" si="4"/>
        <v>10670368:3:TRUE</v>
      </c>
      <c r="Z14" s="20">
        <f t="shared" si="5"/>
        <v>0</v>
      </c>
      <c r="AA14" s="20" t="str">
        <f t="shared" si="6"/>
        <v>Guatemala</v>
      </c>
      <c r="AB14" s="20" t="str">
        <f t="shared" si="7"/>
        <v>Guatemala</v>
      </c>
      <c r="AC14" s="20" t="str">
        <f t="shared" si="8"/>
        <v>Guatemala City</v>
      </c>
      <c r="AD14" s="20" t="str">
        <f t="shared" si="9"/>
        <v>SURVEY_US_GM_2</v>
      </c>
      <c r="AE14" s="20" t="str">
        <f t="shared" si="10"/>
        <v>@wmt45.com</v>
      </c>
      <c r="AF14" s="20">
        <f t="shared" si="11"/>
        <v>0</v>
      </c>
      <c r="AG14" s="20">
        <f t="shared" si="12"/>
        <v>169</v>
      </c>
      <c r="AH14" s="20">
        <f t="shared" si="13"/>
        <v>100978</v>
      </c>
      <c r="AI14" s="20">
        <f t="shared" si="14"/>
        <v>0</v>
      </c>
      <c r="AJ14" s="20" t="str">
        <f t="shared" si="15"/>
        <v>Team Lead</v>
      </c>
      <c r="AK14" s="20" t="str">
        <f t="shared" si="16"/>
        <v>GTM</v>
      </c>
      <c r="AL14" s="20" t="str">
        <f t="shared" si="17"/>
        <v>GUA</v>
      </c>
      <c r="AM14" s="20" t="str">
        <f t="shared" si="18"/>
        <v>m0b017c</v>
      </c>
      <c r="AN14" s="20" t="str">
        <f t="shared" si="19"/>
        <v>Digital</v>
      </c>
      <c r="AO14" s="20" t="str">
        <f t="shared" si="20"/>
        <v>WMCOM</v>
      </c>
      <c r="AP14" s="20" t="str">
        <f t="shared" si="21"/>
        <v>24-7Intouch</v>
      </c>
      <c r="AQ14" s="20" t="b">
        <f t="shared" si="22"/>
        <v>0</v>
      </c>
      <c r="AR14" s="20" t="b">
        <f t="shared" si="23"/>
        <v>1</v>
      </c>
      <c r="AS14" s="20" t="b">
        <f t="shared" si="24"/>
        <v>0</v>
      </c>
      <c r="AT14" s="20" t="b">
        <f t="shared" si="25"/>
        <v>0</v>
      </c>
      <c r="AU14" s="20" t="b">
        <f t="shared" si="26"/>
        <v>0</v>
      </c>
      <c r="AV14" s="20" t="str">
        <f t="shared" si="27"/>
        <v>Tier 1</v>
      </c>
      <c r="AW14" s="20" t="str">
        <f t="shared" si="28"/>
        <v>Sucely Aldana</v>
      </c>
      <c r="AZ14" s="17"/>
      <c r="BB14" s="17" t="s">
        <v>268</v>
      </c>
      <c r="BC14" s="24" t="s">
        <v>944</v>
      </c>
      <c r="BD14" s="17" t="s">
        <v>87</v>
      </c>
      <c r="BE14" s="17" t="s">
        <v>828</v>
      </c>
      <c r="BF14" s="17" t="s">
        <v>790</v>
      </c>
      <c r="BG14" s="17" t="s">
        <v>127</v>
      </c>
      <c r="BH14" s="17" t="s">
        <v>58</v>
      </c>
      <c r="BI14" s="17" t="s">
        <v>835</v>
      </c>
      <c r="BK14" s="80" t="s">
        <v>767</v>
      </c>
      <c r="BL14" s="80" t="s">
        <v>767</v>
      </c>
      <c r="BM14" s="18" t="s">
        <v>487</v>
      </c>
      <c r="BN14" s="18" t="s">
        <v>515</v>
      </c>
      <c r="BO14" s="17" t="s">
        <v>109</v>
      </c>
      <c r="BP14" s="17" t="s">
        <v>200</v>
      </c>
      <c r="BQ14" s="17" t="s">
        <v>201</v>
      </c>
      <c r="BR14" s="17" t="s">
        <v>986</v>
      </c>
      <c r="BS14" s="22" t="s">
        <v>52</v>
      </c>
      <c r="BU14" s="17" t="s">
        <v>70</v>
      </c>
      <c r="BX14" s="17">
        <v>742</v>
      </c>
      <c r="BY14" s="17">
        <v>197053</v>
      </c>
      <c r="CB14" s="17" t="s">
        <v>58</v>
      </c>
      <c r="CC14" s="17" t="s">
        <v>570</v>
      </c>
      <c r="CD14" s="17" t="s">
        <v>580</v>
      </c>
      <c r="CE14" s="17" t="s">
        <v>64</v>
      </c>
      <c r="CF14" s="17" t="s">
        <v>1132</v>
      </c>
      <c r="CG14" s="17" t="s">
        <v>828</v>
      </c>
      <c r="CH14" s="17" t="s">
        <v>566</v>
      </c>
      <c r="CI14" s="23">
        <v>5254</v>
      </c>
      <c r="CJ14" s="23" t="b">
        <v>0</v>
      </c>
      <c r="CK14" s="23" t="b">
        <v>1</v>
      </c>
      <c r="CL14" s="23" t="b">
        <v>0</v>
      </c>
      <c r="CM14" s="23" t="b">
        <v>0</v>
      </c>
      <c r="CN14" s="23" t="b">
        <v>0</v>
      </c>
      <c r="CO14" s="23" t="s">
        <v>61</v>
      </c>
      <c r="CP14" s="49"/>
      <c r="CQ14" s="24" t="s">
        <v>157</v>
      </c>
      <c r="CR14" s="17" t="s">
        <v>57</v>
      </c>
      <c r="CT14" s="24" t="s">
        <v>157</v>
      </c>
      <c r="CU14" s="17" t="s">
        <v>83</v>
      </c>
      <c r="CW14" s="17" t="s">
        <v>53</v>
      </c>
      <c r="CX14" s="10" t="s">
        <v>144</v>
      </c>
      <c r="CY14" s="10"/>
      <c r="CZ14" s="24" t="s">
        <v>157</v>
      </c>
      <c r="DA14" s="24" t="s">
        <v>61</v>
      </c>
      <c r="DB14" s="24"/>
      <c r="DC14" s="24" t="s">
        <v>157</v>
      </c>
      <c r="DD14" s="17" t="s">
        <v>83</v>
      </c>
      <c r="DE14" s="24"/>
      <c r="DF14" s="17" t="s">
        <v>158</v>
      </c>
      <c r="DG14" s="24" t="s">
        <v>74</v>
      </c>
      <c r="DH14" s="24"/>
      <c r="DI14" s="17" t="s">
        <v>158</v>
      </c>
      <c r="DJ14" s="24" t="s">
        <v>137</v>
      </c>
      <c r="DK14" s="24"/>
      <c r="DL14" s="17" t="s">
        <v>158</v>
      </c>
      <c r="DM14" s="32" t="s">
        <v>111</v>
      </c>
      <c r="DN14" s="24"/>
      <c r="DP14" s="17" t="s">
        <v>158</v>
      </c>
      <c r="DQ14" s="23">
        <v>8586</v>
      </c>
      <c r="DR14" s="23"/>
      <c r="DS14" s="33" t="s">
        <v>159</v>
      </c>
      <c r="DU14" s="9" t="s">
        <v>160</v>
      </c>
      <c r="DV14" s="17">
        <v>172</v>
      </c>
      <c r="DX14" s="17" t="s">
        <v>161</v>
      </c>
      <c r="DY14" s="10">
        <v>156208</v>
      </c>
    </row>
    <row r="15" spans="1:132" ht="16.5" x14ac:dyDescent="0.25">
      <c r="A15" s="134" t="s">
        <v>1085</v>
      </c>
      <c r="B15" s="134" t="s">
        <v>1176</v>
      </c>
      <c r="C15" s="134" t="s">
        <v>1177</v>
      </c>
      <c r="D15" s="134" t="s">
        <v>1178</v>
      </c>
      <c r="E15" s="134">
        <v>6</v>
      </c>
      <c r="F15" s="134">
        <v>27</v>
      </c>
      <c r="G15" s="135">
        <v>44851</v>
      </c>
      <c r="H15" s="134" t="s">
        <v>87</v>
      </c>
      <c r="I15" s="134" t="s">
        <v>51</v>
      </c>
      <c r="J15" s="134" t="s">
        <v>828</v>
      </c>
      <c r="K15" s="134" t="s">
        <v>58</v>
      </c>
      <c r="L15" s="134" t="s">
        <v>127</v>
      </c>
      <c r="M15" s="134">
        <v>2476</v>
      </c>
      <c r="N15" s="134" t="s">
        <v>1137</v>
      </c>
      <c r="O15" s="134" t="s">
        <v>1138</v>
      </c>
      <c r="P15" s="134" t="s">
        <v>1139</v>
      </c>
      <c r="Q15" s="137" t="s">
        <v>1140</v>
      </c>
      <c r="R15" s="138"/>
      <c r="S15" s="136"/>
      <c r="T15" s="136" t="s">
        <v>1141</v>
      </c>
      <c r="U15" s="97"/>
      <c r="V15" s="20" t="str">
        <f t="shared" si="1"/>
        <v>24-7Intouch_GTM_GUA_Chat_Nest</v>
      </c>
      <c r="W15" s="20" t="str">
        <f t="shared" si="2"/>
        <v>247Intouch Agent</v>
      </c>
      <c r="X15" s="20" t="str">
        <f t="shared" si="3"/>
        <v>guawmtops@24-7intouch.com</v>
      </c>
      <c r="Y15" s="20" t="str">
        <f t="shared" si="4"/>
        <v>10670368:3:TRUE</v>
      </c>
      <c r="Z15" s="20">
        <f t="shared" si="5"/>
        <v>0</v>
      </c>
      <c r="AA15" s="20" t="str">
        <f t="shared" si="6"/>
        <v>Guatemala</v>
      </c>
      <c r="AB15" s="20" t="str">
        <f t="shared" si="7"/>
        <v>Guatemala</v>
      </c>
      <c r="AC15" s="20" t="str">
        <f t="shared" si="8"/>
        <v>Guatemala City</v>
      </c>
      <c r="AD15" s="20" t="str">
        <f t="shared" si="9"/>
        <v>SURVEY_US_GM_2</v>
      </c>
      <c r="AE15" s="20" t="str">
        <f t="shared" si="10"/>
        <v>@wmt45.com</v>
      </c>
      <c r="AF15" s="20">
        <f t="shared" si="11"/>
        <v>0</v>
      </c>
      <c r="AG15" s="20">
        <f t="shared" si="12"/>
        <v>169</v>
      </c>
      <c r="AH15" s="20">
        <f t="shared" si="13"/>
        <v>100978</v>
      </c>
      <c r="AI15" s="20">
        <f t="shared" si="14"/>
        <v>0</v>
      </c>
      <c r="AJ15" s="20" t="str">
        <f t="shared" si="15"/>
        <v>Team Lead</v>
      </c>
      <c r="AK15" s="20" t="str">
        <f t="shared" si="16"/>
        <v>GTM</v>
      </c>
      <c r="AL15" s="20" t="str">
        <f t="shared" si="17"/>
        <v>GUA</v>
      </c>
      <c r="AM15" s="20" t="str">
        <f t="shared" si="18"/>
        <v>m0b017c</v>
      </c>
      <c r="AN15" s="20" t="str">
        <f t="shared" si="19"/>
        <v>Digital</v>
      </c>
      <c r="AO15" s="20" t="str">
        <f t="shared" si="20"/>
        <v>WMCOM</v>
      </c>
      <c r="AP15" s="20" t="str">
        <f t="shared" si="21"/>
        <v>24-7Intouch</v>
      </c>
      <c r="AQ15" s="20" t="b">
        <f t="shared" si="22"/>
        <v>0</v>
      </c>
      <c r="AR15" s="20" t="b">
        <f t="shared" si="23"/>
        <v>1</v>
      </c>
      <c r="AS15" s="20" t="b">
        <f t="shared" si="24"/>
        <v>0</v>
      </c>
      <c r="AT15" s="20" t="b">
        <f t="shared" si="25"/>
        <v>0</v>
      </c>
      <c r="AU15" s="20" t="b">
        <f t="shared" si="26"/>
        <v>0</v>
      </c>
      <c r="AV15" s="20" t="str">
        <f t="shared" si="27"/>
        <v>Tier 1</v>
      </c>
      <c r="AW15" s="20" t="str">
        <f t="shared" si="28"/>
        <v>Sucely Aldana</v>
      </c>
      <c r="AZ15" s="17"/>
      <c r="BB15" t="s">
        <v>727</v>
      </c>
      <c r="BC15" s="24" t="s">
        <v>973</v>
      </c>
      <c r="BD15" s="17" t="s">
        <v>87</v>
      </c>
      <c r="BE15" s="17" t="s">
        <v>828</v>
      </c>
      <c r="BF15" s="17" t="s">
        <v>790</v>
      </c>
      <c r="BG15" s="17" t="s">
        <v>150</v>
      </c>
      <c r="BH15" s="17" t="s">
        <v>58</v>
      </c>
      <c r="BI15" s="17" t="s">
        <v>836</v>
      </c>
      <c r="BK15" s="18" t="s">
        <v>678</v>
      </c>
      <c r="BL15" s="18" t="s">
        <v>678</v>
      </c>
      <c r="BM15" s="18" t="s">
        <v>487</v>
      </c>
      <c r="BN15" s="18" t="s">
        <v>515</v>
      </c>
      <c r="BO15" s="17" t="s">
        <v>109</v>
      </c>
      <c r="BP15" s="17" t="s">
        <v>200</v>
      </c>
      <c r="BQ15" s="17" t="s">
        <v>201</v>
      </c>
      <c r="BR15" s="17" t="s">
        <v>986</v>
      </c>
      <c r="BS15" s="22" t="s">
        <v>52</v>
      </c>
      <c r="BU15" s="17" t="s">
        <v>70</v>
      </c>
      <c r="BX15" s="17">
        <v>742</v>
      </c>
      <c r="BY15" s="17">
        <v>197053</v>
      </c>
      <c r="CB15" s="17" t="s">
        <v>58</v>
      </c>
      <c r="CC15" s="17" t="s">
        <v>570</v>
      </c>
      <c r="CD15" s="17" t="s">
        <v>580</v>
      </c>
      <c r="CE15" s="17" t="s">
        <v>64</v>
      </c>
      <c r="CF15" s="17" t="s">
        <v>1132</v>
      </c>
      <c r="CG15" s="17" t="s">
        <v>828</v>
      </c>
      <c r="CH15" s="17" t="s">
        <v>566</v>
      </c>
      <c r="CI15" s="23">
        <v>5254</v>
      </c>
      <c r="CJ15" s="23" t="b">
        <v>0</v>
      </c>
      <c r="CK15" s="23" t="b">
        <v>0</v>
      </c>
      <c r="CL15" s="23" t="b">
        <v>1</v>
      </c>
      <c r="CM15" s="23" t="b">
        <v>0</v>
      </c>
      <c r="CN15" s="23" t="b">
        <v>0</v>
      </c>
      <c r="CO15" s="23" t="s">
        <v>61</v>
      </c>
      <c r="CP15" s="49"/>
      <c r="CQ15" s="24" t="s">
        <v>162</v>
      </c>
      <c r="CR15" s="17" t="s">
        <v>127</v>
      </c>
      <c r="CT15" s="24" t="s">
        <v>162</v>
      </c>
      <c r="CU15" s="17" t="s">
        <v>83</v>
      </c>
      <c r="CW15" s="17" t="s">
        <v>66</v>
      </c>
      <c r="CX15" s="10" t="s">
        <v>144</v>
      </c>
      <c r="CY15" s="10"/>
      <c r="CZ15" s="24" t="s">
        <v>162</v>
      </c>
      <c r="DA15" s="24" t="s">
        <v>61</v>
      </c>
      <c r="DB15" s="24"/>
      <c r="DC15" s="24" t="s">
        <v>162</v>
      </c>
      <c r="DD15" s="17" t="s">
        <v>83</v>
      </c>
      <c r="DE15" s="24"/>
      <c r="DF15" s="17" t="s">
        <v>163</v>
      </c>
      <c r="DG15" s="24" t="s">
        <v>120</v>
      </c>
      <c r="DH15" s="24"/>
      <c r="DI15" s="17" t="s">
        <v>163</v>
      </c>
      <c r="DJ15" s="24" t="s">
        <v>137</v>
      </c>
      <c r="DK15" s="24"/>
      <c r="DL15" s="17" t="s">
        <v>163</v>
      </c>
      <c r="DM15" s="32" t="s">
        <v>111</v>
      </c>
      <c r="DN15" s="24"/>
      <c r="DP15" s="17" t="s">
        <v>163</v>
      </c>
      <c r="DQ15" s="23">
        <v>8586</v>
      </c>
      <c r="DR15" s="23"/>
      <c r="DS15" s="33" t="s">
        <v>164</v>
      </c>
      <c r="DU15" s="17" t="s">
        <v>165</v>
      </c>
      <c r="DV15" s="17">
        <v>124</v>
      </c>
      <c r="DX15" s="9" t="s">
        <v>166</v>
      </c>
      <c r="DY15" s="10">
        <v>156209</v>
      </c>
    </row>
    <row r="16" spans="1:132" ht="16.5" x14ac:dyDescent="0.25">
      <c r="A16" s="134" t="s">
        <v>1085</v>
      </c>
      <c r="B16" s="134" t="s">
        <v>1179</v>
      </c>
      <c r="C16" s="134" t="s">
        <v>1180</v>
      </c>
      <c r="D16" s="134" t="s">
        <v>1181</v>
      </c>
      <c r="E16" s="134">
        <v>1</v>
      </c>
      <c r="F16" s="134">
        <v>3</v>
      </c>
      <c r="G16" s="135">
        <v>44851</v>
      </c>
      <c r="H16" s="134" t="s">
        <v>87</v>
      </c>
      <c r="I16" s="134" t="s">
        <v>51</v>
      </c>
      <c r="J16" s="134" t="s">
        <v>828</v>
      </c>
      <c r="K16" s="134" t="s">
        <v>58</v>
      </c>
      <c r="L16" s="134" t="s">
        <v>127</v>
      </c>
      <c r="M16" s="134">
        <v>2477</v>
      </c>
      <c r="N16" s="134" t="s">
        <v>1137</v>
      </c>
      <c r="O16" s="134" t="s">
        <v>1138</v>
      </c>
      <c r="P16" s="134" t="s">
        <v>1139</v>
      </c>
      <c r="Q16" s="137" t="s">
        <v>1140</v>
      </c>
      <c r="R16" s="138"/>
      <c r="S16" s="136"/>
      <c r="T16" s="136" t="s">
        <v>1141</v>
      </c>
      <c r="U16" s="97"/>
      <c r="V16" s="20" t="str">
        <f t="shared" si="1"/>
        <v>24-7Intouch_GTM_GUA_Chat_Nest</v>
      </c>
      <c r="W16" s="20" t="str">
        <f t="shared" si="2"/>
        <v>247Intouch Agent</v>
      </c>
      <c r="X16" s="20" t="str">
        <f t="shared" si="3"/>
        <v>guawmtops@24-7intouch.com</v>
      </c>
      <c r="Y16" s="20" t="str">
        <f t="shared" si="4"/>
        <v>10670368:3:TRUE</v>
      </c>
      <c r="Z16" s="20">
        <f t="shared" si="5"/>
        <v>0</v>
      </c>
      <c r="AA16" s="20" t="str">
        <f t="shared" si="6"/>
        <v>Guatemala</v>
      </c>
      <c r="AB16" s="20" t="str">
        <f t="shared" si="7"/>
        <v>Guatemala</v>
      </c>
      <c r="AC16" s="20" t="str">
        <f t="shared" si="8"/>
        <v>Guatemala City</v>
      </c>
      <c r="AD16" s="20" t="str">
        <f t="shared" si="9"/>
        <v>SURVEY_US_GM_2</v>
      </c>
      <c r="AE16" s="20" t="str">
        <f t="shared" si="10"/>
        <v>@wmt45.com</v>
      </c>
      <c r="AF16" s="20">
        <f t="shared" si="11"/>
        <v>0</v>
      </c>
      <c r="AG16" s="20">
        <f t="shared" si="12"/>
        <v>169</v>
      </c>
      <c r="AH16" s="20">
        <f t="shared" si="13"/>
        <v>100978</v>
      </c>
      <c r="AI16" s="20">
        <f t="shared" si="14"/>
        <v>0</v>
      </c>
      <c r="AJ16" s="20" t="str">
        <f t="shared" si="15"/>
        <v>Team Lead</v>
      </c>
      <c r="AK16" s="20" t="str">
        <f t="shared" si="16"/>
        <v>GTM</v>
      </c>
      <c r="AL16" s="20" t="str">
        <f t="shared" si="17"/>
        <v>GUA</v>
      </c>
      <c r="AM16" s="20" t="str">
        <f t="shared" si="18"/>
        <v>m0b017c</v>
      </c>
      <c r="AN16" s="20" t="str">
        <f t="shared" si="19"/>
        <v>Digital</v>
      </c>
      <c r="AO16" s="20" t="str">
        <f t="shared" si="20"/>
        <v>WMCOM</v>
      </c>
      <c r="AP16" s="20" t="str">
        <f t="shared" si="21"/>
        <v>24-7Intouch</v>
      </c>
      <c r="AQ16" s="20" t="b">
        <f t="shared" si="22"/>
        <v>0</v>
      </c>
      <c r="AR16" s="20" t="b">
        <f t="shared" si="23"/>
        <v>1</v>
      </c>
      <c r="AS16" s="20" t="b">
        <f t="shared" si="24"/>
        <v>0</v>
      </c>
      <c r="AT16" s="20" t="b">
        <f t="shared" si="25"/>
        <v>0</v>
      </c>
      <c r="AU16" s="20" t="b">
        <f t="shared" si="26"/>
        <v>0</v>
      </c>
      <c r="AV16" s="20" t="str">
        <f t="shared" si="27"/>
        <v>Tier 1</v>
      </c>
      <c r="AW16" s="20" t="str">
        <f t="shared" si="28"/>
        <v>Sucely Aldana</v>
      </c>
      <c r="AZ16" s="17"/>
      <c r="BA16" s="24"/>
      <c r="BB16" s="17" t="s">
        <v>250</v>
      </c>
      <c r="BC16" s="17" t="s">
        <v>261</v>
      </c>
      <c r="BD16" s="17" t="s">
        <v>87</v>
      </c>
      <c r="BE16" s="17" t="s">
        <v>828</v>
      </c>
      <c r="BF16" s="17" t="s">
        <v>790</v>
      </c>
      <c r="BG16" s="17" t="s">
        <v>595</v>
      </c>
      <c r="BH16" s="17" t="s">
        <v>58</v>
      </c>
      <c r="BI16" s="17" t="s">
        <v>837</v>
      </c>
      <c r="BK16" s="99" t="s">
        <v>678</v>
      </c>
      <c r="BL16" s="99" t="s">
        <v>678</v>
      </c>
      <c r="BM16" s="18" t="s">
        <v>487</v>
      </c>
      <c r="BN16" s="18" t="s">
        <v>515</v>
      </c>
      <c r="BO16" s="17" t="s">
        <v>109</v>
      </c>
      <c r="BP16" s="17" t="s">
        <v>200</v>
      </c>
      <c r="BQ16" s="17" t="s">
        <v>201</v>
      </c>
      <c r="BR16" s="17" t="s">
        <v>987</v>
      </c>
      <c r="BS16" s="22" t="s">
        <v>715</v>
      </c>
      <c r="BU16" s="17" t="s">
        <v>70</v>
      </c>
      <c r="BX16" s="17">
        <v>742</v>
      </c>
      <c r="BY16" s="17">
        <v>197053</v>
      </c>
      <c r="CB16" s="17" t="s">
        <v>58</v>
      </c>
      <c r="CC16" s="17" t="s">
        <v>570</v>
      </c>
      <c r="CD16" s="17" t="s">
        <v>580</v>
      </c>
      <c r="CE16" s="17" t="s">
        <v>64</v>
      </c>
      <c r="CF16" s="17" t="s">
        <v>1132</v>
      </c>
      <c r="CG16" s="17" t="s">
        <v>828</v>
      </c>
      <c r="CH16" s="17" t="s">
        <v>566</v>
      </c>
      <c r="CI16" s="23">
        <v>5254</v>
      </c>
      <c r="CJ16" s="23" t="b">
        <v>1</v>
      </c>
      <c r="CK16" s="23" t="b">
        <v>0</v>
      </c>
      <c r="CL16" s="23" t="b">
        <v>0</v>
      </c>
      <c r="CM16" s="23" t="b">
        <v>0</v>
      </c>
      <c r="CN16" s="23" t="b">
        <v>0</v>
      </c>
      <c r="CO16" s="23" t="s">
        <v>61</v>
      </c>
      <c r="CP16" s="49"/>
      <c r="CQ16" s="24" t="s">
        <v>167</v>
      </c>
      <c r="CR16" s="17" t="s">
        <v>57</v>
      </c>
      <c r="CT16" s="24" t="s">
        <v>167</v>
      </c>
      <c r="CU16" s="17" t="s">
        <v>83</v>
      </c>
      <c r="CW16" s="17" t="s">
        <v>80</v>
      </c>
      <c r="CX16" s="10" t="s">
        <v>144</v>
      </c>
      <c r="CY16" s="10"/>
      <c r="CZ16" s="24" t="s">
        <v>167</v>
      </c>
      <c r="DA16" s="24" t="s">
        <v>73</v>
      </c>
      <c r="DB16" s="24"/>
      <c r="DC16" s="24" t="s">
        <v>167</v>
      </c>
      <c r="DD16" s="17" t="s">
        <v>83</v>
      </c>
      <c r="DE16" s="24"/>
      <c r="DF16" s="17" t="s">
        <v>168</v>
      </c>
      <c r="DG16" s="24" t="s">
        <v>109</v>
      </c>
      <c r="DH16" s="24"/>
      <c r="DI16" s="17" t="s">
        <v>168</v>
      </c>
      <c r="DJ16" s="24" t="s">
        <v>169</v>
      </c>
      <c r="DK16" s="24"/>
      <c r="DL16" s="17" t="s">
        <v>168</v>
      </c>
      <c r="DM16" t="s">
        <v>98</v>
      </c>
      <c r="DN16" s="24"/>
      <c r="DP16" s="17" t="s">
        <v>168</v>
      </c>
      <c r="DQ16" s="23">
        <v>2512</v>
      </c>
      <c r="DR16" s="23"/>
      <c r="DS16" s="23"/>
      <c r="DU16" s="17" t="s">
        <v>170</v>
      </c>
      <c r="DV16" s="17">
        <v>636</v>
      </c>
      <c r="DX16" s="9" t="s">
        <v>171</v>
      </c>
      <c r="DY16" s="17">
        <v>191140</v>
      </c>
    </row>
    <row r="17" spans="1:129" ht="16.5" x14ac:dyDescent="0.25">
      <c r="A17" s="97"/>
      <c r="B17" s="97"/>
      <c r="C17" s="97"/>
      <c r="D17" s="97"/>
      <c r="E17" s="97"/>
      <c r="F17" s="97"/>
      <c r="G17" s="98"/>
      <c r="H17" s="97"/>
      <c r="I17" s="97"/>
      <c r="J17" s="97"/>
      <c r="K17" s="97"/>
      <c r="L17" s="97"/>
      <c r="M17" s="97"/>
      <c r="N17" s="97"/>
      <c r="O17" s="97"/>
      <c r="P17" s="97"/>
      <c r="Q17" s="100"/>
      <c r="R17" s="101"/>
      <c r="S17" s="99"/>
      <c r="T17" s="99"/>
      <c r="U17" s="97"/>
      <c r="V17" s="20" t="str">
        <f t="shared" si="1"/>
        <v/>
      </c>
      <c r="W17" s="20" t="str">
        <f t="shared" si="2"/>
        <v/>
      </c>
      <c r="X17" s="20" t="str">
        <f t="shared" si="3"/>
        <v/>
      </c>
      <c r="Y17" s="20" t="str">
        <f t="shared" si="4"/>
        <v/>
      </c>
      <c r="Z17" s="20" t="str">
        <f t="shared" si="5"/>
        <v/>
      </c>
      <c r="AA17" s="20" t="str">
        <f t="shared" si="6"/>
        <v/>
      </c>
      <c r="AB17" s="20" t="str">
        <f t="shared" si="7"/>
        <v/>
      </c>
      <c r="AC17" s="20" t="str">
        <f t="shared" si="8"/>
        <v/>
      </c>
      <c r="AD17" s="20" t="str">
        <f t="shared" si="9"/>
        <v/>
      </c>
      <c r="AE17" s="20" t="str">
        <f t="shared" si="10"/>
        <v/>
      </c>
      <c r="AF17" s="20" t="str">
        <f t="shared" si="11"/>
        <v/>
      </c>
      <c r="AG17" s="20" t="str">
        <f t="shared" si="12"/>
        <v/>
      </c>
      <c r="AH17" s="20" t="str">
        <f t="shared" si="13"/>
        <v/>
      </c>
      <c r="AI17" s="20" t="str">
        <f t="shared" si="14"/>
        <v/>
      </c>
      <c r="AJ17" s="20" t="str">
        <f t="shared" si="15"/>
        <v/>
      </c>
      <c r="AK17" s="20" t="str">
        <f t="shared" si="16"/>
        <v/>
      </c>
      <c r="AL17" s="20" t="str">
        <f t="shared" si="17"/>
        <v/>
      </c>
      <c r="AM17" s="20" t="str">
        <f t="shared" si="18"/>
        <v/>
      </c>
      <c r="AN17" s="20" t="str">
        <f t="shared" si="19"/>
        <v/>
      </c>
      <c r="AO17" s="20" t="str">
        <f t="shared" si="20"/>
        <v/>
      </c>
      <c r="AP17" s="20" t="str">
        <f t="shared" si="21"/>
        <v/>
      </c>
      <c r="AQ17" s="20" t="str">
        <f t="shared" si="22"/>
        <v/>
      </c>
      <c r="AR17" s="20" t="str">
        <f t="shared" si="23"/>
        <v/>
      </c>
      <c r="AS17" s="20" t="str">
        <f t="shared" si="24"/>
        <v/>
      </c>
      <c r="AT17" s="20" t="str">
        <f t="shared" si="25"/>
        <v/>
      </c>
      <c r="AU17" s="20" t="str">
        <f t="shared" si="26"/>
        <v/>
      </c>
      <c r="AV17" s="20" t="str">
        <f t="shared" si="27"/>
        <v/>
      </c>
      <c r="AW17" s="20" t="str">
        <f t="shared" si="28"/>
        <v/>
      </c>
      <c r="AZ17" s="17"/>
      <c r="BA17" s="24"/>
      <c r="BC17" s="17" t="s">
        <v>597</v>
      </c>
      <c r="BD17" s="17" t="s">
        <v>555</v>
      </c>
      <c r="BE17" s="17" t="s">
        <v>73</v>
      </c>
      <c r="BF17" s="17" t="s">
        <v>51</v>
      </c>
      <c r="BG17" s="17" t="s">
        <v>596</v>
      </c>
      <c r="BH17" s="17" t="s">
        <v>92</v>
      </c>
      <c r="BI17" s="17" t="s">
        <v>813</v>
      </c>
      <c r="BK17" s="18">
        <v>5573307</v>
      </c>
      <c r="BL17" s="18" t="s">
        <v>80</v>
      </c>
      <c r="BM17" s="18">
        <v>86</v>
      </c>
      <c r="BN17" s="18" t="s">
        <v>49</v>
      </c>
      <c r="BO17" s="17" t="s">
        <v>50</v>
      </c>
      <c r="BP17" s="17" t="s">
        <v>50</v>
      </c>
      <c r="BQ17" s="17" t="s">
        <v>51</v>
      </c>
      <c r="BR17" s="17" t="s">
        <v>988</v>
      </c>
      <c r="BS17" s="17" t="s">
        <v>67</v>
      </c>
      <c r="BU17" s="17" t="s">
        <v>56</v>
      </c>
      <c r="BX17" s="17">
        <v>776</v>
      </c>
      <c r="BY17" s="17">
        <v>207321</v>
      </c>
      <c r="CB17" s="17" t="s">
        <v>83</v>
      </c>
      <c r="CC17" s="17" t="s">
        <v>577</v>
      </c>
      <c r="CD17" s="17" t="s">
        <v>62</v>
      </c>
      <c r="CE17" s="17" t="s">
        <v>111</v>
      </c>
      <c r="CF17" s="17" t="s">
        <v>1132</v>
      </c>
      <c r="CG17" s="17" t="s">
        <v>73</v>
      </c>
      <c r="CH17" s="17" t="s">
        <v>555</v>
      </c>
      <c r="CI17" s="23">
        <v>5239</v>
      </c>
      <c r="CJ17" s="23" t="b">
        <v>1</v>
      </c>
      <c r="CK17" s="23" t="b">
        <v>0</v>
      </c>
      <c r="CL17" s="23" t="b">
        <v>0</v>
      </c>
      <c r="CM17" s="23" t="b">
        <v>0</v>
      </c>
      <c r="CN17" s="23" t="b">
        <v>0</v>
      </c>
      <c r="CO17" s="23" t="s">
        <v>61</v>
      </c>
      <c r="CP17" s="49"/>
      <c r="CQ17" s="17" t="s">
        <v>172</v>
      </c>
      <c r="CR17" s="17" t="s">
        <v>57</v>
      </c>
      <c r="CT17" s="17" t="s">
        <v>172</v>
      </c>
      <c r="CU17" s="17" t="s">
        <v>58</v>
      </c>
      <c r="CW17" s="17" t="s">
        <v>68</v>
      </c>
      <c r="CX17" s="10" t="s">
        <v>144</v>
      </c>
      <c r="CY17" s="10"/>
      <c r="CZ17" s="17" t="s">
        <v>172</v>
      </c>
      <c r="DA17" s="24" t="s">
        <v>61</v>
      </c>
      <c r="DB17" s="24"/>
      <c r="DC17" s="17" t="s">
        <v>172</v>
      </c>
      <c r="DD17" s="17" t="s">
        <v>58</v>
      </c>
      <c r="DE17" s="24"/>
      <c r="DF17" s="17" t="s">
        <v>173</v>
      </c>
      <c r="DG17" s="24" t="s">
        <v>74</v>
      </c>
      <c r="DH17" s="24"/>
      <c r="DI17" s="17" t="s">
        <v>173</v>
      </c>
      <c r="DJ17" s="24" t="s">
        <v>169</v>
      </c>
      <c r="DK17" s="24"/>
      <c r="DL17" s="17" t="s">
        <v>173</v>
      </c>
      <c r="DM17" t="s">
        <v>98</v>
      </c>
      <c r="DN17" s="24"/>
      <c r="DP17" s="17" t="s">
        <v>173</v>
      </c>
      <c r="DQ17" s="23">
        <v>2512</v>
      </c>
      <c r="DR17" s="23"/>
      <c r="DS17" s="23"/>
      <c r="DU17" s="17" t="s">
        <v>174</v>
      </c>
      <c r="DV17" s="17">
        <v>124</v>
      </c>
      <c r="DX17" s="17" t="s">
        <v>175</v>
      </c>
      <c r="DY17" s="17">
        <v>185898</v>
      </c>
    </row>
    <row r="18" spans="1:129" ht="16.5" x14ac:dyDescent="0.25">
      <c r="A18" s="97"/>
      <c r="B18" s="97"/>
      <c r="C18" s="97"/>
      <c r="D18" s="97"/>
      <c r="E18" s="97"/>
      <c r="F18" s="97"/>
      <c r="G18" s="98"/>
      <c r="H18" s="97"/>
      <c r="I18" s="97"/>
      <c r="J18" s="97"/>
      <c r="K18" s="97"/>
      <c r="L18" s="97"/>
      <c r="M18" s="97"/>
      <c r="N18" s="97"/>
      <c r="O18" s="97"/>
      <c r="P18" s="97"/>
      <c r="Q18" s="100"/>
      <c r="R18" s="101"/>
      <c r="S18" s="99"/>
      <c r="T18" s="99"/>
      <c r="U18" s="97"/>
      <c r="V18" s="20" t="str">
        <f t="shared" si="1"/>
        <v/>
      </c>
      <c r="W18" s="20" t="str">
        <f t="shared" si="2"/>
        <v/>
      </c>
      <c r="X18" s="20" t="str">
        <f t="shared" si="3"/>
        <v/>
      </c>
      <c r="Y18" s="20" t="str">
        <f t="shared" si="4"/>
        <v/>
      </c>
      <c r="Z18" s="20" t="str">
        <f t="shared" si="5"/>
        <v/>
      </c>
      <c r="AA18" s="20" t="str">
        <f t="shared" si="6"/>
        <v/>
      </c>
      <c r="AB18" s="20" t="str">
        <f t="shared" si="7"/>
        <v/>
      </c>
      <c r="AC18" s="20" t="str">
        <f t="shared" si="8"/>
        <v/>
      </c>
      <c r="AD18" s="20" t="str">
        <f t="shared" si="9"/>
        <v/>
      </c>
      <c r="AE18" s="20" t="str">
        <f t="shared" si="10"/>
        <v/>
      </c>
      <c r="AF18" s="20" t="str">
        <f t="shared" si="11"/>
        <v/>
      </c>
      <c r="AG18" s="20" t="str">
        <f t="shared" si="12"/>
        <v/>
      </c>
      <c r="AH18" s="20" t="str">
        <f t="shared" si="13"/>
        <v/>
      </c>
      <c r="AI18" s="20" t="str">
        <f t="shared" si="14"/>
        <v/>
      </c>
      <c r="AJ18" s="20" t="str">
        <f t="shared" si="15"/>
        <v/>
      </c>
      <c r="AK18" s="20" t="str">
        <f t="shared" si="16"/>
        <v/>
      </c>
      <c r="AL18" s="20" t="str">
        <f t="shared" si="17"/>
        <v/>
      </c>
      <c r="AM18" s="20" t="str">
        <f t="shared" si="18"/>
        <v/>
      </c>
      <c r="AN18" s="20" t="str">
        <f t="shared" si="19"/>
        <v/>
      </c>
      <c r="AO18" s="20" t="str">
        <f t="shared" si="20"/>
        <v/>
      </c>
      <c r="AP18" s="20" t="str">
        <f t="shared" si="21"/>
        <v/>
      </c>
      <c r="AQ18" s="20" t="str">
        <f t="shared" si="22"/>
        <v/>
      </c>
      <c r="AR18" s="20" t="str">
        <f t="shared" si="23"/>
        <v/>
      </c>
      <c r="AS18" s="20" t="str">
        <f t="shared" si="24"/>
        <v/>
      </c>
      <c r="AT18" s="20" t="str">
        <f t="shared" si="25"/>
        <v/>
      </c>
      <c r="AU18" s="20" t="str">
        <f t="shared" si="26"/>
        <v/>
      </c>
      <c r="AV18" s="20" t="str">
        <f t="shared" si="27"/>
        <v/>
      </c>
      <c r="AW18" s="20" t="str">
        <f t="shared" si="28"/>
        <v/>
      </c>
      <c r="AZ18" s="17"/>
      <c r="BC18" s="17" t="s">
        <v>630</v>
      </c>
      <c r="BD18" s="17" t="s">
        <v>555</v>
      </c>
      <c r="BE18" s="17" t="s">
        <v>73</v>
      </c>
      <c r="BF18" s="17" t="s">
        <v>51</v>
      </c>
      <c r="BG18" s="17" t="s">
        <v>595</v>
      </c>
      <c r="BH18" s="17" t="s">
        <v>58</v>
      </c>
      <c r="BI18" s="17" t="s">
        <v>814</v>
      </c>
      <c r="BK18" s="18">
        <v>5573307</v>
      </c>
      <c r="BL18" s="18" t="s">
        <v>66</v>
      </c>
      <c r="BM18" s="18">
        <v>84</v>
      </c>
      <c r="BN18" s="18" t="s">
        <v>49</v>
      </c>
      <c r="BO18" s="17" t="s">
        <v>50</v>
      </c>
      <c r="BP18" s="17" t="s">
        <v>50</v>
      </c>
      <c r="BQ18" s="17" t="s">
        <v>51</v>
      </c>
      <c r="BR18" s="17" t="s">
        <v>988</v>
      </c>
      <c r="BS18" s="17" t="s">
        <v>67</v>
      </c>
      <c r="BU18" s="17" t="s">
        <v>56</v>
      </c>
      <c r="BX18" s="17">
        <v>763</v>
      </c>
      <c r="BY18" s="17">
        <v>207321</v>
      </c>
      <c r="CB18" s="17" t="s">
        <v>58</v>
      </c>
      <c r="CC18" s="17" t="s">
        <v>577</v>
      </c>
      <c r="CD18" s="17" t="s">
        <v>62</v>
      </c>
      <c r="CE18" s="17" t="s">
        <v>111</v>
      </c>
      <c r="CF18" s="17" t="s">
        <v>1132</v>
      </c>
      <c r="CG18" s="17" t="s">
        <v>73</v>
      </c>
      <c r="CH18" s="17" t="s">
        <v>555</v>
      </c>
      <c r="CI18" s="23">
        <v>5239</v>
      </c>
      <c r="CJ18" s="23" t="b">
        <v>1</v>
      </c>
      <c r="CK18" s="23" t="b">
        <v>0</v>
      </c>
      <c r="CL18" s="23" t="b">
        <v>0</v>
      </c>
      <c r="CM18" s="23" t="b">
        <v>0</v>
      </c>
      <c r="CN18" s="23" t="b">
        <v>0</v>
      </c>
      <c r="CO18" s="23" t="s">
        <v>61</v>
      </c>
      <c r="CP18" s="49"/>
      <c r="CQ18" s="17" t="s">
        <v>176</v>
      </c>
      <c r="CR18" s="17" t="s">
        <v>57</v>
      </c>
      <c r="CT18" s="17" t="s">
        <v>176</v>
      </c>
      <c r="CU18" s="17" t="s">
        <v>58</v>
      </c>
      <c r="CW18" s="17" t="s">
        <v>102</v>
      </c>
      <c r="CX18" s="10" t="s">
        <v>144</v>
      </c>
      <c r="CY18" s="10"/>
      <c r="CZ18" s="17" t="s">
        <v>176</v>
      </c>
      <c r="DA18" s="24" t="s">
        <v>73</v>
      </c>
      <c r="DB18" s="24"/>
      <c r="DC18" s="17" t="s">
        <v>176</v>
      </c>
      <c r="DD18" s="17" t="s">
        <v>58</v>
      </c>
      <c r="DE18" s="24"/>
      <c r="DF18" s="17" t="s">
        <v>79</v>
      </c>
      <c r="DG18" s="24" t="s">
        <v>177</v>
      </c>
      <c r="DH18" s="24"/>
      <c r="DI18" s="17" t="s">
        <v>79</v>
      </c>
      <c r="DJ18" s="24" t="s">
        <v>178</v>
      </c>
      <c r="DK18" s="24"/>
      <c r="DL18" s="17" t="s">
        <v>79</v>
      </c>
      <c r="DM18" s="24" t="s">
        <v>64</v>
      </c>
      <c r="DN18" s="24"/>
      <c r="DP18" s="17" t="s">
        <v>79</v>
      </c>
      <c r="DQ18" s="26" t="s">
        <v>179</v>
      </c>
      <c r="DR18" s="26"/>
      <c r="DS18" s="26"/>
      <c r="DU18" s="17" t="s">
        <v>180</v>
      </c>
      <c r="DV18" s="17">
        <v>638</v>
      </c>
      <c r="DX18" s="17" t="s">
        <v>181</v>
      </c>
      <c r="DY18" s="17">
        <v>186490</v>
      </c>
    </row>
    <row r="19" spans="1:129" ht="16.5" x14ac:dyDescent="0.25">
      <c r="A19" s="97"/>
      <c r="B19" s="97"/>
      <c r="C19" s="97"/>
      <c r="D19" s="97"/>
      <c r="E19" s="97"/>
      <c r="F19" s="97"/>
      <c r="G19" s="98"/>
      <c r="H19" s="97"/>
      <c r="I19" s="97"/>
      <c r="J19" s="97"/>
      <c r="K19" s="97"/>
      <c r="L19" s="97"/>
      <c r="M19" s="97"/>
      <c r="N19" s="97"/>
      <c r="O19" s="97"/>
      <c r="P19" s="97"/>
      <c r="Q19" s="100"/>
      <c r="R19" s="101"/>
      <c r="S19" s="99"/>
      <c r="T19" s="99"/>
      <c r="U19" s="97"/>
      <c r="V19" s="20" t="str">
        <f t="shared" si="1"/>
        <v/>
      </c>
      <c r="W19" s="20" t="str">
        <f t="shared" si="2"/>
        <v/>
      </c>
      <c r="X19" s="20" t="str">
        <f t="shared" si="3"/>
        <v/>
      </c>
      <c r="Y19" s="20" t="str">
        <f t="shared" si="4"/>
        <v/>
      </c>
      <c r="Z19" s="20" t="str">
        <f t="shared" si="5"/>
        <v/>
      </c>
      <c r="AA19" s="20" t="str">
        <f t="shared" si="6"/>
        <v/>
      </c>
      <c r="AB19" s="20" t="str">
        <f t="shared" si="7"/>
        <v/>
      </c>
      <c r="AC19" s="20" t="str">
        <f t="shared" si="8"/>
        <v/>
      </c>
      <c r="AD19" s="20" t="str">
        <f t="shared" si="9"/>
        <v/>
      </c>
      <c r="AE19" s="20" t="str">
        <f t="shared" si="10"/>
        <v/>
      </c>
      <c r="AF19" s="20" t="str">
        <f t="shared" si="11"/>
        <v/>
      </c>
      <c r="AG19" s="20" t="str">
        <f t="shared" si="12"/>
        <v/>
      </c>
      <c r="AH19" s="20" t="str">
        <f t="shared" si="13"/>
        <v/>
      </c>
      <c r="AI19" s="20" t="str">
        <f t="shared" si="14"/>
        <v/>
      </c>
      <c r="AJ19" s="20" t="str">
        <f t="shared" si="15"/>
        <v/>
      </c>
      <c r="AK19" s="20" t="str">
        <f t="shared" si="16"/>
        <v/>
      </c>
      <c r="AL19" s="20" t="str">
        <f t="shared" si="17"/>
        <v/>
      </c>
      <c r="AM19" s="20" t="str">
        <f t="shared" si="18"/>
        <v/>
      </c>
      <c r="AN19" s="20" t="str">
        <f t="shared" si="19"/>
        <v/>
      </c>
      <c r="AO19" s="20" t="str">
        <f t="shared" si="20"/>
        <v/>
      </c>
      <c r="AP19" s="20" t="str">
        <f t="shared" si="21"/>
        <v/>
      </c>
      <c r="AQ19" s="20" t="str">
        <f t="shared" si="22"/>
        <v/>
      </c>
      <c r="AR19" s="20" t="str">
        <f t="shared" si="23"/>
        <v/>
      </c>
      <c r="AS19" s="20" t="str">
        <f t="shared" si="24"/>
        <v/>
      </c>
      <c r="AT19" s="20" t="str">
        <f t="shared" si="25"/>
        <v/>
      </c>
      <c r="AU19" s="20" t="str">
        <f t="shared" si="26"/>
        <v/>
      </c>
      <c r="AV19" s="20" t="str">
        <f t="shared" si="27"/>
        <v/>
      </c>
      <c r="AW19" s="20" t="str">
        <f t="shared" si="28"/>
        <v/>
      </c>
      <c r="AZ19" s="17"/>
      <c r="BC19" s="17" t="s">
        <v>755</v>
      </c>
      <c r="BD19" s="17" t="s">
        <v>555</v>
      </c>
      <c r="BE19" s="17" t="s">
        <v>73</v>
      </c>
      <c r="BF19" s="17" t="s">
        <v>103</v>
      </c>
      <c r="BG19" s="17" t="s">
        <v>596</v>
      </c>
      <c r="BH19" s="17" t="s">
        <v>92</v>
      </c>
      <c r="BI19" s="17" t="s">
        <v>815</v>
      </c>
      <c r="BK19" s="18">
        <v>5573346</v>
      </c>
      <c r="BL19" s="18" t="s">
        <v>115</v>
      </c>
      <c r="BM19" s="18">
        <v>86</v>
      </c>
      <c r="BN19" s="18" t="s">
        <v>49</v>
      </c>
      <c r="BO19" s="17" t="s">
        <v>74</v>
      </c>
      <c r="BP19" s="17" t="s">
        <v>103</v>
      </c>
      <c r="BQ19" s="17" t="s">
        <v>104</v>
      </c>
      <c r="BR19" s="17" t="s">
        <v>988</v>
      </c>
      <c r="BS19" s="17" t="s">
        <v>67</v>
      </c>
      <c r="BU19" s="17" t="s">
        <v>56</v>
      </c>
      <c r="BX19" s="17">
        <v>776</v>
      </c>
      <c r="BY19" s="17">
        <v>200145</v>
      </c>
      <c r="CB19" s="17" t="s">
        <v>83</v>
      </c>
      <c r="CC19" s="17" t="s">
        <v>568</v>
      </c>
      <c r="CD19" s="17" t="s">
        <v>578</v>
      </c>
      <c r="CE19" s="17" t="s">
        <v>111</v>
      </c>
      <c r="CF19" s="17" t="s">
        <v>1132</v>
      </c>
      <c r="CG19" s="17" t="s">
        <v>73</v>
      </c>
      <c r="CH19" s="17" t="s">
        <v>555</v>
      </c>
      <c r="CI19" s="23">
        <v>5239</v>
      </c>
      <c r="CJ19" s="23" t="b">
        <v>1</v>
      </c>
      <c r="CK19" s="23" t="b">
        <v>0</v>
      </c>
      <c r="CL19" s="23" t="b">
        <v>0</v>
      </c>
      <c r="CM19" s="23" t="b">
        <v>0</v>
      </c>
      <c r="CN19" s="23" t="b">
        <v>0</v>
      </c>
      <c r="CO19" s="23" t="s">
        <v>61</v>
      </c>
      <c r="CP19" s="49"/>
      <c r="CQ19" s="17" t="s">
        <v>182</v>
      </c>
      <c r="CR19" s="17" t="s">
        <v>57</v>
      </c>
      <c r="CT19" s="17" t="s">
        <v>182</v>
      </c>
      <c r="CU19" s="17" t="s">
        <v>83</v>
      </c>
      <c r="CW19" s="17" t="s">
        <v>115</v>
      </c>
      <c r="CX19" s="10" t="s">
        <v>144</v>
      </c>
      <c r="CY19" s="10"/>
      <c r="CZ19" s="17" t="s">
        <v>182</v>
      </c>
      <c r="DA19" s="24" t="s">
        <v>73</v>
      </c>
      <c r="DB19" s="24"/>
      <c r="DC19" s="17" t="s">
        <v>182</v>
      </c>
      <c r="DD19" s="17" t="s">
        <v>83</v>
      </c>
      <c r="DE19" s="24"/>
      <c r="DF19" s="17" t="s">
        <v>183</v>
      </c>
      <c r="DG19" s="17" t="s">
        <v>184</v>
      </c>
      <c r="DI19" s="17" t="s">
        <v>183</v>
      </c>
      <c r="DJ19" s="24" t="s">
        <v>178</v>
      </c>
      <c r="DK19" s="24"/>
      <c r="DL19" s="17" t="s">
        <v>183</v>
      </c>
      <c r="DM19" s="24" t="s">
        <v>64</v>
      </c>
      <c r="DN19" s="24"/>
      <c r="DP19" s="17" t="s">
        <v>183</v>
      </c>
      <c r="DQ19" s="26" t="s">
        <v>179</v>
      </c>
      <c r="DR19" s="26"/>
      <c r="DS19" s="26"/>
      <c r="DU19" s="17" t="s">
        <v>185</v>
      </c>
      <c r="DV19" s="17">
        <v>124</v>
      </c>
      <c r="DX19" s="17" t="s">
        <v>186</v>
      </c>
      <c r="DY19" s="17">
        <v>164474</v>
      </c>
    </row>
    <row r="20" spans="1:129" ht="16.5" x14ac:dyDescent="0.25">
      <c r="A20" s="97"/>
      <c r="B20" s="97"/>
      <c r="C20" s="97"/>
      <c r="D20" s="97"/>
      <c r="E20" s="97"/>
      <c r="F20" s="97"/>
      <c r="G20" s="98"/>
      <c r="H20" s="97"/>
      <c r="I20" s="97"/>
      <c r="J20" s="97"/>
      <c r="K20" s="97"/>
      <c r="L20" s="97"/>
      <c r="M20" s="97"/>
      <c r="N20" s="97"/>
      <c r="O20" s="97"/>
      <c r="P20" s="97"/>
      <c r="Q20" s="100"/>
      <c r="R20" s="101"/>
      <c r="S20" s="99"/>
      <c r="T20" s="99"/>
      <c r="U20" s="97"/>
      <c r="V20" s="20" t="str">
        <f t="shared" si="1"/>
        <v/>
      </c>
      <c r="W20" s="20" t="str">
        <f t="shared" si="2"/>
        <v/>
      </c>
      <c r="X20" s="20" t="str">
        <f t="shared" si="3"/>
        <v/>
      </c>
      <c r="Y20" s="20" t="str">
        <f t="shared" si="4"/>
        <v/>
      </c>
      <c r="Z20" s="20" t="str">
        <f t="shared" si="5"/>
        <v/>
      </c>
      <c r="AA20" s="20" t="str">
        <f t="shared" si="6"/>
        <v/>
      </c>
      <c r="AB20" s="20" t="str">
        <f t="shared" si="7"/>
        <v/>
      </c>
      <c r="AC20" s="20" t="str">
        <f t="shared" si="8"/>
        <v/>
      </c>
      <c r="AD20" s="20" t="str">
        <f t="shared" si="9"/>
        <v/>
      </c>
      <c r="AE20" s="20" t="str">
        <f t="shared" si="10"/>
        <v/>
      </c>
      <c r="AF20" s="20" t="str">
        <f t="shared" si="11"/>
        <v/>
      </c>
      <c r="AG20" s="20" t="str">
        <f t="shared" si="12"/>
        <v/>
      </c>
      <c r="AH20" s="20" t="str">
        <f t="shared" si="13"/>
        <v/>
      </c>
      <c r="AI20" s="20" t="str">
        <f t="shared" si="14"/>
        <v/>
      </c>
      <c r="AJ20" s="20" t="str">
        <f t="shared" si="15"/>
        <v/>
      </c>
      <c r="AK20" s="20" t="str">
        <f t="shared" si="16"/>
        <v/>
      </c>
      <c r="AL20" s="20" t="str">
        <f t="shared" si="17"/>
        <v/>
      </c>
      <c r="AM20" s="20" t="str">
        <f t="shared" si="18"/>
        <v/>
      </c>
      <c r="AN20" s="20" t="str">
        <f t="shared" si="19"/>
        <v/>
      </c>
      <c r="AO20" s="20" t="str">
        <f t="shared" si="20"/>
        <v/>
      </c>
      <c r="AP20" s="20" t="str">
        <f t="shared" si="21"/>
        <v/>
      </c>
      <c r="AQ20" s="20" t="str">
        <f t="shared" si="22"/>
        <v/>
      </c>
      <c r="AR20" s="20" t="str">
        <f t="shared" si="23"/>
        <v/>
      </c>
      <c r="AS20" s="20" t="str">
        <f t="shared" si="24"/>
        <v/>
      </c>
      <c r="AT20" s="20" t="str">
        <f t="shared" si="25"/>
        <v/>
      </c>
      <c r="AU20" s="20" t="str">
        <f t="shared" si="26"/>
        <v/>
      </c>
      <c r="AV20" s="20" t="str">
        <f t="shared" si="27"/>
        <v/>
      </c>
      <c r="AW20" s="20" t="str">
        <f t="shared" si="28"/>
        <v/>
      </c>
      <c r="AZ20" s="17"/>
      <c r="BB20" s="17"/>
      <c r="BC20" s="17" t="s">
        <v>103</v>
      </c>
      <c r="BD20" s="17" t="s">
        <v>555</v>
      </c>
      <c r="BE20" s="17" t="s">
        <v>73</v>
      </c>
      <c r="BF20" s="17" t="s">
        <v>103</v>
      </c>
      <c r="BG20" s="17" t="s">
        <v>595</v>
      </c>
      <c r="BH20" s="17" t="s">
        <v>58</v>
      </c>
      <c r="BI20" s="17" t="s">
        <v>816</v>
      </c>
      <c r="BK20" s="18">
        <v>5573346</v>
      </c>
      <c r="BL20" s="18" t="s">
        <v>102</v>
      </c>
      <c r="BM20" s="18">
        <v>84</v>
      </c>
      <c r="BN20" s="18" t="s">
        <v>49</v>
      </c>
      <c r="BO20" s="17" t="s">
        <v>74</v>
      </c>
      <c r="BP20" s="17" t="s">
        <v>103</v>
      </c>
      <c r="BQ20" s="17" t="s">
        <v>104</v>
      </c>
      <c r="BR20" s="17" t="s">
        <v>988</v>
      </c>
      <c r="BS20" s="17" t="s">
        <v>67</v>
      </c>
      <c r="BU20" s="17" t="s">
        <v>56</v>
      </c>
      <c r="BX20" s="17">
        <v>782</v>
      </c>
      <c r="BY20" s="17">
        <v>200145</v>
      </c>
      <c r="CB20" s="17" t="s">
        <v>58</v>
      </c>
      <c r="CC20" s="17" t="s">
        <v>568</v>
      </c>
      <c r="CD20" s="17" t="s">
        <v>578</v>
      </c>
      <c r="CE20" s="17" t="s">
        <v>111</v>
      </c>
      <c r="CF20" s="17" t="s">
        <v>1132</v>
      </c>
      <c r="CG20" s="17" t="s">
        <v>73</v>
      </c>
      <c r="CH20" s="17" t="s">
        <v>555</v>
      </c>
      <c r="CI20" s="23">
        <v>5239</v>
      </c>
      <c r="CJ20" s="23" t="b">
        <v>1</v>
      </c>
      <c r="CK20" s="23" t="b">
        <v>0</v>
      </c>
      <c r="CL20" s="23" t="b">
        <v>0</v>
      </c>
      <c r="CM20" s="23" t="b">
        <v>0</v>
      </c>
      <c r="CN20" s="23" t="b">
        <v>0</v>
      </c>
      <c r="CO20" s="23" t="s">
        <v>61</v>
      </c>
      <c r="CP20" s="49"/>
      <c r="CQ20" s="17" t="s">
        <v>187</v>
      </c>
      <c r="CR20" s="17" t="s">
        <v>57</v>
      </c>
      <c r="CT20" s="17" t="s">
        <v>187</v>
      </c>
      <c r="CU20" s="17" t="s">
        <v>58</v>
      </c>
      <c r="CW20" s="24" t="s">
        <v>125</v>
      </c>
      <c r="CX20" s="10" t="s">
        <v>129</v>
      </c>
      <c r="CY20" s="10"/>
      <c r="CZ20" s="17" t="s">
        <v>187</v>
      </c>
      <c r="DA20" s="24" t="s">
        <v>73</v>
      </c>
      <c r="DB20" s="24"/>
      <c r="DC20" s="17" t="s">
        <v>187</v>
      </c>
      <c r="DD20" s="17" t="s">
        <v>58</v>
      </c>
      <c r="DE20" s="24"/>
      <c r="DF20" s="17" t="s">
        <v>188</v>
      </c>
      <c r="DG20" s="17" t="s">
        <v>184</v>
      </c>
      <c r="DI20" s="17" t="s">
        <v>188</v>
      </c>
      <c r="DJ20" s="24" t="s">
        <v>178</v>
      </c>
      <c r="DK20" s="24"/>
      <c r="DL20" s="17" t="s">
        <v>188</v>
      </c>
      <c r="DM20" s="24" t="s">
        <v>64</v>
      </c>
      <c r="DN20" s="24"/>
      <c r="DP20" s="17" t="s">
        <v>188</v>
      </c>
      <c r="DQ20" s="26" t="s">
        <v>179</v>
      </c>
      <c r="DR20" s="26"/>
      <c r="DS20" s="26"/>
      <c r="DU20" s="17" t="s">
        <v>189</v>
      </c>
      <c r="DV20" s="17">
        <v>638</v>
      </c>
      <c r="DX20" s="17" t="s">
        <v>190</v>
      </c>
      <c r="DY20" s="17">
        <v>198751</v>
      </c>
    </row>
    <row r="21" spans="1:129" ht="15" customHeight="1" x14ac:dyDescent="0.25">
      <c r="A21" s="97"/>
      <c r="B21" s="97"/>
      <c r="C21" s="97"/>
      <c r="D21" s="97"/>
      <c r="E21" s="97"/>
      <c r="F21" s="97"/>
      <c r="G21" s="98"/>
      <c r="H21" s="97"/>
      <c r="I21" s="97"/>
      <c r="J21" s="97"/>
      <c r="K21" s="97"/>
      <c r="L21" s="97"/>
      <c r="M21" s="97"/>
      <c r="N21" s="97"/>
      <c r="O21" s="97"/>
      <c r="P21" s="97"/>
      <c r="Q21" s="100"/>
      <c r="R21" s="101"/>
      <c r="S21" s="99"/>
      <c r="T21" s="99"/>
      <c r="U21" s="97"/>
      <c r="V21" s="20" t="str">
        <f t="shared" si="1"/>
        <v/>
      </c>
      <c r="W21" s="20" t="str">
        <f t="shared" si="2"/>
        <v/>
      </c>
      <c r="X21" s="20" t="str">
        <f t="shared" si="3"/>
        <v/>
      </c>
      <c r="Y21" s="20" t="str">
        <f t="shared" si="4"/>
        <v/>
      </c>
      <c r="Z21" s="20" t="str">
        <f t="shared" si="5"/>
        <v/>
      </c>
      <c r="AA21" s="20" t="str">
        <f t="shared" si="6"/>
        <v/>
      </c>
      <c r="AB21" s="20" t="str">
        <f t="shared" si="7"/>
        <v/>
      </c>
      <c r="AC21" s="20" t="str">
        <f t="shared" si="8"/>
        <v/>
      </c>
      <c r="AD21" s="20" t="str">
        <f t="shared" si="9"/>
        <v/>
      </c>
      <c r="AE21" s="20" t="str">
        <f t="shared" si="10"/>
        <v/>
      </c>
      <c r="AF21" s="20" t="str">
        <f t="shared" si="11"/>
        <v/>
      </c>
      <c r="AG21" s="20" t="str">
        <f t="shared" si="12"/>
        <v/>
      </c>
      <c r="AH21" s="20" t="str">
        <f t="shared" si="13"/>
        <v/>
      </c>
      <c r="AI21" s="20" t="str">
        <f t="shared" si="14"/>
        <v/>
      </c>
      <c r="AJ21" s="20" t="str">
        <f t="shared" si="15"/>
        <v/>
      </c>
      <c r="AK21" s="20" t="str">
        <f t="shared" si="16"/>
        <v/>
      </c>
      <c r="AL21" s="20" t="str">
        <f t="shared" si="17"/>
        <v/>
      </c>
      <c r="AM21" s="20" t="str">
        <f t="shared" si="18"/>
        <v/>
      </c>
      <c r="AN21" s="20" t="str">
        <f t="shared" si="19"/>
        <v/>
      </c>
      <c r="AO21" s="20" t="str">
        <f t="shared" si="20"/>
        <v/>
      </c>
      <c r="AP21" s="20" t="str">
        <f t="shared" si="21"/>
        <v/>
      </c>
      <c r="AQ21" s="20" t="str">
        <f t="shared" si="22"/>
        <v/>
      </c>
      <c r="AR21" s="20" t="str">
        <f t="shared" si="23"/>
        <v/>
      </c>
      <c r="AS21" s="20" t="str">
        <f t="shared" si="24"/>
        <v/>
      </c>
      <c r="AT21" s="20" t="str">
        <f t="shared" si="25"/>
        <v/>
      </c>
      <c r="AU21" s="20" t="str">
        <f t="shared" si="26"/>
        <v/>
      </c>
      <c r="AV21" s="20" t="str">
        <f t="shared" si="27"/>
        <v/>
      </c>
      <c r="AW21" s="20" t="str">
        <f t="shared" si="28"/>
        <v/>
      </c>
      <c r="AZ21" s="17"/>
      <c r="BB21" s="17"/>
      <c r="BC21" s="17" t="s">
        <v>741</v>
      </c>
      <c r="BD21" s="17" t="s">
        <v>555</v>
      </c>
      <c r="BE21" s="17" t="s">
        <v>828</v>
      </c>
      <c r="BF21" s="17" t="s">
        <v>51</v>
      </c>
      <c r="BG21" s="17" t="s">
        <v>596</v>
      </c>
      <c r="BH21" s="17" t="s">
        <v>147</v>
      </c>
      <c r="BI21" s="17" t="s">
        <v>838</v>
      </c>
      <c r="BJ21" s="94"/>
      <c r="BK21" s="18" t="s">
        <v>666</v>
      </c>
      <c r="BL21" s="18" t="s">
        <v>666</v>
      </c>
      <c r="BM21" s="18" t="s">
        <v>330</v>
      </c>
      <c r="BN21" s="18" t="s">
        <v>49</v>
      </c>
      <c r="BO21" s="17" t="s">
        <v>50</v>
      </c>
      <c r="BP21" s="17" t="s">
        <v>50</v>
      </c>
      <c r="BQ21" s="17" t="s">
        <v>51</v>
      </c>
      <c r="BS21" s="22" t="s">
        <v>52</v>
      </c>
      <c r="BT21" s="22"/>
      <c r="BU21" s="17" t="s">
        <v>70</v>
      </c>
      <c r="BW21" s="94"/>
      <c r="BX21" s="17">
        <v>124</v>
      </c>
      <c r="BY21" s="17">
        <v>196323</v>
      </c>
      <c r="CA21" s="94"/>
      <c r="CB21" s="17" t="s">
        <v>83</v>
      </c>
      <c r="CC21" s="17" t="s">
        <v>577</v>
      </c>
      <c r="CD21" s="17" t="s">
        <v>62</v>
      </c>
      <c r="CE21" s="17" t="s">
        <v>111</v>
      </c>
      <c r="CF21" s="17" t="s">
        <v>1132</v>
      </c>
      <c r="CG21" s="17" t="s">
        <v>828</v>
      </c>
      <c r="CH21" s="17" t="s">
        <v>555</v>
      </c>
      <c r="CI21" s="23">
        <v>5239</v>
      </c>
      <c r="CJ21" s="23" t="b">
        <v>0</v>
      </c>
      <c r="CK21" s="23" t="b">
        <v>0</v>
      </c>
      <c r="CL21" s="23" t="b">
        <v>0</v>
      </c>
      <c r="CM21" s="23" t="b">
        <v>1</v>
      </c>
      <c r="CN21" s="23" t="b">
        <v>0</v>
      </c>
      <c r="CO21" s="23" t="s">
        <v>61</v>
      </c>
      <c r="CP21" s="49"/>
      <c r="CQ21" s="17" t="s">
        <v>191</v>
      </c>
      <c r="CR21" s="17" t="s">
        <v>57</v>
      </c>
      <c r="CT21" s="17" t="s">
        <v>191</v>
      </c>
      <c r="CU21" s="17" t="s">
        <v>83</v>
      </c>
      <c r="CW21" s="17" t="s">
        <v>133</v>
      </c>
      <c r="CX21" s="10" t="s">
        <v>144</v>
      </c>
      <c r="CY21" s="10"/>
      <c r="CZ21" s="17" t="s">
        <v>191</v>
      </c>
      <c r="DA21" s="24" t="s">
        <v>73</v>
      </c>
      <c r="DB21" s="24"/>
      <c r="DC21" s="17" t="s">
        <v>191</v>
      </c>
      <c r="DD21" s="17" t="s">
        <v>83</v>
      </c>
      <c r="DE21" s="24"/>
      <c r="DF21" s="17" t="s">
        <v>91</v>
      </c>
      <c r="DG21" s="24" t="s">
        <v>74</v>
      </c>
      <c r="DH21" s="24"/>
      <c r="DI21" s="17" t="s">
        <v>91</v>
      </c>
      <c r="DJ21" s="24" t="s">
        <v>178</v>
      </c>
      <c r="DK21" s="24"/>
      <c r="DL21" s="17" t="s">
        <v>91</v>
      </c>
      <c r="DM21" s="24" t="s">
        <v>64</v>
      </c>
      <c r="DN21" s="24"/>
      <c r="DP21" s="17" t="s">
        <v>91</v>
      </c>
      <c r="DQ21" s="26" t="s">
        <v>179</v>
      </c>
      <c r="DR21" s="26"/>
      <c r="DS21" s="26"/>
      <c r="DU21" s="17" t="s">
        <v>192</v>
      </c>
      <c r="DV21" s="17">
        <v>639</v>
      </c>
    </row>
    <row r="22" spans="1:129" ht="16.5" x14ac:dyDescent="0.25">
      <c r="A22" s="97"/>
      <c r="B22" s="97"/>
      <c r="C22" s="97"/>
      <c r="D22" s="97"/>
      <c r="E22" s="97"/>
      <c r="F22" s="97"/>
      <c r="G22" s="98"/>
      <c r="H22" s="97"/>
      <c r="I22" s="97"/>
      <c r="J22" s="97"/>
      <c r="K22" s="97"/>
      <c r="L22" s="97"/>
      <c r="M22" s="97"/>
      <c r="N22" s="97"/>
      <c r="O22" s="97"/>
      <c r="P22" s="97"/>
      <c r="Q22" s="100"/>
      <c r="R22" s="101"/>
      <c r="S22" s="99"/>
      <c r="T22" s="99"/>
      <c r="U22" s="97"/>
      <c r="V22" s="20" t="str">
        <f t="shared" si="1"/>
        <v/>
      </c>
      <c r="W22" s="20" t="str">
        <f t="shared" si="2"/>
        <v/>
      </c>
      <c r="X22" s="20" t="str">
        <f t="shared" si="3"/>
        <v/>
      </c>
      <c r="Y22" s="20" t="str">
        <f t="shared" si="4"/>
        <v/>
      </c>
      <c r="Z22" s="20" t="str">
        <f t="shared" si="5"/>
        <v/>
      </c>
      <c r="AA22" s="20" t="str">
        <f t="shared" si="6"/>
        <v/>
      </c>
      <c r="AB22" s="20" t="str">
        <f t="shared" si="7"/>
        <v/>
      </c>
      <c r="AC22" s="20" t="str">
        <f t="shared" si="8"/>
        <v/>
      </c>
      <c r="AD22" s="20" t="str">
        <f t="shared" si="9"/>
        <v/>
      </c>
      <c r="AE22" s="20" t="str">
        <f t="shared" si="10"/>
        <v/>
      </c>
      <c r="AF22" s="20" t="str">
        <f t="shared" si="11"/>
        <v/>
      </c>
      <c r="AG22" s="20" t="str">
        <f t="shared" si="12"/>
        <v/>
      </c>
      <c r="AH22" s="20" t="str">
        <f t="shared" si="13"/>
        <v/>
      </c>
      <c r="AI22" s="20" t="str">
        <f t="shared" si="14"/>
        <v/>
      </c>
      <c r="AJ22" s="20" t="str">
        <f t="shared" si="15"/>
        <v/>
      </c>
      <c r="AK22" s="20" t="str">
        <f t="shared" si="16"/>
        <v/>
      </c>
      <c r="AL22" s="20" t="str">
        <f t="shared" si="17"/>
        <v/>
      </c>
      <c r="AM22" s="20" t="str">
        <f t="shared" si="18"/>
        <v/>
      </c>
      <c r="AN22" s="20" t="str">
        <f t="shared" si="19"/>
        <v/>
      </c>
      <c r="AO22" s="20" t="str">
        <f t="shared" si="20"/>
        <v/>
      </c>
      <c r="AP22" s="20" t="str">
        <f t="shared" si="21"/>
        <v/>
      </c>
      <c r="AQ22" s="20" t="str">
        <f t="shared" si="22"/>
        <v/>
      </c>
      <c r="AR22" s="20" t="str">
        <f t="shared" si="23"/>
        <v/>
      </c>
      <c r="AS22" s="20" t="str">
        <f t="shared" si="24"/>
        <v/>
      </c>
      <c r="AT22" s="20" t="str">
        <f t="shared" si="25"/>
        <v/>
      </c>
      <c r="AU22" s="20" t="str">
        <f t="shared" si="26"/>
        <v/>
      </c>
      <c r="AV22" s="20" t="str">
        <f t="shared" si="27"/>
        <v/>
      </c>
      <c r="AW22" s="20" t="str">
        <f t="shared" si="28"/>
        <v/>
      </c>
      <c r="AZ22" s="17"/>
      <c r="BB22" s="17"/>
      <c r="BC22" s="24" t="s">
        <v>1069</v>
      </c>
      <c r="BD22" s="17" t="s">
        <v>555</v>
      </c>
      <c r="BE22" s="17" t="s">
        <v>828</v>
      </c>
      <c r="BF22" s="17" t="s">
        <v>51</v>
      </c>
      <c r="BG22" s="17" t="s">
        <v>596</v>
      </c>
      <c r="BH22" s="17" t="s">
        <v>92</v>
      </c>
      <c r="BI22" s="17" t="s">
        <v>839</v>
      </c>
      <c r="BK22" s="79" t="s">
        <v>676</v>
      </c>
      <c r="BL22" s="79" t="s">
        <v>676</v>
      </c>
      <c r="BM22" s="18" t="s">
        <v>486</v>
      </c>
      <c r="BN22" s="18" t="s">
        <v>49</v>
      </c>
      <c r="BO22" s="17" t="s">
        <v>50</v>
      </c>
      <c r="BP22" s="17" t="s">
        <v>50</v>
      </c>
      <c r="BQ22" s="17" t="s">
        <v>51</v>
      </c>
      <c r="BR22" s="17" t="s">
        <v>989</v>
      </c>
      <c r="BS22" s="22" t="s">
        <v>52</v>
      </c>
      <c r="BT22" s="22"/>
      <c r="BU22" s="17" t="s">
        <v>70</v>
      </c>
      <c r="BX22" s="17">
        <v>124</v>
      </c>
      <c r="BY22" s="17">
        <v>196323</v>
      </c>
      <c r="CB22" s="17" t="s">
        <v>83</v>
      </c>
      <c r="CC22" s="17" t="s">
        <v>577</v>
      </c>
      <c r="CD22" s="17" t="s">
        <v>62</v>
      </c>
      <c r="CE22" s="17" t="s">
        <v>111</v>
      </c>
      <c r="CF22" s="17" t="s">
        <v>1132</v>
      </c>
      <c r="CG22" s="17" t="s">
        <v>828</v>
      </c>
      <c r="CH22" s="17" t="s">
        <v>555</v>
      </c>
      <c r="CI22" s="23">
        <v>5239</v>
      </c>
      <c r="CJ22" s="23" t="b">
        <v>0</v>
      </c>
      <c r="CK22" s="23" t="b">
        <v>0</v>
      </c>
      <c r="CL22" s="23" t="b">
        <v>0</v>
      </c>
      <c r="CM22" s="23" t="b">
        <v>1</v>
      </c>
      <c r="CN22" s="23" t="b">
        <v>0</v>
      </c>
      <c r="CO22" s="23" t="s">
        <v>61</v>
      </c>
      <c r="CP22" s="49"/>
      <c r="CQ22" s="17" t="s">
        <v>193</v>
      </c>
      <c r="CR22" s="17" t="s">
        <v>57</v>
      </c>
      <c r="CT22" s="17" t="s">
        <v>193</v>
      </c>
      <c r="CU22" s="17" t="s">
        <v>58</v>
      </c>
      <c r="CW22" s="17" t="s">
        <v>141</v>
      </c>
      <c r="CX22" s="10" t="s">
        <v>144</v>
      </c>
      <c r="CY22" s="10"/>
      <c r="CZ22" s="17" t="s">
        <v>193</v>
      </c>
      <c r="DA22" s="24" t="s">
        <v>73</v>
      </c>
      <c r="DB22" s="24"/>
      <c r="DC22" s="17" t="s">
        <v>193</v>
      </c>
      <c r="DD22" s="17" t="s">
        <v>58</v>
      </c>
      <c r="DE22" s="24"/>
      <c r="DF22" s="17" t="s">
        <v>194</v>
      </c>
      <c r="DG22" s="24" t="s">
        <v>177</v>
      </c>
      <c r="DH22" s="24"/>
      <c r="DI22" s="17" t="s">
        <v>194</v>
      </c>
      <c r="DJ22" s="24" t="s">
        <v>178</v>
      </c>
      <c r="DK22" s="24"/>
      <c r="DL22" s="17" t="s">
        <v>194</v>
      </c>
      <c r="DM22" s="24" t="s">
        <v>64</v>
      </c>
      <c r="DN22" s="24"/>
      <c r="DP22" s="17" t="s">
        <v>194</v>
      </c>
      <c r="DQ22" s="26" t="s">
        <v>179</v>
      </c>
      <c r="DR22" s="26"/>
      <c r="DS22" s="26"/>
      <c r="DU22" s="17" t="s">
        <v>195</v>
      </c>
      <c r="DV22" s="17">
        <v>172</v>
      </c>
    </row>
    <row r="23" spans="1:129" ht="16.5" x14ac:dyDescent="0.25">
      <c r="A23" s="97"/>
      <c r="B23" s="97"/>
      <c r="C23" s="97"/>
      <c r="D23" s="97"/>
      <c r="E23" s="97"/>
      <c r="F23" s="97"/>
      <c r="G23" s="98"/>
      <c r="H23" s="97"/>
      <c r="I23" s="97"/>
      <c r="J23" s="97"/>
      <c r="K23" s="97"/>
      <c r="L23" s="97"/>
      <c r="M23" s="97"/>
      <c r="N23" s="97"/>
      <c r="O23" s="97"/>
      <c r="P23" s="97"/>
      <c r="Q23" s="100"/>
      <c r="R23" s="101"/>
      <c r="S23" s="99"/>
      <c r="T23" s="99"/>
      <c r="U23" s="97"/>
      <c r="V23" s="20" t="str">
        <f t="shared" si="1"/>
        <v/>
      </c>
      <c r="W23" s="20" t="str">
        <f t="shared" si="2"/>
        <v/>
      </c>
      <c r="X23" s="20" t="str">
        <f t="shared" si="3"/>
        <v/>
      </c>
      <c r="Y23" s="20" t="str">
        <f t="shared" si="4"/>
        <v/>
      </c>
      <c r="Z23" s="20" t="str">
        <f t="shared" si="5"/>
        <v/>
      </c>
      <c r="AA23" s="20" t="str">
        <f t="shared" si="6"/>
        <v/>
      </c>
      <c r="AB23" s="20" t="str">
        <f t="shared" si="7"/>
        <v/>
      </c>
      <c r="AC23" s="20" t="str">
        <f t="shared" si="8"/>
        <v/>
      </c>
      <c r="AD23" s="20" t="str">
        <f t="shared" si="9"/>
        <v/>
      </c>
      <c r="AE23" s="20" t="str">
        <f t="shared" si="10"/>
        <v/>
      </c>
      <c r="AF23" s="20" t="str">
        <f t="shared" si="11"/>
        <v/>
      </c>
      <c r="AG23" s="20" t="str">
        <f t="shared" si="12"/>
        <v/>
      </c>
      <c r="AH23" s="20" t="str">
        <f t="shared" si="13"/>
        <v/>
      </c>
      <c r="AI23" s="20" t="str">
        <f t="shared" si="14"/>
        <v/>
      </c>
      <c r="AJ23" s="20" t="str">
        <f t="shared" si="15"/>
        <v/>
      </c>
      <c r="AK23" s="20" t="str">
        <f t="shared" si="16"/>
        <v/>
      </c>
      <c r="AL23" s="20" t="str">
        <f t="shared" si="17"/>
        <v/>
      </c>
      <c r="AM23" s="20" t="str">
        <f t="shared" si="18"/>
        <v/>
      </c>
      <c r="AN23" s="20" t="str">
        <f t="shared" si="19"/>
        <v/>
      </c>
      <c r="AO23" s="20" t="str">
        <f t="shared" si="20"/>
        <v/>
      </c>
      <c r="AP23" s="20" t="str">
        <f t="shared" si="21"/>
        <v/>
      </c>
      <c r="AQ23" s="20" t="str">
        <f t="shared" si="22"/>
        <v/>
      </c>
      <c r="AR23" s="20" t="str">
        <f t="shared" si="23"/>
        <v/>
      </c>
      <c r="AS23" s="20" t="str">
        <f t="shared" si="24"/>
        <v/>
      </c>
      <c r="AT23" s="20" t="str">
        <f t="shared" si="25"/>
        <v/>
      </c>
      <c r="AU23" s="20" t="str">
        <f t="shared" si="26"/>
        <v/>
      </c>
      <c r="AV23" s="20" t="str">
        <f t="shared" si="27"/>
        <v/>
      </c>
      <c r="AW23" s="20" t="str">
        <f t="shared" si="28"/>
        <v/>
      </c>
      <c r="AZ23" s="17"/>
      <c r="BA23" s="24"/>
      <c r="BC23" s="24" t="s">
        <v>959</v>
      </c>
      <c r="BD23" s="17" t="s">
        <v>555</v>
      </c>
      <c r="BE23" s="17" t="s">
        <v>828</v>
      </c>
      <c r="BF23" s="17" t="s">
        <v>51</v>
      </c>
      <c r="BG23" s="17" t="s">
        <v>127</v>
      </c>
      <c r="BH23" s="17" t="s">
        <v>58</v>
      </c>
      <c r="BI23" s="17" t="s">
        <v>840</v>
      </c>
      <c r="BK23" s="81" t="s">
        <v>763</v>
      </c>
      <c r="BL23" s="81" t="s">
        <v>763</v>
      </c>
      <c r="BM23" s="18" t="s">
        <v>485</v>
      </c>
      <c r="BN23" s="18" t="s">
        <v>49</v>
      </c>
      <c r="BO23" s="17" t="s">
        <v>50</v>
      </c>
      <c r="BP23" s="17" t="s">
        <v>50</v>
      </c>
      <c r="BQ23" s="17" t="s">
        <v>51</v>
      </c>
      <c r="BR23" s="17" t="s">
        <v>990</v>
      </c>
      <c r="BS23" s="22" t="s">
        <v>52</v>
      </c>
      <c r="BU23" s="17" t="s">
        <v>70</v>
      </c>
      <c r="BX23" s="17">
        <v>804</v>
      </c>
      <c r="BY23" s="17">
        <v>196323</v>
      </c>
      <c r="CB23" s="17" t="s">
        <v>58</v>
      </c>
      <c r="CC23" s="17" t="s">
        <v>577</v>
      </c>
      <c r="CD23" s="17" t="s">
        <v>62</v>
      </c>
      <c r="CE23" s="17" t="s">
        <v>111</v>
      </c>
      <c r="CF23" s="17" t="s">
        <v>1132</v>
      </c>
      <c r="CG23" s="17" t="s">
        <v>828</v>
      </c>
      <c r="CH23" s="17" t="s">
        <v>555</v>
      </c>
      <c r="CI23" s="23">
        <v>5239</v>
      </c>
      <c r="CJ23" s="23" t="b">
        <v>0</v>
      </c>
      <c r="CK23" s="23" t="b">
        <v>1</v>
      </c>
      <c r="CL23" s="23" t="b">
        <v>0</v>
      </c>
      <c r="CM23" s="23" t="b">
        <v>0</v>
      </c>
      <c r="CN23" s="23" t="b">
        <v>0</v>
      </c>
      <c r="CO23" s="23" t="s">
        <v>61</v>
      </c>
      <c r="CP23" s="50"/>
      <c r="CQ23" s="17" t="s">
        <v>196</v>
      </c>
      <c r="CR23" s="17" t="s">
        <v>57</v>
      </c>
      <c r="CT23" s="17" t="s">
        <v>196</v>
      </c>
      <c r="CU23" s="17" t="s">
        <v>83</v>
      </c>
      <c r="CW23" s="17" t="s">
        <v>148</v>
      </c>
      <c r="CX23" s="10" t="s">
        <v>136</v>
      </c>
      <c r="CY23" s="10"/>
      <c r="CZ23" s="17" t="s">
        <v>196</v>
      </c>
      <c r="DA23" s="24" t="s">
        <v>73</v>
      </c>
      <c r="DB23" s="24"/>
      <c r="DC23" s="17" t="s">
        <v>196</v>
      </c>
      <c r="DD23" s="17" t="s">
        <v>83</v>
      </c>
      <c r="DE23" s="24"/>
      <c r="DF23" s="17" t="s">
        <v>197</v>
      </c>
      <c r="DG23" s="24" t="s">
        <v>198</v>
      </c>
      <c r="DH23" s="24"/>
      <c r="DI23" s="17" t="s">
        <v>197</v>
      </c>
      <c r="DJ23" s="24" t="s">
        <v>178</v>
      </c>
      <c r="DK23" s="24"/>
      <c r="DL23" s="17" t="s">
        <v>197</v>
      </c>
      <c r="DM23" s="24" t="s">
        <v>64</v>
      </c>
      <c r="DN23" s="24"/>
      <c r="DP23" s="17" t="s">
        <v>197</v>
      </c>
      <c r="DQ23" s="26" t="s">
        <v>179</v>
      </c>
      <c r="DU23" s="17" t="s">
        <v>199</v>
      </c>
      <c r="DV23" s="17">
        <v>676</v>
      </c>
    </row>
    <row r="24" spans="1:129" ht="16.5" x14ac:dyDescent="0.25">
      <c r="A24" s="97"/>
      <c r="B24" s="97"/>
      <c r="C24" s="97"/>
      <c r="D24" s="97"/>
      <c r="E24" s="97"/>
      <c r="F24" s="97"/>
      <c r="G24" s="98"/>
      <c r="H24" s="97"/>
      <c r="I24" s="97"/>
      <c r="J24" s="97"/>
      <c r="K24" s="97"/>
      <c r="L24" s="97"/>
      <c r="M24" s="97"/>
      <c r="N24" s="97"/>
      <c r="O24" s="97"/>
      <c r="P24" s="97"/>
      <c r="Q24" s="100"/>
      <c r="R24" s="101"/>
      <c r="S24" s="99"/>
      <c r="T24" s="99"/>
      <c r="U24" s="97"/>
      <c r="V24" s="20" t="str">
        <f t="shared" si="1"/>
        <v/>
      </c>
      <c r="W24" s="20" t="str">
        <f t="shared" si="2"/>
        <v/>
      </c>
      <c r="X24" s="20" t="str">
        <f t="shared" si="3"/>
        <v/>
      </c>
      <c r="Y24" s="20" t="str">
        <f t="shared" si="4"/>
        <v/>
      </c>
      <c r="Z24" s="20" t="str">
        <f t="shared" si="5"/>
        <v/>
      </c>
      <c r="AA24" s="20" t="str">
        <f t="shared" si="6"/>
        <v/>
      </c>
      <c r="AB24" s="20" t="str">
        <f t="shared" si="7"/>
        <v/>
      </c>
      <c r="AC24" s="20" t="str">
        <f t="shared" si="8"/>
        <v/>
      </c>
      <c r="AD24" s="20" t="str">
        <f t="shared" si="9"/>
        <v/>
      </c>
      <c r="AE24" s="20" t="str">
        <f t="shared" si="10"/>
        <v/>
      </c>
      <c r="AF24" s="20" t="str">
        <f t="shared" si="11"/>
        <v/>
      </c>
      <c r="AG24" s="20" t="str">
        <f t="shared" si="12"/>
        <v/>
      </c>
      <c r="AH24" s="20" t="str">
        <f t="shared" si="13"/>
        <v/>
      </c>
      <c r="AI24" s="20" t="str">
        <f t="shared" si="14"/>
        <v/>
      </c>
      <c r="AJ24" s="20" t="str">
        <f t="shared" si="15"/>
        <v/>
      </c>
      <c r="AK24" s="20" t="str">
        <f t="shared" si="16"/>
        <v/>
      </c>
      <c r="AL24" s="20" t="str">
        <f t="shared" si="17"/>
        <v/>
      </c>
      <c r="AM24" s="20" t="str">
        <f t="shared" si="18"/>
        <v/>
      </c>
      <c r="AN24" s="20" t="str">
        <f t="shared" si="19"/>
        <v/>
      </c>
      <c r="AO24" s="20" t="str">
        <f t="shared" si="20"/>
        <v/>
      </c>
      <c r="AP24" s="20" t="str">
        <f t="shared" si="21"/>
        <v/>
      </c>
      <c r="AQ24" s="20" t="str">
        <f t="shared" si="22"/>
        <v/>
      </c>
      <c r="AR24" s="20" t="str">
        <f t="shared" si="23"/>
        <v/>
      </c>
      <c r="AS24" s="20" t="str">
        <f t="shared" si="24"/>
        <v/>
      </c>
      <c r="AT24" s="20" t="str">
        <f t="shared" si="25"/>
        <v/>
      </c>
      <c r="AU24" s="20" t="str">
        <f t="shared" si="26"/>
        <v/>
      </c>
      <c r="AV24" s="20" t="str">
        <f t="shared" si="27"/>
        <v/>
      </c>
      <c r="AW24" s="20" t="str">
        <f t="shared" si="28"/>
        <v/>
      </c>
      <c r="BC24" s="24" t="s">
        <v>1107</v>
      </c>
      <c r="BD24" s="17" t="s">
        <v>555</v>
      </c>
      <c r="BE24" s="17" t="s">
        <v>828</v>
      </c>
      <c r="BF24" s="17" t="s">
        <v>51</v>
      </c>
      <c r="BG24" s="17" t="s">
        <v>150</v>
      </c>
      <c r="BH24" s="17" t="s">
        <v>58</v>
      </c>
      <c r="BI24" s="17" t="s">
        <v>841</v>
      </c>
      <c r="BK24" s="18" t="s">
        <v>675</v>
      </c>
      <c r="BL24" s="18" t="s">
        <v>675</v>
      </c>
      <c r="BM24" s="18" t="s">
        <v>485</v>
      </c>
      <c r="BN24" s="18" t="s">
        <v>49</v>
      </c>
      <c r="BO24" s="17" t="s">
        <v>50</v>
      </c>
      <c r="BP24" s="17" t="s">
        <v>50</v>
      </c>
      <c r="BQ24" s="17" t="s">
        <v>51</v>
      </c>
      <c r="BR24" s="17" t="s">
        <v>989</v>
      </c>
      <c r="BS24" s="22" t="s">
        <v>52</v>
      </c>
      <c r="BU24" s="17" t="s">
        <v>70</v>
      </c>
      <c r="BX24" s="17">
        <v>805</v>
      </c>
      <c r="BY24" s="17">
        <v>196323</v>
      </c>
      <c r="CB24" s="17" t="s">
        <v>58</v>
      </c>
      <c r="CC24" s="17" t="s">
        <v>577</v>
      </c>
      <c r="CD24" s="17" t="s">
        <v>62</v>
      </c>
      <c r="CE24" s="17" t="s">
        <v>111</v>
      </c>
      <c r="CF24" s="17" t="s">
        <v>1132</v>
      </c>
      <c r="CG24" s="17" t="s">
        <v>828</v>
      </c>
      <c r="CH24" s="17" t="s">
        <v>555</v>
      </c>
      <c r="CI24" s="23">
        <v>5239</v>
      </c>
      <c r="CJ24" s="23" t="b">
        <v>0</v>
      </c>
      <c r="CK24" s="23" t="b">
        <v>0</v>
      </c>
      <c r="CL24" s="23" t="b">
        <v>1</v>
      </c>
      <c r="CM24" s="23" t="b">
        <v>0</v>
      </c>
      <c r="CN24" s="23" t="b">
        <v>0</v>
      </c>
      <c r="CO24" s="23" t="s">
        <v>61</v>
      </c>
      <c r="CP24" s="50"/>
      <c r="CQ24" s="24" t="s">
        <v>202</v>
      </c>
      <c r="CR24" s="17" t="s">
        <v>127</v>
      </c>
      <c r="CT24" s="24" t="s">
        <v>202</v>
      </c>
      <c r="CU24" s="17" t="s">
        <v>58</v>
      </c>
      <c r="CW24" s="24" t="s">
        <v>157</v>
      </c>
      <c r="CX24" s="10" t="s">
        <v>144</v>
      </c>
      <c r="CY24" s="10"/>
      <c r="CZ24" s="24" t="s">
        <v>202</v>
      </c>
      <c r="DA24" s="24" t="s">
        <v>61</v>
      </c>
      <c r="DB24" s="24"/>
      <c r="DC24" s="24" t="s">
        <v>202</v>
      </c>
      <c r="DD24" s="17" t="s">
        <v>58</v>
      </c>
      <c r="DE24" s="24"/>
      <c r="DF24" s="17" t="s">
        <v>203</v>
      </c>
      <c r="DG24" s="24" t="s">
        <v>74</v>
      </c>
      <c r="DH24" s="24"/>
      <c r="DI24" s="17" t="s">
        <v>203</v>
      </c>
      <c r="DJ24" s="24" t="s">
        <v>204</v>
      </c>
      <c r="DK24" s="24"/>
      <c r="DL24" s="17" t="s">
        <v>203</v>
      </c>
      <c r="DM24" t="s">
        <v>98</v>
      </c>
      <c r="DN24" s="24"/>
      <c r="DP24" s="17" t="s">
        <v>203</v>
      </c>
      <c r="DQ24" s="26" t="s">
        <v>205</v>
      </c>
      <c r="DR24" s="26"/>
      <c r="DS24" s="26"/>
      <c r="DU24" s="17" t="s">
        <v>206</v>
      </c>
      <c r="DV24" s="17">
        <v>172</v>
      </c>
    </row>
    <row r="25" spans="1:129" ht="16.5" x14ac:dyDescent="0.25">
      <c r="A25" s="97"/>
      <c r="B25" s="97"/>
      <c r="C25" s="97"/>
      <c r="D25" s="97"/>
      <c r="E25" s="97"/>
      <c r="F25" s="97"/>
      <c r="G25" s="98"/>
      <c r="H25" s="97"/>
      <c r="I25" s="97"/>
      <c r="J25" s="97"/>
      <c r="K25" s="97"/>
      <c r="L25" s="97"/>
      <c r="M25" s="97"/>
      <c r="N25" s="97"/>
      <c r="O25" s="97"/>
      <c r="P25" s="97"/>
      <c r="Q25" s="100"/>
      <c r="R25" s="101"/>
      <c r="S25" s="99"/>
      <c r="T25" s="99"/>
      <c r="U25" s="97"/>
      <c r="V25" s="20" t="str">
        <f t="shared" si="1"/>
        <v/>
      </c>
      <c r="W25" s="20" t="str">
        <f t="shared" si="2"/>
        <v/>
      </c>
      <c r="X25" s="20" t="str">
        <f t="shared" si="3"/>
        <v/>
      </c>
      <c r="Y25" s="20" t="str">
        <f t="shared" si="4"/>
        <v/>
      </c>
      <c r="Z25" s="20" t="str">
        <f t="shared" si="5"/>
        <v/>
      </c>
      <c r="AA25" s="20" t="str">
        <f t="shared" si="6"/>
        <v/>
      </c>
      <c r="AB25" s="20" t="str">
        <f t="shared" si="7"/>
        <v/>
      </c>
      <c r="AC25" s="20" t="str">
        <f t="shared" si="8"/>
        <v/>
      </c>
      <c r="AD25" s="20" t="str">
        <f t="shared" si="9"/>
        <v/>
      </c>
      <c r="AE25" s="20" t="str">
        <f t="shared" si="10"/>
        <v/>
      </c>
      <c r="AF25" s="20" t="str">
        <f t="shared" si="11"/>
        <v/>
      </c>
      <c r="AG25" s="20" t="str">
        <f t="shared" si="12"/>
        <v/>
      </c>
      <c r="AH25" s="20" t="str">
        <f t="shared" si="13"/>
        <v/>
      </c>
      <c r="AI25" s="20" t="str">
        <f t="shared" si="14"/>
        <v/>
      </c>
      <c r="AJ25" s="20" t="str">
        <f t="shared" si="15"/>
        <v/>
      </c>
      <c r="AK25" s="20" t="str">
        <f t="shared" si="16"/>
        <v/>
      </c>
      <c r="AL25" s="20" t="str">
        <f t="shared" si="17"/>
        <v/>
      </c>
      <c r="AM25" s="20" t="str">
        <f t="shared" si="18"/>
        <v/>
      </c>
      <c r="AN25" s="20" t="str">
        <f t="shared" si="19"/>
        <v/>
      </c>
      <c r="AO25" s="20" t="str">
        <f t="shared" si="20"/>
        <v/>
      </c>
      <c r="AP25" s="20" t="str">
        <f t="shared" si="21"/>
        <v/>
      </c>
      <c r="AQ25" s="20" t="str">
        <f t="shared" si="22"/>
        <v/>
      </c>
      <c r="AR25" s="20" t="str">
        <f t="shared" si="23"/>
        <v/>
      </c>
      <c r="AS25" s="20" t="str">
        <f t="shared" si="24"/>
        <v/>
      </c>
      <c r="AT25" s="20" t="str">
        <f t="shared" si="25"/>
        <v/>
      </c>
      <c r="AU25" s="20" t="str">
        <f t="shared" si="26"/>
        <v/>
      </c>
      <c r="AV25" s="20" t="str">
        <f t="shared" si="27"/>
        <v/>
      </c>
      <c r="AW25" s="20" t="str">
        <f t="shared" si="28"/>
        <v/>
      </c>
      <c r="BC25" s="97" t="s">
        <v>931</v>
      </c>
      <c r="BD25" s="17" t="s">
        <v>555</v>
      </c>
      <c r="BE25" s="17" t="s">
        <v>828</v>
      </c>
      <c r="BF25" s="17" t="s">
        <v>51</v>
      </c>
      <c r="BG25" s="17" t="s">
        <v>595</v>
      </c>
      <c r="BH25" s="17" t="s">
        <v>58</v>
      </c>
      <c r="BI25" s="17" t="s">
        <v>842</v>
      </c>
      <c r="BK25" s="80" t="s">
        <v>762</v>
      </c>
      <c r="BL25" s="80" t="s">
        <v>762</v>
      </c>
      <c r="BM25" s="18" t="s">
        <v>485</v>
      </c>
      <c r="BN25" s="18" t="s">
        <v>49</v>
      </c>
      <c r="BO25" s="17" t="s">
        <v>50</v>
      </c>
      <c r="BP25" s="17" t="s">
        <v>50</v>
      </c>
      <c r="BQ25" s="17" t="s">
        <v>51</v>
      </c>
      <c r="BR25" t="s">
        <v>991</v>
      </c>
      <c r="BS25" s="22" t="s">
        <v>715</v>
      </c>
      <c r="BT25" s="22"/>
      <c r="BU25" s="17" t="s">
        <v>70</v>
      </c>
      <c r="BX25" s="17">
        <v>735</v>
      </c>
      <c r="BY25" s="17">
        <v>196323</v>
      </c>
      <c r="CB25" s="17" t="s">
        <v>58</v>
      </c>
      <c r="CC25" s="17" t="s">
        <v>577</v>
      </c>
      <c r="CD25" s="17" t="s">
        <v>62</v>
      </c>
      <c r="CE25" s="17" t="s">
        <v>111</v>
      </c>
      <c r="CF25" s="17" t="s">
        <v>1132</v>
      </c>
      <c r="CG25" s="17" t="s">
        <v>828</v>
      </c>
      <c r="CH25" s="17" t="s">
        <v>555</v>
      </c>
      <c r="CI25" s="23">
        <v>5239</v>
      </c>
      <c r="CJ25" s="23" t="b">
        <v>1</v>
      </c>
      <c r="CK25" s="23" t="b">
        <v>0</v>
      </c>
      <c r="CL25" s="23" t="b">
        <v>0</v>
      </c>
      <c r="CM25" s="23" t="b">
        <v>0</v>
      </c>
      <c r="CN25" s="23" t="b">
        <v>0</v>
      </c>
      <c r="CO25" s="23" t="s">
        <v>61</v>
      </c>
      <c r="CP25" s="50"/>
      <c r="CQ25" s="24" t="s">
        <v>207</v>
      </c>
      <c r="CR25" s="17" t="s">
        <v>127</v>
      </c>
      <c r="CT25" s="24" t="s">
        <v>207</v>
      </c>
      <c r="CU25" s="17" t="s">
        <v>83</v>
      </c>
      <c r="CW25" s="24" t="s">
        <v>162</v>
      </c>
      <c r="CX25" s="10" t="s">
        <v>129</v>
      </c>
      <c r="CY25" s="10"/>
      <c r="CZ25" s="24" t="s">
        <v>207</v>
      </c>
      <c r="DA25" s="24" t="s">
        <v>61</v>
      </c>
      <c r="DB25" s="24"/>
      <c r="DC25" s="24" t="s">
        <v>207</v>
      </c>
      <c r="DD25" s="17" t="s">
        <v>83</v>
      </c>
      <c r="DE25" s="24"/>
      <c r="DF25" s="24" t="s">
        <v>208</v>
      </c>
      <c r="DG25" s="24" t="s">
        <v>74</v>
      </c>
      <c r="DH25" s="24"/>
      <c r="DI25" s="24" t="s">
        <v>208</v>
      </c>
      <c r="DJ25" s="24" t="s">
        <v>204</v>
      </c>
      <c r="DK25" s="24"/>
      <c r="DL25" s="24" t="s">
        <v>208</v>
      </c>
      <c r="DM25" t="s">
        <v>98</v>
      </c>
      <c r="DN25" s="24"/>
      <c r="DP25" s="24" t="s">
        <v>208</v>
      </c>
      <c r="DQ25" s="26" t="s">
        <v>205</v>
      </c>
      <c r="DR25" s="26"/>
      <c r="DS25" s="26"/>
      <c r="DU25" s="17" t="s">
        <v>209</v>
      </c>
      <c r="DV25" s="17">
        <v>677</v>
      </c>
    </row>
    <row r="26" spans="1:129" ht="16.5" x14ac:dyDescent="0.25">
      <c r="A26" s="97"/>
      <c r="B26" s="97"/>
      <c r="C26" s="97"/>
      <c r="D26" s="97"/>
      <c r="E26" s="97"/>
      <c r="F26" s="97"/>
      <c r="G26" s="98"/>
      <c r="H26" s="97"/>
      <c r="I26" s="97"/>
      <c r="J26" s="97"/>
      <c r="K26" s="97"/>
      <c r="L26" s="97"/>
      <c r="M26" s="97"/>
      <c r="N26" s="97"/>
      <c r="O26" s="97"/>
      <c r="P26" s="97"/>
      <c r="Q26" s="100"/>
      <c r="R26" s="101"/>
      <c r="S26" s="99"/>
      <c r="T26" s="99"/>
      <c r="U26" s="97"/>
      <c r="V26" s="20" t="str">
        <f t="shared" si="1"/>
        <v/>
      </c>
      <c r="W26" s="20" t="str">
        <f t="shared" si="2"/>
        <v/>
      </c>
      <c r="X26" s="20" t="str">
        <f t="shared" si="3"/>
        <v/>
      </c>
      <c r="Y26" s="20" t="str">
        <f t="shared" si="4"/>
        <v/>
      </c>
      <c r="Z26" s="20" t="str">
        <f t="shared" si="5"/>
        <v/>
      </c>
      <c r="AA26" s="20" t="str">
        <f t="shared" si="6"/>
        <v/>
      </c>
      <c r="AB26" s="20" t="str">
        <f t="shared" si="7"/>
        <v/>
      </c>
      <c r="AC26" s="20" t="str">
        <f t="shared" si="8"/>
        <v/>
      </c>
      <c r="AD26" s="20" t="str">
        <f t="shared" si="9"/>
        <v/>
      </c>
      <c r="AE26" s="20" t="str">
        <f t="shared" si="10"/>
        <v/>
      </c>
      <c r="AF26" s="20" t="str">
        <f t="shared" si="11"/>
        <v/>
      </c>
      <c r="AG26" s="20" t="str">
        <f t="shared" si="12"/>
        <v/>
      </c>
      <c r="AH26" s="20" t="str">
        <f t="shared" si="13"/>
        <v/>
      </c>
      <c r="AI26" s="20" t="str">
        <f t="shared" si="14"/>
        <v/>
      </c>
      <c r="AJ26" s="20" t="str">
        <f t="shared" si="15"/>
        <v/>
      </c>
      <c r="AK26" s="20" t="str">
        <f t="shared" si="16"/>
        <v/>
      </c>
      <c r="AL26" s="20" t="str">
        <f t="shared" si="17"/>
        <v/>
      </c>
      <c r="AM26" s="20" t="str">
        <f t="shared" si="18"/>
        <v/>
      </c>
      <c r="AN26" s="20" t="str">
        <f t="shared" si="19"/>
        <v/>
      </c>
      <c r="AO26" s="20" t="str">
        <f t="shared" si="20"/>
        <v/>
      </c>
      <c r="AP26" s="20" t="str">
        <f t="shared" si="21"/>
        <v/>
      </c>
      <c r="AQ26" s="20" t="str">
        <f t="shared" si="22"/>
        <v/>
      </c>
      <c r="AR26" s="20" t="str">
        <f t="shared" si="23"/>
        <v/>
      </c>
      <c r="AS26" s="20" t="str">
        <f t="shared" si="24"/>
        <v/>
      </c>
      <c r="AT26" s="20" t="str">
        <f t="shared" si="25"/>
        <v/>
      </c>
      <c r="AU26" s="20" t="str">
        <f t="shared" si="26"/>
        <v/>
      </c>
      <c r="AV26" s="20" t="str">
        <f t="shared" si="27"/>
        <v/>
      </c>
      <c r="AW26" s="20" t="str">
        <f t="shared" si="28"/>
        <v/>
      </c>
      <c r="BC26" s="17" t="s">
        <v>932</v>
      </c>
      <c r="BD26" s="17" t="s">
        <v>555</v>
      </c>
      <c r="BE26" s="17" t="s">
        <v>828</v>
      </c>
      <c r="BF26" s="17" t="s">
        <v>103</v>
      </c>
      <c r="BG26" s="17" t="s">
        <v>596</v>
      </c>
      <c r="BH26" s="17" t="s">
        <v>147</v>
      </c>
      <c r="BI26" s="17" t="s">
        <v>843</v>
      </c>
      <c r="BK26" s="18" t="s">
        <v>554</v>
      </c>
      <c r="BL26" s="18" t="s">
        <v>554</v>
      </c>
      <c r="BM26" s="18" t="s">
        <v>330</v>
      </c>
      <c r="BN26" s="18" t="s">
        <v>49</v>
      </c>
      <c r="BO26" s="17" t="s">
        <v>74</v>
      </c>
      <c r="BP26" s="17" t="s">
        <v>103</v>
      </c>
      <c r="BQ26" s="17" t="s">
        <v>104</v>
      </c>
      <c r="BS26" s="22" t="s">
        <v>52</v>
      </c>
      <c r="BT26" s="22"/>
      <c r="BU26" s="17" t="s">
        <v>70</v>
      </c>
      <c r="BX26" s="17">
        <v>124</v>
      </c>
      <c r="BY26" s="17">
        <v>200145</v>
      </c>
      <c r="CB26" s="17" t="s">
        <v>83</v>
      </c>
      <c r="CC26" s="17" t="s">
        <v>568</v>
      </c>
      <c r="CD26" s="17" t="s">
        <v>578</v>
      </c>
      <c r="CE26" s="17" t="s">
        <v>111</v>
      </c>
      <c r="CF26" s="17" t="s">
        <v>1132</v>
      </c>
      <c r="CG26" s="17" t="s">
        <v>828</v>
      </c>
      <c r="CH26" s="17" t="s">
        <v>555</v>
      </c>
      <c r="CI26" s="23">
        <v>5239</v>
      </c>
      <c r="CJ26" s="23" t="b">
        <v>0</v>
      </c>
      <c r="CK26" s="23" t="b">
        <v>0</v>
      </c>
      <c r="CL26" s="23" t="b">
        <v>0</v>
      </c>
      <c r="CM26" s="23" t="b">
        <v>1</v>
      </c>
      <c r="CN26" s="23" t="b">
        <v>0</v>
      </c>
      <c r="CO26" s="23" t="s">
        <v>61</v>
      </c>
      <c r="CP26" s="50"/>
      <c r="CQ26" s="24" t="s">
        <v>210</v>
      </c>
      <c r="CR26" s="17" t="s">
        <v>127</v>
      </c>
      <c r="CT26" s="24" t="s">
        <v>210</v>
      </c>
      <c r="CU26" s="17" t="s">
        <v>83</v>
      </c>
      <c r="CW26" s="24" t="s">
        <v>167</v>
      </c>
      <c r="CX26" s="10" t="s">
        <v>144</v>
      </c>
      <c r="CY26" s="10"/>
      <c r="CZ26" s="24" t="s">
        <v>210</v>
      </c>
      <c r="DA26" s="24" t="s">
        <v>61</v>
      </c>
      <c r="DB26" s="24"/>
      <c r="DC26" s="24" t="s">
        <v>210</v>
      </c>
      <c r="DD26" s="17" t="s">
        <v>83</v>
      </c>
      <c r="DE26" s="24"/>
      <c r="DF26" s="17" t="s">
        <v>211</v>
      </c>
      <c r="DG26" s="24" t="s">
        <v>212</v>
      </c>
      <c r="DH26" s="24"/>
      <c r="DI26" s="17" t="s">
        <v>211</v>
      </c>
      <c r="DJ26" s="24" t="s">
        <v>213</v>
      </c>
      <c r="DK26" s="24"/>
      <c r="DL26" s="17" t="s">
        <v>211</v>
      </c>
      <c r="DM26" s="32" t="s">
        <v>111</v>
      </c>
      <c r="DN26" s="24"/>
      <c r="DP26" s="17" t="s">
        <v>211</v>
      </c>
      <c r="DQ26" s="17">
        <v>4704</v>
      </c>
      <c r="DR26" s="28"/>
      <c r="DS26" s="28"/>
      <c r="DU26" s="17" t="s">
        <v>214</v>
      </c>
      <c r="DV26" s="17">
        <v>172</v>
      </c>
    </row>
    <row r="27" spans="1:129" ht="16.5" x14ac:dyDescent="0.25">
      <c r="A27" s="97"/>
      <c r="B27" s="97"/>
      <c r="C27" s="97"/>
      <c r="D27" s="97"/>
      <c r="E27" s="97"/>
      <c r="F27" s="97"/>
      <c r="G27" s="98"/>
      <c r="H27" s="97"/>
      <c r="I27" s="97"/>
      <c r="J27" s="97"/>
      <c r="K27" s="97"/>
      <c r="L27" s="97"/>
      <c r="M27" s="97"/>
      <c r="N27" s="97"/>
      <c r="O27" s="97"/>
      <c r="P27" s="97"/>
      <c r="Q27" s="100"/>
      <c r="R27" s="101"/>
      <c r="S27" s="99"/>
      <c r="T27" s="99"/>
      <c r="U27" s="97"/>
      <c r="V27" s="20" t="str">
        <f t="shared" si="1"/>
        <v/>
      </c>
      <c r="W27" s="20" t="str">
        <f t="shared" si="2"/>
        <v/>
      </c>
      <c r="X27" s="20" t="str">
        <f t="shared" si="3"/>
        <v/>
      </c>
      <c r="Y27" s="20" t="str">
        <f t="shared" si="4"/>
        <v/>
      </c>
      <c r="Z27" s="20" t="str">
        <f t="shared" si="5"/>
        <v/>
      </c>
      <c r="AA27" s="20" t="str">
        <f t="shared" si="6"/>
        <v/>
      </c>
      <c r="AB27" s="20" t="str">
        <f t="shared" si="7"/>
        <v/>
      </c>
      <c r="AC27" s="20" t="str">
        <f t="shared" si="8"/>
        <v/>
      </c>
      <c r="AD27" s="20" t="str">
        <f t="shared" si="9"/>
        <v/>
      </c>
      <c r="AE27" s="20" t="str">
        <f t="shared" si="10"/>
        <v/>
      </c>
      <c r="AF27" s="20" t="str">
        <f t="shared" si="11"/>
        <v/>
      </c>
      <c r="AG27" s="20" t="str">
        <f t="shared" si="12"/>
        <v/>
      </c>
      <c r="AH27" s="20" t="str">
        <f t="shared" si="13"/>
        <v/>
      </c>
      <c r="AI27" s="20" t="str">
        <f t="shared" si="14"/>
        <v/>
      </c>
      <c r="AJ27" s="20" t="str">
        <f t="shared" si="15"/>
        <v/>
      </c>
      <c r="AK27" s="20" t="str">
        <f t="shared" si="16"/>
        <v/>
      </c>
      <c r="AL27" s="20" t="str">
        <f t="shared" si="17"/>
        <v/>
      </c>
      <c r="AM27" s="20" t="str">
        <f t="shared" si="18"/>
        <v/>
      </c>
      <c r="AN27" s="20" t="str">
        <f t="shared" si="19"/>
        <v/>
      </c>
      <c r="AO27" s="20" t="str">
        <f t="shared" si="20"/>
        <v/>
      </c>
      <c r="AP27" s="20" t="str">
        <f t="shared" si="21"/>
        <v/>
      </c>
      <c r="AQ27" s="20" t="str">
        <f t="shared" si="22"/>
        <v/>
      </c>
      <c r="AR27" s="20" t="str">
        <f t="shared" si="23"/>
        <v/>
      </c>
      <c r="AS27" s="20" t="str">
        <f t="shared" si="24"/>
        <v/>
      </c>
      <c r="AT27" s="20" t="str">
        <f t="shared" si="25"/>
        <v/>
      </c>
      <c r="AU27" s="20" t="str">
        <f t="shared" si="26"/>
        <v/>
      </c>
      <c r="AV27" s="20" t="str">
        <f t="shared" si="27"/>
        <v/>
      </c>
      <c r="AW27" s="20" t="str">
        <f t="shared" si="28"/>
        <v/>
      </c>
      <c r="BC27" s="17" t="s">
        <v>713</v>
      </c>
      <c r="BD27" s="17" t="s">
        <v>555</v>
      </c>
      <c r="BE27" s="17" t="s">
        <v>828</v>
      </c>
      <c r="BF27" s="17" t="s">
        <v>103</v>
      </c>
      <c r="BG27" s="17" t="s">
        <v>596</v>
      </c>
      <c r="BH27" s="17" t="s">
        <v>92</v>
      </c>
      <c r="BI27" s="17" t="s">
        <v>844</v>
      </c>
      <c r="BK27" s="18" t="s">
        <v>553</v>
      </c>
      <c r="BL27" s="18" t="s">
        <v>553</v>
      </c>
      <c r="BM27" s="18" t="s">
        <v>486</v>
      </c>
      <c r="BN27" s="18" t="s">
        <v>49</v>
      </c>
      <c r="BO27" s="17" t="s">
        <v>74</v>
      </c>
      <c r="BP27" s="17" t="s">
        <v>103</v>
      </c>
      <c r="BQ27" s="17" t="s">
        <v>104</v>
      </c>
      <c r="BR27" s="17" t="s">
        <v>992</v>
      </c>
      <c r="BS27" s="22" t="s">
        <v>52</v>
      </c>
      <c r="BT27" s="22"/>
      <c r="BU27" s="17" t="s">
        <v>70</v>
      </c>
      <c r="BX27" s="17">
        <v>124</v>
      </c>
      <c r="BY27" s="17">
        <v>200145</v>
      </c>
      <c r="CB27" s="17" t="s">
        <v>83</v>
      </c>
      <c r="CC27" s="17" t="s">
        <v>568</v>
      </c>
      <c r="CD27" s="17" t="s">
        <v>578</v>
      </c>
      <c r="CE27" s="17" t="s">
        <v>111</v>
      </c>
      <c r="CF27" s="17" t="s">
        <v>1132</v>
      </c>
      <c r="CG27" s="17" t="s">
        <v>828</v>
      </c>
      <c r="CH27" s="17" t="s">
        <v>555</v>
      </c>
      <c r="CI27" s="23">
        <v>5239</v>
      </c>
      <c r="CJ27" s="23" t="b">
        <v>0</v>
      </c>
      <c r="CK27" s="23" t="b">
        <v>0</v>
      </c>
      <c r="CL27" s="23" t="b">
        <v>0</v>
      </c>
      <c r="CM27" s="23" t="b">
        <v>1</v>
      </c>
      <c r="CN27" s="23" t="b">
        <v>0</v>
      </c>
      <c r="CO27" s="23" t="s">
        <v>61</v>
      </c>
      <c r="CP27" s="50"/>
      <c r="CQ27" s="24" t="s">
        <v>216</v>
      </c>
      <c r="CR27" s="17" t="s">
        <v>127</v>
      </c>
      <c r="CT27" s="24" t="s">
        <v>216</v>
      </c>
      <c r="CU27" s="17" t="s">
        <v>58</v>
      </c>
      <c r="CW27" s="17" t="s">
        <v>172</v>
      </c>
      <c r="CX27" s="10" t="s">
        <v>144</v>
      </c>
      <c r="CY27" s="10"/>
      <c r="CZ27" s="24" t="s">
        <v>216</v>
      </c>
      <c r="DA27" s="24" t="s">
        <v>61</v>
      </c>
      <c r="DB27" s="24"/>
      <c r="DC27" s="24" t="s">
        <v>216</v>
      </c>
      <c r="DD27" s="17" t="s">
        <v>58</v>
      </c>
      <c r="DE27" s="24"/>
      <c r="DF27" s="17" t="s">
        <v>101</v>
      </c>
      <c r="DG27" s="24" t="s">
        <v>74</v>
      </c>
      <c r="DH27" s="24"/>
      <c r="DI27" s="17" t="s">
        <v>101</v>
      </c>
      <c r="DJ27" s="24" t="s">
        <v>217</v>
      </c>
      <c r="DK27" s="24"/>
      <c r="DL27" s="17" t="s">
        <v>101</v>
      </c>
      <c r="DM27" t="s">
        <v>98</v>
      </c>
      <c r="DN27" s="24"/>
      <c r="DP27" s="17" t="s">
        <v>101</v>
      </c>
      <c r="DQ27" s="28">
        <v>8352</v>
      </c>
      <c r="DR27" s="28"/>
      <c r="DS27" s="28"/>
      <c r="DU27" s="17" t="s">
        <v>218</v>
      </c>
      <c r="DV27" s="17">
        <v>733</v>
      </c>
    </row>
    <row r="28" spans="1:129" ht="16.5" x14ac:dyDescent="0.25">
      <c r="A28" s="97"/>
      <c r="B28" s="97"/>
      <c r="C28" s="97"/>
      <c r="D28" s="97"/>
      <c r="E28" s="97"/>
      <c r="F28" s="97"/>
      <c r="G28" s="98"/>
      <c r="H28" s="97"/>
      <c r="I28" s="97"/>
      <c r="J28" s="97"/>
      <c r="K28" s="97"/>
      <c r="L28" s="97"/>
      <c r="M28" s="97"/>
      <c r="N28" s="97"/>
      <c r="O28" s="97"/>
      <c r="P28" s="97"/>
      <c r="Q28" s="100"/>
      <c r="R28" s="101"/>
      <c r="S28" s="99"/>
      <c r="T28" s="99"/>
      <c r="U28" s="97"/>
      <c r="V28" s="20" t="str">
        <f t="shared" si="1"/>
        <v/>
      </c>
      <c r="W28" s="20" t="str">
        <f t="shared" si="2"/>
        <v/>
      </c>
      <c r="X28" s="20" t="str">
        <f t="shared" si="3"/>
        <v/>
      </c>
      <c r="Y28" s="20" t="str">
        <f t="shared" si="4"/>
        <v/>
      </c>
      <c r="Z28" s="20" t="str">
        <f t="shared" si="5"/>
        <v/>
      </c>
      <c r="AA28" s="20" t="str">
        <f t="shared" si="6"/>
        <v/>
      </c>
      <c r="AB28" s="20" t="str">
        <f t="shared" si="7"/>
        <v/>
      </c>
      <c r="AC28" s="20" t="str">
        <f t="shared" si="8"/>
        <v/>
      </c>
      <c r="AD28" s="20" t="str">
        <f t="shared" si="9"/>
        <v/>
      </c>
      <c r="AE28" s="20" t="str">
        <f t="shared" si="10"/>
        <v/>
      </c>
      <c r="AF28" s="20" t="str">
        <f t="shared" si="11"/>
        <v/>
      </c>
      <c r="AG28" s="20" t="str">
        <f t="shared" si="12"/>
        <v/>
      </c>
      <c r="AH28" s="20" t="str">
        <f t="shared" si="13"/>
        <v/>
      </c>
      <c r="AI28" s="20" t="str">
        <f t="shared" si="14"/>
        <v/>
      </c>
      <c r="AJ28" s="20" t="str">
        <f t="shared" si="15"/>
        <v/>
      </c>
      <c r="AK28" s="20" t="str">
        <f t="shared" si="16"/>
        <v/>
      </c>
      <c r="AL28" s="20" t="str">
        <f t="shared" si="17"/>
        <v/>
      </c>
      <c r="AM28" s="20" t="str">
        <f t="shared" si="18"/>
        <v/>
      </c>
      <c r="AN28" s="20" t="str">
        <f t="shared" si="19"/>
        <v/>
      </c>
      <c r="AO28" s="20" t="str">
        <f t="shared" si="20"/>
        <v/>
      </c>
      <c r="AP28" s="20" t="str">
        <f t="shared" si="21"/>
        <v/>
      </c>
      <c r="AQ28" s="20" t="str">
        <f t="shared" si="22"/>
        <v/>
      </c>
      <c r="AR28" s="20" t="str">
        <f t="shared" si="23"/>
        <v/>
      </c>
      <c r="AS28" s="20" t="str">
        <f t="shared" si="24"/>
        <v/>
      </c>
      <c r="AT28" s="20" t="str">
        <f t="shared" si="25"/>
        <v/>
      </c>
      <c r="AU28" s="20" t="str">
        <f t="shared" si="26"/>
        <v/>
      </c>
      <c r="AV28" s="20" t="str">
        <f t="shared" si="27"/>
        <v/>
      </c>
      <c r="AW28" s="20" t="str">
        <f t="shared" si="28"/>
        <v/>
      </c>
      <c r="BC28" s="17" t="s">
        <v>327</v>
      </c>
      <c r="BD28" s="17" t="s">
        <v>555</v>
      </c>
      <c r="BE28" s="17" t="s">
        <v>828</v>
      </c>
      <c r="BF28" s="17" t="s">
        <v>103</v>
      </c>
      <c r="BG28" s="17" t="s">
        <v>127</v>
      </c>
      <c r="BH28" s="17" t="s">
        <v>58</v>
      </c>
      <c r="BI28" s="17" t="s">
        <v>845</v>
      </c>
      <c r="BK28" s="79" t="s">
        <v>552</v>
      </c>
      <c r="BL28" s="79" t="s">
        <v>552</v>
      </c>
      <c r="BM28" s="18" t="s">
        <v>485</v>
      </c>
      <c r="BN28" s="18" t="s">
        <v>49</v>
      </c>
      <c r="BO28" s="17" t="s">
        <v>74</v>
      </c>
      <c r="BP28" s="17" t="s">
        <v>103</v>
      </c>
      <c r="BQ28" s="17" t="s">
        <v>104</v>
      </c>
      <c r="BR28" s="17" t="s">
        <v>992</v>
      </c>
      <c r="BS28" s="22" t="s">
        <v>52</v>
      </c>
      <c r="BT28" s="22"/>
      <c r="BU28" s="17" t="s">
        <v>70</v>
      </c>
      <c r="BX28" s="17">
        <v>808</v>
      </c>
      <c r="BY28" s="17">
        <v>200145</v>
      </c>
      <c r="CB28" s="17" t="s">
        <v>58</v>
      </c>
      <c r="CC28" s="17" t="s">
        <v>568</v>
      </c>
      <c r="CD28" s="17" t="s">
        <v>578</v>
      </c>
      <c r="CE28" s="17" t="s">
        <v>111</v>
      </c>
      <c r="CF28" s="17" t="s">
        <v>1132</v>
      </c>
      <c r="CG28" s="17" t="s">
        <v>828</v>
      </c>
      <c r="CH28" s="17" t="s">
        <v>555</v>
      </c>
      <c r="CI28" s="23">
        <v>5239</v>
      </c>
      <c r="CJ28" s="23" t="b">
        <v>0</v>
      </c>
      <c r="CK28" s="23" t="b">
        <v>1</v>
      </c>
      <c r="CL28" s="23" t="b">
        <v>0</v>
      </c>
      <c r="CM28" s="23" t="b">
        <v>0</v>
      </c>
      <c r="CN28" s="23" t="b">
        <v>0</v>
      </c>
      <c r="CO28" s="23" t="s">
        <v>61</v>
      </c>
      <c r="CP28" s="50"/>
      <c r="CQ28" s="24" t="s">
        <v>219</v>
      </c>
      <c r="CR28" s="17" t="s">
        <v>127</v>
      </c>
      <c r="CT28" s="24" t="s">
        <v>219</v>
      </c>
      <c r="CU28" s="17" t="s">
        <v>83</v>
      </c>
      <c r="CW28" s="17" t="s">
        <v>176</v>
      </c>
      <c r="CX28" s="10" t="s">
        <v>144</v>
      </c>
      <c r="CY28" s="10"/>
      <c r="CZ28" s="24" t="s">
        <v>219</v>
      </c>
      <c r="DA28" s="24" t="s">
        <v>61</v>
      </c>
      <c r="DB28" s="24"/>
      <c r="DC28" s="24" t="s">
        <v>219</v>
      </c>
      <c r="DD28" s="17" t="s">
        <v>83</v>
      </c>
      <c r="DE28" s="24"/>
      <c r="DF28" s="17" t="s">
        <v>114</v>
      </c>
      <c r="DG28" s="24" t="s">
        <v>120</v>
      </c>
      <c r="DH28" s="24"/>
      <c r="DI28" s="17" t="s">
        <v>114</v>
      </c>
      <c r="DJ28" s="24" t="s">
        <v>217</v>
      </c>
      <c r="DK28" s="24"/>
      <c r="DL28" s="17" t="s">
        <v>114</v>
      </c>
      <c r="DM28" t="s">
        <v>98</v>
      </c>
      <c r="DN28" s="24"/>
      <c r="DP28" s="17" t="s">
        <v>114</v>
      </c>
      <c r="DQ28" s="28">
        <v>8352</v>
      </c>
      <c r="DR28" s="28"/>
      <c r="DS28" s="28"/>
      <c r="DU28" s="17" t="s">
        <v>220</v>
      </c>
      <c r="DV28" s="17">
        <v>124</v>
      </c>
    </row>
    <row r="29" spans="1:129" ht="16.5" x14ac:dyDescent="0.25">
      <c r="A29" s="97"/>
      <c r="B29" s="97"/>
      <c r="C29" s="97"/>
      <c r="D29" s="97"/>
      <c r="E29" s="97"/>
      <c r="F29" s="97"/>
      <c r="G29" s="98"/>
      <c r="H29" s="97"/>
      <c r="I29" s="97"/>
      <c r="J29" s="97"/>
      <c r="K29" s="97"/>
      <c r="L29" s="97"/>
      <c r="M29" s="97"/>
      <c r="N29" s="97"/>
      <c r="O29" s="97"/>
      <c r="P29" s="97"/>
      <c r="Q29" s="100"/>
      <c r="R29" s="101"/>
      <c r="S29" s="99"/>
      <c r="T29" s="99"/>
      <c r="U29" s="97"/>
      <c r="V29" s="20" t="str">
        <f t="shared" si="1"/>
        <v/>
      </c>
      <c r="W29" s="20" t="str">
        <f t="shared" si="2"/>
        <v/>
      </c>
      <c r="X29" s="20" t="str">
        <f t="shared" si="3"/>
        <v/>
      </c>
      <c r="Y29" s="20" t="str">
        <f t="shared" si="4"/>
        <v/>
      </c>
      <c r="Z29" s="20" t="str">
        <f t="shared" si="5"/>
        <v/>
      </c>
      <c r="AA29" s="20" t="str">
        <f t="shared" si="6"/>
        <v/>
      </c>
      <c r="AB29" s="20" t="str">
        <f t="shared" si="7"/>
        <v/>
      </c>
      <c r="AC29" s="20" t="str">
        <f t="shared" si="8"/>
        <v/>
      </c>
      <c r="AD29" s="20" t="str">
        <f t="shared" si="9"/>
        <v/>
      </c>
      <c r="AE29" s="20" t="str">
        <f t="shared" si="10"/>
        <v/>
      </c>
      <c r="AF29" s="20" t="str">
        <f t="shared" si="11"/>
        <v/>
      </c>
      <c r="AG29" s="20" t="str">
        <f t="shared" si="12"/>
        <v/>
      </c>
      <c r="AH29" s="20" t="str">
        <f t="shared" si="13"/>
        <v/>
      </c>
      <c r="AI29" s="20" t="str">
        <f t="shared" si="14"/>
        <v/>
      </c>
      <c r="AJ29" s="20" t="str">
        <f t="shared" si="15"/>
        <v/>
      </c>
      <c r="AK29" s="20" t="str">
        <f t="shared" si="16"/>
        <v/>
      </c>
      <c r="AL29" s="20" t="str">
        <f t="shared" si="17"/>
        <v/>
      </c>
      <c r="AM29" s="20" t="str">
        <f t="shared" si="18"/>
        <v/>
      </c>
      <c r="AN29" s="20" t="str">
        <f t="shared" si="19"/>
        <v/>
      </c>
      <c r="AO29" s="20" t="str">
        <f t="shared" si="20"/>
        <v/>
      </c>
      <c r="AP29" s="20" t="str">
        <f t="shared" si="21"/>
        <v/>
      </c>
      <c r="AQ29" s="20" t="str">
        <f t="shared" si="22"/>
        <v/>
      </c>
      <c r="AR29" s="20" t="str">
        <f t="shared" si="23"/>
        <v/>
      </c>
      <c r="AS29" s="20" t="str">
        <f t="shared" si="24"/>
        <v/>
      </c>
      <c r="AT29" s="20" t="str">
        <f t="shared" si="25"/>
        <v/>
      </c>
      <c r="AU29" s="20" t="str">
        <f t="shared" si="26"/>
        <v/>
      </c>
      <c r="AV29" s="20" t="str">
        <f t="shared" si="27"/>
        <v/>
      </c>
      <c r="AW29" s="20" t="str">
        <f t="shared" si="28"/>
        <v/>
      </c>
      <c r="BC29" s="17" t="s">
        <v>598</v>
      </c>
      <c r="BD29" s="17" t="s">
        <v>555</v>
      </c>
      <c r="BE29" s="17" t="s">
        <v>828</v>
      </c>
      <c r="BF29" s="17" t="s">
        <v>103</v>
      </c>
      <c r="BG29" s="17" t="s">
        <v>150</v>
      </c>
      <c r="BH29" s="17" t="s">
        <v>58</v>
      </c>
      <c r="BI29" s="17" t="s">
        <v>846</v>
      </c>
      <c r="BK29" s="18" t="s">
        <v>552</v>
      </c>
      <c r="BL29" s="18" t="s">
        <v>552</v>
      </c>
      <c r="BM29" s="18" t="s">
        <v>485</v>
      </c>
      <c r="BN29" s="18" t="s">
        <v>49</v>
      </c>
      <c r="BO29" s="17" t="s">
        <v>74</v>
      </c>
      <c r="BP29" s="17" t="s">
        <v>103</v>
      </c>
      <c r="BQ29" s="17" t="s">
        <v>104</v>
      </c>
      <c r="BR29" s="17" t="s">
        <v>992</v>
      </c>
      <c r="BS29" s="22" t="s">
        <v>52</v>
      </c>
      <c r="BT29" s="22"/>
      <c r="BU29" s="17" t="s">
        <v>70</v>
      </c>
      <c r="BX29" s="17">
        <v>808</v>
      </c>
      <c r="BY29" s="17">
        <v>200145</v>
      </c>
      <c r="CB29" s="17" t="s">
        <v>58</v>
      </c>
      <c r="CC29" s="17" t="s">
        <v>568</v>
      </c>
      <c r="CD29" s="17" t="s">
        <v>578</v>
      </c>
      <c r="CE29" s="17" t="s">
        <v>111</v>
      </c>
      <c r="CF29" s="17" t="s">
        <v>1132</v>
      </c>
      <c r="CG29" s="17" t="s">
        <v>828</v>
      </c>
      <c r="CH29" s="17" t="s">
        <v>555</v>
      </c>
      <c r="CI29" s="23">
        <v>5239</v>
      </c>
      <c r="CJ29" s="23" t="b">
        <v>0</v>
      </c>
      <c r="CK29" s="23" t="b">
        <v>0</v>
      </c>
      <c r="CL29" s="23" t="b">
        <v>1</v>
      </c>
      <c r="CM29" s="23" t="b">
        <v>0</v>
      </c>
      <c r="CN29" s="23" t="b">
        <v>0</v>
      </c>
      <c r="CO29" s="23" t="s">
        <v>61</v>
      </c>
      <c r="CP29" s="50"/>
      <c r="CQ29" s="17" t="s">
        <v>223</v>
      </c>
      <c r="CR29" s="17" t="s">
        <v>57</v>
      </c>
      <c r="CT29" s="17" t="s">
        <v>223</v>
      </c>
      <c r="CU29" s="17" t="s">
        <v>58</v>
      </c>
      <c r="CW29" s="17" t="s">
        <v>182</v>
      </c>
      <c r="CX29" s="10" t="s">
        <v>144</v>
      </c>
      <c r="CY29" s="10"/>
      <c r="CZ29" s="17" t="s">
        <v>223</v>
      </c>
      <c r="DA29" s="24" t="s">
        <v>61</v>
      </c>
      <c r="DB29" s="24"/>
      <c r="DC29" s="17" t="s">
        <v>223</v>
      </c>
      <c r="DD29" s="17" t="s">
        <v>58</v>
      </c>
      <c r="DE29" s="24"/>
      <c r="DF29" s="17" t="s">
        <v>123</v>
      </c>
      <c r="DG29" s="24" t="s">
        <v>177</v>
      </c>
      <c r="DH29" s="24"/>
      <c r="DI29" s="17" t="s">
        <v>123</v>
      </c>
      <c r="DJ29" s="24" t="s">
        <v>224</v>
      </c>
      <c r="DK29" s="24"/>
      <c r="DL29" s="17" t="s">
        <v>123</v>
      </c>
      <c r="DM29" s="24" t="s">
        <v>64</v>
      </c>
      <c r="DN29" s="24"/>
      <c r="DP29" s="17" t="s">
        <v>123</v>
      </c>
      <c r="DQ29" s="28">
        <v>3993</v>
      </c>
      <c r="DR29" s="28"/>
      <c r="DS29" s="28"/>
      <c r="DU29" s="17" t="s">
        <v>225</v>
      </c>
      <c r="DV29" s="17">
        <v>732</v>
      </c>
    </row>
    <row r="30" spans="1:129" ht="16.5" x14ac:dyDescent="0.25">
      <c r="A30" s="97"/>
      <c r="B30" s="97"/>
      <c r="C30" s="97"/>
      <c r="D30" s="97"/>
      <c r="E30" s="97"/>
      <c r="F30" s="97"/>
      <c r="G30" s="98"/>
      <c r="H30" s="97"/>
      <c r="I30" s="97"/>
      <c r="J30" s="97"/>
      <c r="K30" s="97"/>
      <c r="L30" s="97"/>
      <c r="M30" s="97"/>
      <c r="N30" s="97"/>
      <c r="O30" s="97"/>
      <c r="P30" s="97"/>
      <c r="Q30" s="100"/>
      <c r="R30" s="101"/>
      <c r="S30" s="99"/>
      <c r="T30" s="99"/>
      <c r="U30" s="97"/>
      <c r="V30" s="20" t="str">
        <f t="shared" si="1"/>
        <v/>
      </c>
      <c r="W30" s="20" t="str">
        <f t="shared" si="2"/>
        <v/>
      </c>
      <c r="X30" s="20" t="str">
        <f t="shared" si="3"/>
        <v/>
      </c>
      <c r="Y30" s="20" t="str">
        <f t="shared" si="4"/>
        <v/>
      </c>
      <c r="Z30" s="20" t="str">
        <f t="shared" si="5"/>
        <v/>
      </c>
      <c r="AA30" s="20" t="str">
        <f t="shared" si="6"/>
        <v/>
      </c>
      <c r="AB30" s="20" t="str">
        <f t="shared" si="7"/>
        <v/>
      </c>
      <c r="AC30" s="20" t="str">
        <f t="shared" si="8"/>
        <v/>
      </c>
      <c r="AD30" s="20" t="str">
        <f t="shared" si="9"/>
        <v/>
      </c>
      <c r="AE30" s="20" t="str">
        <f t="shared" si="10"/>
        <v/>
      </c>
      <c r="AF30" s="20" t="str">
        <f t="shared" si="11"/>
        <v/>
      </c>
      <c r="AG30" s="20" t="str">
        <f t="shared" si="12"/>
        <v/>
      </c>
      <c r="AH30" s="20" t="str">
        <f t="shared" si="13"/>
        <v/>
      </c>
      <c r="AI30" s="20" t="str">
        <f t="shared" si="14"/>
        <v/>
      </c>
      <c r="AJ30" s="20" t="str">
        <f t="shared" si="15"/>
        <v/>
      </c>
      <c r="AK30" s="20" t="str">
        <f t="shared" si="16"/>
        <v/>
      </c>
      <c r="AL30" s="20" t="str">
        <f t="shared" si="17"/>
        <v/>
      </c>
      <c r="AM30" s="20" t="str">
        <f t="shared" si="18"/>
        <v/>
      </c>
      <c r="AN30" s="20" t="str">
        <f t="shared" si="19"/>
        <v/>
      </c>
      <c r="AO30" s="20" t="str">
        <f t="shared" si="20"/>
        <v/>
      </c>
      <c r="AP30" s="20" t="str">
        <f t="shared" si="21"/>
        <v/>
      </c>
      <c r="AQ30" s="20" t="str">
        <f t="shared" si="22"/>
        <v/>
      </c>
      <c r="AR30" s="20" t="str">
        <f t="shared" si="23"/>
        <v/>
      </c>
      <c r="AS30" s="20" t="str">
        <f t="shared" si="24"/>
        <v/>
      </c>
      <c r="AT30" s="20" t="str">
        <f t="shared" si="25"/>
        <v/>
      </c>
      <c r="AU30" s="20" t="str">
        <f t="shared" si="26"/>
        <v/>
      </c>
      <c r="AV30" s="20" t="str">
        <f t="shared" si="27"/>
        <v/>
      </c>
      <c r="AW30" s="20" t="str">
        <f t="shared" si="28"/>
        <v/>
      </c>
      <c r="AX30" s="36"/>
      <c r="AY30" s="36"/>
      <c r="AZ30" s="36"/>
      <c r="BB30" s="36"/>
      <c r="BC30" s="24" t="s">
        <v>305</v>
      </c>
      <c r="BD30" s="17" t="s">
        <v>555</v>
      </c>
      <c r="BE30" s="17" t="s">
        <v>828</v>
      </c>
      <c r="BF30" s="17" t="s">
        <v>103</v>
      </c>
      <c r="BG30" s="17" t="s">
        <v>595</v>
      </c>
      <c r="BH30" s="17" t="s">
        <v>58</v>
      </c>
      <c r="BI30" s="17" t="s">
        <v>847</v>
      </c>
      <c r="BK30" s="80" t="s">
        <v>764</v>
      </c>
      <c r="BL30" s="80" t="s">
        <v>764</v>
      </c>
      <c r="BM30" s="18" t="s">
        <v>485</v>
      </c>
      <c r="BN30" s="18" t="s">
        <v>49</v>
      </c>
      <c r="BO30" s="17" t="s">
        <v>74</v>
      </c>
      <c r="BP30" s="17" t="s">
        <v>103</v>
      </c>
      <c r="BQ30" s="17" t="s">
        <v>104</v>
      </c>
      <c r="BR30" t="s">
        <v>993</v>
      </c>
      <c r="BS30" s="22" t="s">
        <v>715</v>
      </c>
      <c r="BT30" s="22"/>
      <c r="BU30" s="17" t="s">
        <v>70</v>
      </c>
      <c r="BX30" s="17">
        <v>808</v>
      </c>
      <c r="BY30" s="17">
        <v>200145</v>
      </c>
      <c r="CB30" s="17" t="s">
        <v>58</v>
      </c>
      <c r="CC30" s="17" t="s">
        <v>568</v>
      </c>
      <c r="CD30" s="17" t="s">
        <v>578</v>
      </c>
      <c r="CE30" s="17" t="s">
        <v>111</v>
      </c>
      <c r="CF30" s="17" t="s">
        <v>1132</v>
      </c>
      <c r="CG30" s="17" t="s">
        <v>828</v>
      </c>
      <c r="CH30" s="17" t="s">
        <v>555</v>
      </c>
      <c r="CI30" s="23">
        <v>5239</v>
      </c>
      <c r="CJ30" s="23" t="b">
        <v>1</v>
      </c>
      <c r="CK30" s="23" t="b">
        <v>0</v>
      </c>
      <c r="CL30" s="23" t="b">
        <v>0</v>
      </c>
      <c r="CM30" s="23" t="b">
        <v>0</v>
      </c>
      <c r="CN30" s="23" t="b">
        <v>0</v>
      </c>
      <c r="CO30" s="23" t="s">
        <v>61</v>
      </c>
      <c r="CP30" s="50"/>
      <c r="CQ30" s="17" t="s">
        <v>226</v>
      </c>
      <c r="CR30" s="17" t="s">
        <v>57</v>
      </c>
      <c r="CT30" s="17" t="s">
        <v>226</v>
      </c>
      <c r="CU30" s="17" t="s">
        <v>83</v>
      </c>
      <c r="CW30" s="17" t="s">
        <v>187</v>
      </c>
      <c r="CX30" s="10" t="s">
        <v>144</v>
      </c>
      <c r="CY30" s="10"/>
      <c r="CZ30" s="17" t="s">
        <v>226</v>
      </c>
      <c r="DA30" s="24" t="s">
        <v>61</v>
      </c>
      <c r="DB30" s="24"/>
      <c r="DC30" s="17" t="s">
        <v>226</v>
      </c>
      <c r="DD30" s="17" t="s">
        <v>83</v>
      </c>
      <c r="DE30" s="24"/>
      <c r="DF30" s="17" t="s">
        <v>132</v>
      </c>
      <c r="DG30" s="24" t="s">
        <v>227</v>
      </c>
      <c r="DH30" s="24"/>
      <c r="DI30" s="17" t="s">
        <v>132</v>
      </c>
      <c r="DJ30" s="24" t="s">
        <v>228</v>
      </c>
      <c r="DK30" s="24"/>
      <c r="DL30" s="17" t="s">
        <v>132</v>
      </c>
      <c r="DM30" s="32" t="s">
        <v>111</v>
      </c>
      <c r="DN30" s="24"/>
      <c r="DP30" s="17" t="s">
        <v>132</v>
      </c>
      <c r="DQ30" s="17">
        <v>6726</v>
      </c>
      <c r="DR30" s="28"/>
      <c r="DS30" s="28"/>
      <c r="DU30" s="17" t="s">
        <v>229</v>
      </c>
      <c r="DV30" s="17">
        <v>124</v>
      </c>
    </row>
    <row r="31" spans="1:129" ht="15" customHeight="1" x14ac:dyDescent="0.25">
      <c r="A31" s="97"/>
      <c r="B31" s="97"/>
      <c r="C31" s="97"/>
      <c r="D31" s="97"/>
      <c r="E31" s="97"/>
      <c r="F31" s="97"/>
      <c r="G31" s="98"/>
      <c r="H31" s="97"/>
      <c r="I31" s="97"/>
      <c r="J31" s="97"/>
      <c r="K31" s="97"/>
      <c r="L31" s="97"/>
      <c r="M31" s="97"/>
      <c r="N31" s="97"/>
      <c r="O31" s="97"/>
      <c r="P31" s="97"/>
      <c r="Q31" s="100"/>
      <c r="R31" s="101"/>
      <c r="S31" s="99"/>
      <c r="T31" s="99"/>
      <c r="U31" s="97"/>
      <c r="V31" s="20" t="str">
        <f t="shared" si="1"/>
        <v/>
      </c>
      <c r="W31" s="20" t="str">
        <f t="shared" si="2"/>
        <v/>
      </c>
      <c r="X31" s="20" t="str">
        <f t="shared" si="3"/>
        <v/>
      </c>
      <c r="Y31" s="20" t="str">
        <f t="shared" si="4"/>
        <v/>
      </c>
      <c r="Z31" s="20" t="str">
        <f t="shared" si="5"/>
        <v/>
      </c>
      <c r="AA31" s="20" t="str">
        <f t="shared" si="6"/>
        <v/>
      </c>
      <c r="AB31" s="20" t="str">
        <f t="shared" si="7"/>
        <v/>
      </c>
      <c r="AC31" s="20" t="str">
        <f t="shared" si="8"/>
        <v/>
      </c>
      <c r="AD31" s="20" t="str">
        <f t="shared" si="9"/>
        <v/>
      </c>
      <c r="AE31" s="20" t="str">
        <f t="shared" si="10"/>
        <v/>
      </c>
      <c r="AF31" s="20" t="str">
        <f t="shared" si="11"/>
        <v/>
      </c>
      <c r="AG31" s="20" t="str">
        <f t="shared" si="12"/>
        <v/>
      </c>
      <c r="AH31" s="20" t="str">
        <f t="shared" si="13"/>
        <v/>
      </c>
      <c r="AI31" s="20" t="str">
        <f t="shared" si="14"/>
        <v/>
      </c>
      <c r="AJ31" s="20" t="str">
        <f t="shared" si="15"/>
        <v/>
      </c>
      <c r="AK31" s="20" t="str">
        <f t="shared" si="16"/>
        <v/>
      </c>
      <c r="AL31" s="20" t="str">
        <f t="shared" si="17"/>
        <v/>
      </c>
      <c r="AM31" s="20" t="str">
        <f t="shared" si="18"/>
        <v/>
      </c>
      <c r="AN31" s="20" t="str">
        <f t="shared" si="19"/>
        <v/>
      </c>
      <c r="AO31" s="20" t="str">
        <f t="shared" si="20"/>
        <v/>
      </c>
      <c r="AP31" s="20" t="str">
        <f t="shared" si="21"/>
        <v/>
      </c>
      <c r="AQ31" s="20" t="str">
        <f t="shared" si="22"/>
        <v/>
      </c>
      <c r="AR31" s="20" t="str">
        <f t="shared" si="23"/>
        <v/>
      </c>
      <c r="AS31" s="20" t="str">
        <f t="shared" si="24"/>
        <v/>
      </c>
      <c r="AT31" s="20" t="str">
        <f t="shared" si="25"/>
        <v/>
      </c>
      <c r="AU31" s="20" t="str">
        <f t="shared" si="26"/>
        <v/>
      </c>
      <c r="AV31" s="20" t="str">
        <f t="shared" si="27"/>
        <v/>
      </c>
      <c r="AW31" s="20" t="str">
        <f t="shared" si="28"/>
        <v/>
      </c>
      <c r="BC31" s="17" t="s">
        <v>599</v>
      </c>
      <c r="BD31" s="17" t="s">
        <v>137</v>
      </c>
      <c r="BE31" s="17" t="s">
        <v>828</v>
      </c>
      <c r="BF31" s="17" t="s">
        <v>201</v>
      </c>
      <c r="BG31" s="17" t="s">
        <v>596</v>
      </c>
      <c r="BH31" s="17" t="s">
        <v>147</v>
      </c>
      <c r="BI31" s="17" t="s">
        <v>848</v>
      </c>
      <c r="BJ31" s="94"/>
      <c r="BK31" s="79" t="s">
        <v>670</v>
      </c>
      <c r="BL31" s="79" t="s">
        <v>670</v>
      </c>
      <c r="BM31" s="18" t="s">
        <v>332</v>
      </c>
      <c r="BN31" s="18" t="s">
        <v>215</v>
      </c>
      <c r="BO31" s="17" t="s">
        <v>109</v>
      </c>
      <c r="BP31" s="17" t="s">
        <v>230</v>
      </c>
      <c r="BQ31" s="17" t="s">
        <v>201</v>
      </c>
      <c r="BS31" s="22" t="s">
        <v>52</v>
      </c>
      <c r="BT31" s="22"/>
      <c r="BU31" s="17" t="s">
        <v>70</v>
      </c>
      <c r="BW31" s="94"/>
      <c r="BX31" s="17">
        <v>124</v>
      </c>
      <c r="BY31" s="17">
        <v>195316</v>
      </c>
      <c r="CA31" s="94"/>
      <c r="CB31" s="17" t="s">
        <v>83</v>
      </c>
      <c r="CC31" s="17" t="s">
        <v>570</v>
      </c>
      <c r="CD31" s="17" t="s">
        <v>581</v>
      </c>
      <c r="CE31" s="17" t="s">
        <v>111</v>
      </c>
      <c r="CF31" s="17" t="s">
        <v>1132</v>
      </c>
      <c r="CG31" s="17" t="s">
        <v>828</v>
      </c>
      <c r="CH31" s="17" t="s">
        <v>137</v>
      </c>
      <c r="CI31" s="23">
        <v>5268</v>
      </c>
      <c r="CJ31" s="23" t="b">
        <v>0</v>
      </c>
      <c r="CK31" s="23" t="b">
        <v>0</v>
      </c>
      <c r="CL31" s="23" t="b">
        <v>0</v>
      </c>
      <c r="CM31" s="23" t="b">
        <v>1</v>
      </c>
      <c r="CN31" s="23" t="b">
        <v>0</v>
      </c>
      <c r="CO31" s="23" t="s">
        <v>61</v>
      </c>
      <c r="CP31" s="50"/>
      <c r="CQ31" s="24" t="s">
        <v>232</v>
      </c>
      <c r="CR31" s="17" t="s">
        <v>127</v>
      </c>
      <c r="CT31" s="24" t="s">
        <v>232</v>
      </c>
      <c r="CU31" s="17" t="s">
        <v>58</v>
      </c>
      <c r="CW31" s="17" t="s">
        <v>191</v>
      </c>
      <c r="CX31" s="10" t="s">
        <v>144</v>
      </c>
      <c r="CY31" s="10"/>
      <c r="CZ31" s="24" t="s">
        <v>232</v>
      </c>
      <c r="DA31" s="24" t="s">
        <v>61</v>
      </c>
      <c r="DB31" s="24"/>
      <c r="DC31" s="24" t="s">
        <v>232</v>
      </c>
      <c r="DD31" s="17" t="s">
        <v>58</v>
      </c>
      <c r="DE31" s="24"/>
      <c r="DF31" s="17" t="s">
        <v>231</v>
      </c>
      <c r="DG31" s="24" t="s">
        <v>86</v>
      </c>
      <c r="DH31" s="24"/>
      <c r="DI31" s="17" t="s">
        <v>231</v>
      </c>
      <c r="DJ31" s="24" t="s">
        <v>233</v>
      </c>
      <c r="DK31" s="24"/>
      <c r="DL31" s="17" t="s">
        <v>231</v>
      </c>
      <c r="DM31" s="32" t="s">
        <v>111</v>
      </c>
      <c r="DN31" s="24"/>
      <c r="DP31" s="17" t="s">
        <v>231</v>
      </c>
      <c r="DQ31" s="28">
        <v>9705</v>
      </c>
      <c r="DR31" s="28"/>
      <c r="DS31" s="28"/>
      <c r="DU31" s="17" t="s">
        <v>234</v>
      </c>
      <c r="DV31" s="17">
        <v>710</v>
      </c>
    </row>
    <row r="32" spans="1:129" ht="16.5" x14ac:dyDescent="0.25">
      <c r="A32" s="97"/>
      <c r="B32" s="97"/>
      <c r="C32" s="97"/>
      <c r="D32" s="97"/>
      <c r="E32" s="97"/>
      <c r="F32" s="97"/>
      <c r="G32" s="98"/>
      <c r="H32" s="97"/>
      <c r="I32" s="97"/>
      <c r="J32" s="97"/>
      <c r="K32" s="97"/>
      <c r="L32" s="97"/>
      <c r="M32" s="97"/>
      <c r="N32" s="97"/>
      <c r="O32" s="97"/>
      <c r="P32" s="97"/>
      <c r="Q32" s="100"/>
      <c r="R32" s="101"/>
      <c r="S32" s="99"/>
      <c r="T32" s="99"/>
      <c r="U32" s="97"/>
      <c r="V32" s="20" t="str">
        <f t="shared" si="1"/>
        <v/>
      </c>
      <c r="W32" s="20" t="str">
        <f t="shared" si="2"/>
        <v/>
      </c>
      <c r="X32" s="20" t="str">
        <f t="shared" si="3"/>
        <v/>
      </c>
      <c r="Y32" s="20" t="str">
        <f t="shared" si="4"/>
        <v/>
      </c>
      <c r="Z32" s="20" t="str">
        <f t="shared" si="5"/>
        <v/>
      </c>
      <c r="AA32" s="20" t="str">
        <f t="shared" si="6"/>
        <v/>
      </c>
      <c r="AB32" s="20" t="str">
        <f t="shared" si="7"/>
        <v/>
      </c>
      <c r="AC32" s="20" t="str">
        <f t="shared" si="8"/>
        <v/>
      </c>
      <c r="AD32" s="20" t="str">
        <f t="shared" si="9"/>
        <v/>
      </c>
      <c r="AE32" s="20" t="str">
        <f t="shared" si="10"/>
        <v/>
      </c>
      <c r="AF32" s="20" t="str">
        <f t="shared" si="11"/>
        <v/>
      </c>
      <c r="AG32" s="20" t="str">
        <f t="shared" si="12"/>
        <v/>
      </c>
      <c r="AH32" s="20" t="str">
        <f t="shared" si="13"/>
        <v/>
      </c>
      <c r="AI32" s="20" t="str">
        <f t="shared" si="14"/>
        <v/>
      </c>
      <c r="AJ32" s="20" t="str">
        <f t="shared" si="15"/>
        <v/>
      </c>
      <c r="AK32" s="20" t="str">
        <f t="shared" si="16"/>
        <v/>
      </c>
      <c r="AL32" s="20" t="str">
        <f t="shared" si="17"/>
        <v/>
      </c>
      <c r="AM32" s="20" t="str">
        <f t="shared" si="18"/>
        <v/>
      </c>
      <c r="AN32" s="20" t="str">
        <f t="shared" si="19"/>
        <v/>
      </c>
      <c r="AO32" s="20" t="str">
        <f t="shared" si="20"/>
        <v/>
      </c>
      <c r="AP32" s="20" t="str">
        <f t="shared" si="21"/>
        <v/>
      </c>
      <c r="AQ32" s="20" t="str">
        <f t="shared" si="22"/>
        <v/>
      </c>
      <c r="AR32" s="20" t="str">
        <f t="shared" si="23"/>
        <v/>
      </c>
      <c r="AS32" s="20" t="str">
        <f t="shared" si="24"/>
        <v/>
      </c>
      <c r="AT32" s="20" t="str">
        <f t="shared" si="25"/>
        <v/>
      </c>
      <c r="AU32" s="20" t="str">
        <f t="shared" si="26"/>
        <v/>
      </c>
      <c r="AV32" s="20" t="str">
        <f t="shared" si="27"/>
        <v/>
      </c>
      <c r="AW32" s="20" t="str">
        <f t="shared" si="28"/>
        <v/>
      </c>
      <c r="BC32" s="24" t="s">
        <v>1095</v>
      </c>
      <c r="BD32" s="17" t="s">
        <v>137</v>
      </c>
      <c r="BE32" s="17" t="s">
        <v>828</v>
      </c>
      <c r="BF32" s="17" t="s">
        <v>201</v>
      </c>
      <c r="BG32" s="17" t="s">
        <v>596</v>
      </c>
      <c r="BH32" s="17" t="s">
        <v>92</v>
      </c>
      <c r="BI32" s="17" t="s">
        <v>849</v>
      </c>
      <c r="BJ32" s="94"/>
      <c r="BK32" s="18" t="s">
        <v>672</v>
      </c>
      <c r="BL32" s="18" t="s">
        <v>672</v>
      </c>
      <c r="BM32" s="18" t="s">
        <v>490</v>
      </c>
      <c r="BN32" s="18" t="s">
        <v>215</v>
      </c>
      <c r="BO32" s="17" t="s">
        <v>109</v>
      </c>
      <c r="BP32" s="17" t="s">
        <v>230</v>
      </c>
      <c r="BQ32" s="17" t="s">
        <v>201</v>
      </c>
      <c r="BR32" s="17" t="s">
        <v>994</v>
      </c>
      <c r="BS32" s="22" t="s">
        <v>52</v>
      </c>
      <c r="BU32" s="17" t="s">
        <v>70</v>
      </c>
      <c r="BW32" s="94"/>
      <c r="BX32" s="17">
        <v>124</v>
      </c>
      <c r="BY32" s="17">
        <v>195316</v>
      </c>
      <c r="CA32" s="94"/>
      <c r="CB32" s="17" t="s">
        <v>83</v>
      </c>
      <c r="CC32" s="17" t="s">
        <v>570</v>
      </c>
      <c r="CD32" s="17" t="s">
        <v>581</v>
      </c>
      <c r="CE32" s="17" t="s">
        <v>111</v>
      </c>
      <c r="CF32" s="17" t="s">
        <v>1132</v>
      </c>
      <c r="CG32" s="17" t="s">
        <v>828</v>
      </c>
      <c r="CH32" s="17" t="s">
        <v>137</v>
      </c>
      <c r="CI32" s="23">
        <v>5268</v>
      </c>
      <c r="CJ32" s="23" t="b">
        <v>0</v>
      </c>
      <c r="CK32" s="23" t="b">
        <v>0</v>
      </c>
      <c r="CL32" s="23" t="b">
        <v>0</v>
      </c>
      <c r="CM32" s="23" t="b">
        <v>1</v>
      </c>
      <c r="CN32" s="23" t="b">
        <v>0</v>
      </c>
      <c r="CO32" s="23" t="s">
        <v>61</v>
      </c>
      <c r="CP32" s="51"/>
      <c r="CQ32" s="24" t="s">
        <v>236</v>
      </c>
      <c r="CR32" s="17" t="s">
        <v>127</v>
      </c>
      <c r="CT32" s="24" t="s">
        <v>236</v>
      </c>
      <c r="CU32" s="17" t="s">
        <v>83</v>
      </c>
      <c r="CW32" s="17" t="s">
        <v>193</v>
      </c>
      <c r="CX32" s="10" t="s">
        <v>144</v>
      </c>
      <c r="CY32" s="10"/>
      <c r="CZ32" s="24" t="s">
        <v>236</v>
      </c>
      <c r="DA32" s="24" t="s">
        <v>61</v>
      </c>
      <c r="DB32" s="24"/>
      <c r="DC32" s="24" t="s">
        <v>236</v>
      </c>
      <c r="DD32" s="17" t="s">
        <v>83</v>
      </c>
      <c r="DE32" s="24"/>
      <c r="DF32" s="17" t="s">
        <v>235</v>
      </c>
      <c r="DG32" s="17" t="s">
        <v>237</v>
      </c>
      <c r="DI32" s="17" t="s">
        <v>235</v>
      </c>
      <c r="DJ32" s="24" t="s">
        <v>233</v>
      </c>
      <c r="DK32" s="24"/>
      <c r="DL32" s="17" t="s">
        <v>235</v>
      </c>
      <c r="DM32" s="32" t="s">
        <v>111</v>
      </c>
      <c r="DN32" s="24"/>
      <c r="DP32" s="17" t="s">
        <v>235</v>
      </c>
      <c r="DQ32" s="28">
        <v>9705</v>
      </c>
      <c r="DR32" s="28"/>
      <c r="DS32" s="28"/>
      <c r="DU32" s="17" t="s">
        <v>238</v>
      </c>
      <c r="DV32" s="17">
        <v>711</v>
      </c>
    </row>
    <row r="33" spans="1:126" ht="16.5" x14ac:dyDescent="0.25">
      <c r="A33" s="97"/>
      <c r="B33" s="97"/>
      <c r="C33" s="97"/>
      <c r="D33" s="97"/>
      <c r="E33" s="97"/>
      <c r="F33" s="97"/>
      <c r="G33" s="98"/>
      <c r="H33" s="97"/>
      <c r="I33" s="97"/>
      <c r="J33" s="97"/>
      <c r="K33" s="97"/>
      <c r="L33" s="97"/>
      <c r="M33" s="97"/>
      <c r="N33" s="97"/>
      <c r="O33" s="97"/>
      <c r="P33" s="97"/>
      <c r="Q33" s="100"/>
      <c r="R33" s="101"/>
      <c r="S33" s="99"/>
      <c r="T33" s="99"/>
      <c r="U33" s="97"/>
      <c r="V33" s="20" t="str">
        <f t="shared" si="1"/>
        <v/>
      </c>
      <c r="W33" s="20" t="str">
        <f t="shared" si="2"/>
        <v/>
      </c>
      <c r="X33" s="20" t="str">
        <f t="shared" si="3"/>
        <v/>
      </c>
      <c r="Y33" s="20" t="str">
        <f t="shared" si="4"/>
        <v/>
      </c>
      <c r="Z33" s="20" t="str">
        <f t="shared" si="5"/>
        <v/>
      </c>
      <c r="AA33" s="20" t="str">
        <f t="shared" si="6"/>
        <v/>
      </c>
      <c r="AB33" s="20" t="str">
        <f t="shared" si="7"/>
        <v/>
      </c>
      <c r="AC33" s="20" t="str">
        <f t="shared" si="8"/>
        <v/>
      </c>
      <c r="AD33" s="20" t="str">
        <f t="shared" si="9"/>
        <v/>
      </c>
      <c r="AE33" s="20" t="str">
        <f t="shared" si="10"/>
        <v/>
      </c>
      <c r="AF33" s="20" t="str">
        <f t="shared" si="11"/>
        <v/>
      </c>
      <c r="AG33" s="20" t="str">
        <f t="shared" si="12"/>
        <v/>
      </c>
      <c r="AH33" s="20" t="str">
        <f t="shared" si="13"/>
        <v/>
      </c>
      <c r="AI33" s="20" t="str">
        <f t="shared" si="14"/>
        <v/>
      </c>
      <c r="AJ33" s="20" t="str">
        <f t="shared" si="15"/>
        <v/>
      </c>
      <c r="AK33" s="20" t="str">
        <f t="shared" si="16"/>
        <v/>
      </c>
      <c r="AL33" s="20" t="str">
        <f t="shared" si="17"/>
        <v/>
      </c>
      <c r="AM33" s="20" t="str">
        <f t="shared" si="18"/>
        <v/>
      </c>
      <c r="AN33" s="20" t="str">
        <f t="shared" si="19"/>
        <v/>
      </c>
      <c r="AO33" s="20" t="str">
        <f t="shared" si="20"/>
        <v/>
      </c>
      <c r="AP33" s="20" t="str">
        <f t="shared" si="21"/>
        <v/>
      </c>
      <c r="AQ33" s="20" t="str">
        <f t="shared" si="22"/>
        <v/>
      </c>
      <c r="AR33" s="20" t="str">
        <f t="shared" si="23"/>
        <v/>
      </c>
      <c r="AS33" s="20" t="str">
        <f t="shared" si="24"/>
        <v/>
      </c>
      <c r="AT33" s="20" t="str">
        <f t="shared" si="25"/>
        <v/>
      </c>
      <c r="AU33" s="20" t="str">
        <f t="shared" si="26"/>
        <v/>
      </c>
      <c r="AV33" s="20" t="str">
        <f t="shared" si="27"/>
        <v/>
      </c>
      <c r="AW33" s="20" t="str">
        <f t="shared" si="28"/>
        <v/>
      </c>
      <c r="BD33" s="17" t="s">
        <v>137</v>
      </c>
      <c r="BE33" s="17" t="s">
        <v>828</v>
      </c>
      <c r="BF33" s="17" t="s">
        <v>201</v>
      </c>
      <c r="BG33" s="17" t="s">
        <v>127</v>
      </c>
      <c r="BH33" s="17" t="s">
        <v>58</v>
      </c>
      <c r="BI33" s="17" t="s">
        <v>850</v>
      </c>
      <c r="BJ33" s="94"/>
      <c r="BK33" s="80" t="s">
        <v>769</v>
      </c>
      <c r="BL33" s="80" t="s">
        <v>769</v>
      </c>
      <c r="BM33" s="18" t="s">
        <v>489</v>
      </c>
      <c r="BN33" s="18" t="s">
        <v>215</v>
      </c>
      <c r="BO33" s="17" t="s">
        <v>109</v>
      </c>
      <c r="BP33" s="17" t="s">
        <v>230</v>
      </c>
      <c r="BQ33" s="17" t="s">
        <v>201</v>
      </c>
      <c r="BR33" s="17" t="s">
        <v>995</v>
      </c>
      <c r="BS33" s="22" t="s">
        <v>52</v>
      </c>
      <c r="BU33" s="17" t="s">
        <v>70</v>
      </c>
      <c r="BW33" s="94"/>
      <c r="BX33" s="17">
        <v>720</v>
      </c>
      <c r="BY33" s="17">
        <v>195316</v>
      </c>
      <c r="CA33" s="94"/>
      <c r="CB33" s="17" t="s">
        <v>58</v>
      </c>
      <c r="CC33" s="17" t="s">
        <v>570</v>
      </c>
      <c r="CD33" s="17" t="s">
        <v>581</v>
      </c>
      <c r="CE33" s="17" t="s">
        <v>111</v>
      </c>
      <c r="CF33" s="17" t="s">
        <v>1132</v>
      </c>
      <c r="CG33" s="17" t="s">
        <v>828</v>
      </c>
      <c r="CH33" s="17" t="s">
        <v>137</v>
      </c>
      <c r="CI33" s="23">
        <v>5268</v>
      </c>
      <c r="CJ33" s="23" t="b">
        <v>0</v>
      </c>
      <c r="CK33" s="23" t="b">
        <v>1</v>
      </c>
      <c r="CL33" s="23" t="b">
        <v>0</v>
      </c>
      <c r="CM33" s="23" t="b">
        <v>0</v>
      </c>
      <c r="CN33" s="23" t="b">
        <v>0</v>
      </c>
      <c r="CO33" s="23" t="s">
        <v>61</v>
      </c>
      <c r="CP33" s="51"/>
      <c r="CQ33" s="17" t="s">
        <v>240</v>
      </c>
      <c r="CR33" s="17" t="s">
        <v>57</v>
      </c>
      <c r="CT33" s="17" t="s">
        <v>240</v>
      </c>
      <c r="CU33" s="17" t="s">
        <v>58</v>
      </c>
      <c r="CW33" s="17" t="s">
        <v>196</v>
      </c>
      <c r="CX33" s="10" t="s">
        <v>144</v>
      </c>
      <c r="CY33" s="10"/>
      <c r="CZ33" s="17" t="s">
        <v>240</v>
      </c>
      <c r="DA33" s="24" t="s">
        <v>73</v>
      </c>
      <c r="DB33" s="24"/>
      <c r="DC33" s="17" t="s">
        <v>240</v>
      </c>
      <c r="DD33" s="17" t="s">
        <v>58</v>
      </c>
      <c r="DE33" s="24"/>
      <c r="DF33" s="17" t="s">
        <v>239</v>
      </c>
      <c r="DG33" s="17" t="s">
        <v>62</v>
      </c>
      <c r="DI33" s="17" t="s">
        <v>239</v>
      </c>
      <c r="DJ33" s="24" t="s">
        <v>233</v>
      </c>
      <c r="DK33" s="24"/>
      <c r="DL33" s="17" t="s">
        <v>239</v>
      </c>
      <c r="DM33" s="32" t="s">
        <v>111</v>
      </c>
      <c r="DN33" s="24"/>
      <c r="DP33" s="17" t="s">
        <v>239</v>
      </c>
      <c r="DQ33" s="28">
        <v>9705</v>
      </c>
      <c r="DR33" s="28"/>
      <c r="DS33" s="28"/>
      <c r="DU33" s="17" t="s">
        <v>241</v>
      </c>
      <c r="DV33" s="17">
        <v>710</v>
      </c>
    </row>
    <row r="34" spans="1:126" ht="16.5" x14ac:dyDescent="0.25">
      <c r="A34" s="97"/>
      <c r="B34" s="97"/>
      <c r="C34" s="97"/>
      <c r="D34" s="97"/>
      <c r="E34" s="97"/>
      <c r="F34" s="97"/>
      <c r="G34" s="98"/>
      <c r="H34" s="97"/>
      <c r="I34" s="97"/>
      <c r="J34" s="97"/>
      <c r="K34" s="97"/>
      <c r="L34" s="97"/>
      <c r="M34" s="97"/>
      <c r="N34" s="97"/>
      <c r="O34" s="97"/>
      <c r="P34" s="97"/>
      <c r="Q34" s="100"/>
      <c r="R34" s="101"/>
      <c r="S34" s="99"/>
      <c r="T34" s="99"/>
      <c r="U34" s="97"/>
      <c r="V34" s="20" t="str">
        <f t="shared" si="1"/>
        <v/>
      </c>
      <c r="W34" s="20" t="str">
        <f t="shared" si="2"/>
        <v/>
      </c>
      <c r="X34" s="20" t="str">
        <f t="shared" si="3"/>
        <v/>
      </c>
      <c r="Y34" s="20" t="str">
        <f t="shared" si="4"/>
        <v/>
      </c>
      <c r="Z34" s="20" t="str">
        <f t="shared" si="5"/>
        <v/>
      </c>
      <c r="AA34" s="20" t="str">
        <f t="shared" si="6"/>
        <v/>
      </c>
      <c r="AB34" s="20" t="str">
        <f t="shared" si="7"/>
        <v/>
      </c>
      <c r="AC34" s="20" t="str">
        <f t="shared" si="8"/>
        <v/>
      </c>
      <c r="AD34" s="20" t="str">
        <f t="shared" si="9"/>
        <v/>
      </c>
      <c r="AE34" s="20" t="str">
        <f t="shared" si="10"/>
        <v/>
      </c>
      <c r="AF34" s="20" t="str">
        <f t="shared" si="11"/>
        <v/>
      </c>
      <c r="AG34" s="20" t="str">
        <f t="shared" si="12"/>
        <v/>
      </c>
      <c r="AH34" s="20" t="str">
        <f t="shared" si="13"/>
        <v/>
      </c>
      <c r="AI34" s="20" t="str">
        <f t="shared" si="14"/>
        <v/>
      </c>
      <c r="AJ34" s="20" t="str">
        <f t="shared" si="15"/>
        <v/>
      </c>
      <c r="AK34" s="20" t="str">
        <f t="shared" si="16"/>
        <v/>
      </c>
      <c r="AL34" s="20" t="str">
        <f t="shared" si="17"/>
        <v/>
      </c>
      <c r="AM34" s="20" t="str">
        <f t="shared" si="18"/>
        <v/>
      </c>
      <c r="AN34" s="20" t="str">
        <f t="shared" si="19"/>
        <v/>
      </c>
      <c r="AO34" s="20" t="str">
        <f t="shared" si="20"/>
        <v/>
      </c>
      <c r="AP34" s="20" t="str">
        <f t="shared" si="21"/>
        <v/>
      </c>
      <c r="AQ34" s="20" t="str">
        <f t="shared" si="22"/>
        <v/>
      </c>
      <c r="AR34" s="20" t="str">
        <f t="shared" si="23"/>
        <v/>
      </c>
      <c r="AS34" s="20" t="str">
        <f t="shared" si="24"/>
        <v/>
      </c>
      <c r="AT34" s="20" t="str">
        <f t="shared" si="25"/>
        <v/>
      </c>
      <c r="AU34" s="20" t="str">
        <f t="shared" si="26"/>
        <v/>
      </c>
      <c r="AV34" s="20" t="str">
        <f t="shared" si="27"/>
        <v/>
      </c>
      <c r="AW34" s="20" t="str">
        <f t="shared" si="28"/>
        <v/>
      </c>
      <c r="BD34" s="17" t="s">
        <v>137</v>
      </c>
      <c r="BE34" s="17" t="s">
        <v>828</v>
      </c>
      <c r="BF34" s="17" t="s">
        <v>201</v>
      </c>
      <c r="BG34" s="17" t="s">
        <v>150</v>
      </c>
      <c r="BH34" s="17" t="s">
        <v>58</v>
      </c>
      <c r="BI34" s="17" t="s">
        <v>851</v>
      </c>
      <c r="BJ34" s="94"/>
      <c r="BK34" s="80" t="s">
        <v>770</v>
      </c>
      <c r="BL34" s="80" t="s">
        <v>770</v>
      </c>
      <c r="BM34" s="18" t="s">
        <v>489</v>
      </c>
      <c r="BN34" s="18" t="s">
        <v>215</v>
      </c>
      <c r="BO34" s="17" t="s">
        <v>109</v>
      </c>
      <c r="BP34" s="17" t="s">
        <v>230</v>
      </c>
      <c r="BQ34" s="17" t="s">
        <v>201</v>
      </c>
      <c r="BR34" s="17" t="s">
        <v>996</v>
      </c>
      <c r="BS34" s="22" t="s">
        <v>52</v>
      </c>
      <c r="BU34" s="17" t="s">
        <v>70</v>
      </c>
      <c r="BW34" s="94"/>
      <c r="BX34" s="17">
        <v>720</v>
      </c>
      <c r="BY34" s="17">
        <v>195316</v>
      </c>
      <c r="CA34" s="94"/>
      <c r="CB34" s="17" t="s">
        <v>58</v>
      </c>
      <c r="CC34" s="17" t="s">
        <v>570</v>
      </c>
      <c r="CD34" s="17" t="s">
        <v>581</v>
      </c>
      <c r="CE34" s="17" t="s">
        <v>111</v>
      </c>
      <c r="CF34" s="17" t="s">
        <v>1132</v>
      </c>
      <c r="CG34" s="17" t="s">
        <v>828</v>
      </c>
      <c r="CH34" s="17" t="s">
        <v>137</v>
      </c>
      <c r="CI34" s="23">
        <v>5268</v>
      </c>
      <c r="CJ34" s="23" t="b">
        <v>0</v>
      </c>
      <c r="CK34" s="23" t="b">
        <v>0</v>
      </c>
      <c r="CL34" s="23" t="b">
        <v>1</v>
      </c>
      <c r="CM34" s="23" t="b">
        <v>0</v>
      </c>
      <c r="CN34" s="23" t="b">
        <v>0</v>
      </c>
      <c r="CO34" s="23" t="s">
        <v>61</v>
      </c>
      <c r="CP34" s="51"/>
      <c r="CQ34" s="17" t="s">
        <v>243</v>
      </c>
      <c r="CR34" s="17" t="s">
        <v>57</v>
      </c>
      <c r="CT34" s="17" t="s">
        <v>243</v>
      </c>
      <c r="CU34" s="17" t="s">
        <v>83</v>
      </c>
      <c r="CW34" s="24" t="s">
        <v>202</v>
      </c>
      <c r="CX34" s="10" t="s">
        <v>129</v>
      </c>
      <c r="CY34" s="10"/>
      <c r="CZ34" s="17" t="s">
        <v>243</v>
      </c>
      <c r="DA34" s="24" t="s">
        <v>73</v>
      </c>
      <c r="DB34" s="24"/>
      <c r="DC34" s="17" t="s">
        <v>243</v>
      </c>
      <c r="DD34" s="17" t="s">
        <v>83</v>
      </c>
      <c r="DE34" s="24"/>
      <c r="DF34" s="17" t="s">
        <v>242</v>
      </c>
      <c r="DG34" s="17" t="s">
        <v>120</v>
      </c>
      <c r="DI34" s="17" t="s">
        <v>242</v>
      </c>
      <c r="DJ34" s="24" t="s">
        <v>233</v>
      </c>
      <c r="DK34" s="24"/>
      <c r="DL34" s="17" t="s">
        <v>242</v>
      </c>
      <c r="DM34" s="32" t="s">
        <v>111</v>
      </c>
      <c r="DN34" s="24"/>
      <c r="DP34" s="17" t="s">
        <v>242</v>
      </c>
      <c r="DQ34" s="28">
        <v>9705</v>
      </c>
      <c r="DR34" s="28"/>
      <c r="DS34" s="28"/>
      <c r="DU34" s="17" t="s">
        <v>244</v>
      </c>
      <c r="DV34" s="17">
        <v>708</v>
      </c>
    </row>
    <row r="35" spans="1:126" ht="16.5" x14ac:dyDescent="0.25">
      <c r="A35" s="97"/>
      <c r="B35" s="97"/>
      <c r="C35" s="97"/>
      <c r="D35" s="97"/>
      <c r="E35" s="97"/>
      <c r="F35" s="97"/>
      <c r="G35" s="98"/>
      <c r="H35" s="97"/>
      <c r="I35" s="97"/>
      <c r="J35" s="97"/>
      <c r="K35" s="97"/>
      <c r="L35" s="97"/>
      <c r="M35" s="97"/>
      <c r="N35" s="97"/>
      <c r="O35" s="97"/>
      <c r="P35" s="97"/>
      <c r="Q35" s="100"/>
      <c r="R35" s="101"/>
      <c r="S35" s="99"/>
      <c r="T35" s="99"/>
      <c r="U35" s="97"/>
      <c r="V35" s="20" t="str">
        <f t="shared" si="1"/>
        <v/>
      </c>
      <c r="W35" s="20" t="str">
        <f t="shared" si="2"/>
        <v/>
      </c>
      <c r="X35" s="20" t="str">
        <f t="shared" si="3"/>
        <v/>
      </c>
      <c r="Y35" s="20" t="str">
        <f t="shared" si="4"/>
        <v/>
      </c>
      <c r="Z35" s="20" t="str">
        <f t="shared" si="5"/>
        <v/>
      </c>
      <c r="AA35" s="20" t="str">
        <f t="shared" si="6"/>
        <v/>
      </c>
      <c r="AB35" s="20" t="str">
        <f t="shared" si="7"/>
        <v/>
      </c>
      <c r="AC35" s="20" t="str">
        <f t="shared" si="8"/>
        <v/>
      </c>
      <c r="AD35" s="20" t="str">
        <f t="shared" si="9"/>
        <v/>
      </c>
      <c r="AE35" s="20" t="str">
        <f t="shared" si="10"/>
        <v/>
      </c>
      <c r="AF35" s="20" t="str">
        <f t="shared" si="11"/>
        <v/>
      </c>
      <c r="AG35" s="20" t="str">
        <f t="shared" si="12"/>
        <v/>
      </c>
      <c r="AH35" s="20" t="str">
        <f t="shared" si="13"/>
        <v/>
      </c>
      <c r="AI35" s="20" t="str">
        <f t="shared" si="14"/>
        <v/>
      </c>
      <c r="AJ35" s="20" t="str">
        <f t="shared" si="15"/>
        <v/>
      </c>
      <c r="AK35" s="20" t="str">
        <f t="shared" si="16"/>
        <v/>
      </c>
      <c r="AL35" s="20" t="str">
        <f t="shared" si="17"/>
        <v/>
      </c>
      <c r="AM35" s="20" t="str">
        <f t="shared" si="18"/>
        <v/>
      </c>
      <c r="AN35" s="20" t="str">
        <f t="shared" si="19"/>
        <v/>
      </c>
      <c r="AO35" s="20" t="str">
        <f t="shared" si="20"/>
        <v/>
      </c>
      <c r="AP35" s="20" t="str">
        <f t="shared" si="21"/>
        <v/>
      </c>
      <c r="AQ35" s="20" t="str">
        <f t="shared" si="22"/>
        <v/>
      </c>
      <c r="AR35" s="20" t="str">
        <f t="shared" si="23"/>
        <v/>
      </c>
      <c r="AS35" s="20" t="str">
        <f t="shared" si="24"/>
        <v/>
      </c>
      <c r="AT35" s="20" t="str">
        <f t="shared" si="25"/>
        <v/>
      </c>
      <c r="AU35" s="20" t="str">
        <f t="shared" si="26"/>
        <v/>
      </c>
      <c r="AV35" s="20" t="str">
        <f t="shared" si="27"/>
        <v/>
      </c>
      <c r="AW35" s="20" t="str">
        <f t="shared" si="28"/>
        <v/>
      </c>
      <c r="BD35" s="17" t="s">
        <v>137</v>
      </c>
      <c r="BE35" s="17" t="s">
        <v>828</v>
      </c>
      <c r="BF35" s="17" t="s">
        <v>201</v>
      </c>
      <c r="BG35" s="17" t="s">
        <v>595</v>
      </c>
      <c r="BH35" s="17" t="s">
        <v>58</v>
      </c>
      <c r="BI35" s="17" t="s">
        <v>852</v>
      </c>
      <c r="BJ35" s="94"/>
      <c r="BK35" s="18" t="s">
        <v>671</v>
      </c>
      <c r="BL35" s="18" t="s">
        <v>671</v>
      </c>
      <c r="BM35" s="18" t="s">
        <v>489</v>
      </c>
      <c r="BN35" s="18" t="s">
        <v>215</v>
      </c>
      <c r="BO35" s="17" t="s">
        <v>109</v>
      </c>
      <c r="BP35" s="17" t="s">
        <v>230</v>
      </c>
      <c r="BQ35" s="17" t="s">
        <v>201</v>
      </c>
      <c r="BR35" s="17" t="s">
        <v>994</v>
      </c>
      <c r="BS35" s="22" t="s">
        <v>715</v>
      </c>
      <c r="BU35" s="17" t="s">
        <v>70</v>
      </c>
      <c r="BW35" s="94"/>
      <c r="BX35" s="17">
        <v>720</v>
      </c>
      <c r="BY35" s="17">
        <v>195316</v>
      </c>
      <c r="CA35" s="94"/>
      <c r="CB35" s="17" t="s">
        <v>58</v>
      </c>
      <c r="CC35" s="17" t="s">
        <v>570</v>
      </c>
      <c r="CD35" s="17" t="s">
        <v>581</v>
      </c>
      <c r="CE35" s="17" t="s">
        <v>111</v>
      </c>
      <c r="CF35" s="17" t="s">
        <v>1132</v>
      </c>
      <c r="CG35" s="17" t="s">
        <v>828</v>
      </c>
      <c r="CH35" s="17" t="s">
        <v>137</v>
      </c>
      <c r="CI35" s="23">
        <v>5268</v>
      </c>
      <c r="CJ35" s="23" t="b">
        <v>1</v>
      </c>
      <c r="CK35" s="23" t="b">
        <v>0</v>
      </c>
      <c r="CL35" s="23" t="b">
        <v>0</v>
      </c>
      <c r="CM35" s="23" t="b">
        <v>0</v>
      </c>
      <c r="CN35" s="23" t="b">
        <v>0</v>
      </c>
      <c r="CO35" s="23" t="s">
        <v>61</v>
      </c>
      <c r="CP35" s="51"/>
      <c r="CQ35" s="17" t="s">
        <v>246</v>
      </c>
      <c r="CR35" s="17" t="s">
        <v>57</v>
      </c>
      <c r="CT35" s="17" t="s">
        <v>246</v>
      </c>
      <c r="CU35" s="17" t="s">
        <v>58</v>
      </c>
      <c r="CW35" s="24" t="s">
        <v>207</v>
      </c>
      <c r="CX35" s="10" t="s">
        <v>129</v>
      </c>
      <c r="CY35" s="10"/>
      <c r="CZ35" s="17" t="s">
        <v>246</v>
      </c>
      <c r="DA35" s="24" t="s">
        <v>73</v>
      </c>
      <c r="DB35" s="24"/>
      <c r="DC35" s="17" t="s">
        <v>246</v>
      </c>
      <c r="DD35" s="17" t="s">
        <v>58</v>
      </c>
      <c r="DE35" s="24"/>
      <c r="DF35" s="17" t="s">
        <v>245</v>
      </c>
      <c r="DG35" s="17" t="s">
        <v>247</v>
      </c>
      <c r="DI35" s="17" t="s">
        <v>245</v>
      </c>
      <c r="DJ35" s="24" t="s">
        <v>233</v>
      </c>
      <c r="DK35" s="24"/>
      <c r="DL35" s="17" t="s">
        <v>245</v>
      </c>
      <c r="DM35" s="32" t="s">
        <v>111</v>
      </c>
      <c r="DN35" s="24"/>
      <c r="DP35" s="17" t="s">
        <v>245</v>
      </c>
      <c r="DQ35" s="28">
        <v>9705</v>
      </c>
      <c r="DU35" s="17" t="s">
        <v>248</v>
      </c>
      <c r="DV35" s="17">
        <v>709</v>
      </c>
    </row>
    <row r="36" spans="1:126" ht="16.5" x14ac:dyDescent="0.25">
      <c r="A36" s="97"/>
      <c r="B36" s="97"/>
      <c r="C36" s="97"/>
      <c r="D36" s="97"/>
      <c r="E36" s="97"/>
      <c r="F36" s="97"/>
      <c r="G36" s="98"/>
      <c r="H36" s="97"/>
      <c r="I36" s="97"/>
      <c r="J36" s="97"/>
      <c r="K36" s="97"/>
      <c r="L36" s="97"/>
      <c r="M36" s="97"/>
      <c r="N36" s="97"/>
      <c r="O36" s="97"/>
      <c r="P36" s="97"/>
      <c r="Q36" s="100"/>
      <c r="R36" s="101"/>
      <c r="S36" s="99"/>
      <c r="T36" s="99"/>
      <c r="U36" s="97"/>
      <c r="V36" s="20" t="str">
        <f t="shared" si="1"/>
        <v/>
      </c>
      <c r="W36" s="20" t="str">
        <f t="shared" si="2"/>
        <v/>
      </c>
      <c r="X36" s="20" t="str">
        <f t="shared" si="3"/>
        <v/>
      </c>
      <c r="Y36" s="20" t="str">
        <f t="shared" si="4"/>
        <v/>
      </c>
      <c r="Z36" s="20" t="str">
        <f t="shared" si="5"/>
        <v/>
      </c>
      <c r="AA36" s="20" t="str">
        <f t="shared" si="6"/>
        <v/>
      </c>
      <c r="AB36" s="20" t="str">
        <f t="shared" si="7"/>
        <v/>
      </c>
      <c r="AC36" s="20" t="str">
        <f t="shared" si="8"/>
        <v/>
      </c>
      <c r="AD36" s="20" t="str">
        <f t="shared" si="9"/>
        <v/>
      </c>
      <c r="AE36" s="20" t="str">
        <f t="shared" si="10"/>
        <v/>
      </c>
      <c r="AF36" s="20" t="str">
        <f t="shared" si="11"/>
        <v/>
      </c>
      <c r="AG36" s="20" t="str">
        <f t="shared" si="12"/>
        <v/>
      </c>
      <c r="AH36" s="20" t="str">
        <f t="shared" si="13"/>
        <v/>
      </c>
      <c r="AI36" s="20" t="str">
        <f t="shared" si="14"/>
        <v/>
      </c>
      <c r="AJ36" s="20" t="str">
        <f t="shared" si="15"/>
        <v/>
      </c>
      <c r="AK36" s="20" t="str">
        <f t="shared" si="16"/>
        <v/>
      </c>
      <c r="AL36" s="20" t="str">
        <f t="shared" si="17"/>
        <v/>
      </c>
      <c r="AM36" s="20" t="str">
        <f t="shared" si="18"/>
        <v/>
      </c>
      <c r="AN36" s="20" t="str">
        <f t="shared" si="19"/>
        <v/>
      </c>
      <c r="AO36" s="20" t="str">
        <f t="shared" si="20"/>
        <v/>
      </c>
      <c r="AP36" s="20" t="str">
        <f t="shared" si="21"/>
        <v/>
      </c>
      <c r="AQ36" s="20" t="str">
        <f t="shared" si="22"/>
        <v/>
      </c>
      <c r="AR36" s="20" t="str">
        <f t="shared" si="23"/>
        <v/>
      </c>
      <c r="AS36" s="20" t="str">
        <f t="shared" si="24"/>
        <v/>
      </c>
      <c r="AT36" s="20" t="str">
        <f t="shared" si="25"/>
        <v/>
      </c>
      <c r="AU36" s="20" t="str">
        <f t="shared" si="26"/>
        <v/>
      </c>
      <c r="AV36" s="20" t="str">
        <f t="shared" si="27"/>
        <v/>
      </c>
      <c r="AW36" s="20" t="str">
        <f t="shared" si="28"/>
        <v/>
      </c>
      <c r="BD36" s="17" t="s">
        <v>137</v>
      </c>
      <c r="BE36" s="17" t="s">
        <v>828</v>
      </c>
      <c r="BF36" s="17" t="s">
        <v>51</v>
      </c>
      <c r="BG36" s="17" t="s">
        <v>596</v>
      </c>
      <c r="BH36" s="17" t="s">
        <v>147</v>
      </c>
      <c r="BI36" s="17" t="s">
        <v>853</v>
      </c>
      <c r="BJ36" s="94"/>
      <c r="BK36" s="79" t="s">
        <v>669</v>
      </c>
      <c r="BL36" s="79" t="s">
        <v>669</v>
      </c>
      <c r="BM36" s="18" t="s">
        <v>332</v>
      </c>
      <c r="BN36" s="18" t="s">
        <v>215</v>
      </c>
      <c r="BO36" s="17" t="s">
        <v>50</v>
      </c>
      <c r="BP36" s="17" t="s">
        <v>50</v>
      </c>
      <c r="BQ36" s="17" t="s">
        <v>51</v>
      </c>
      <c r="BS36" s="22" t="s">
        <v>52</v>
      </c>
      <c r="BT36" s="22"/>
      <c r="BU36" s="17" t="s">
        <v>70</v>
      </c>
      <c r="BW36" s="94"/>
      <c r="BX36" s="17">
        <v>124</v>
      </c>
      <c r="BY36" s="17">
        <v>100449</v>
      </c>
      <c r="CA36" s="94"/>
      <c r="CB36" s="17" t="s">
        <v>83</v>
      </c>
      <c r="CC36" s="17" t="s">
        <v>577</v>
      </c>
      <c r="CD36" s="17" t="s">
        <v>62</v>
      </c>
      <c r="CE36" s="17" t="s">
        <v>111</v>
      </c>
      <c r="CF36" s="17" t="s">
        <v>1132</v>
      </c>
      <c r="CG36" s="17" t="s">
        <v>828</v>
      </c>
      <c r="CH36" s="17" t="s">
        <v>137</v>
      </c>
      <c r="CI36" s="23">
        <v>5268</v>
      </c>
      <c r="CJ36" s="23" t="b">
        <v>0</v>
      </c>
      <c r="CK36" s="23" t="b">
        <v>0</v>
      </c>
      <c r="CL36" s="23" t="b">
        <v>0</v>
      </c>
      <c r="CM36" s="23" t="b">
        <v>1</v>
      </c>
      <c r="CN36" s="23" t="b">
        <v>0</v>
      </c>
      <c r="CO36" s="23" t="s">
        <v>61</v>
      </c>
      <c r="CP36" s="51"/>
      <c r="CQ36" s="17" t="s">
        <v>249</v>
      </c>
      <c r="CR36" s="17" t="s">
        <v>57</v>
      </c>
      <c r="CT36" s="17" t="s">
        <v>249</v>
      </c>
      <c r="CU36" s="17" t="s">
        <v>83</v>
      </c>
      <c r="CW36" s="24" t="s">
        <v>210</v>
      </c>
      <c r="CX36" s="10" t="s">
        <v>129</v>
      </c>
      <c r="CY36" s="10"/>
      <c r="CZ36" s="17" t="s">
        <v>249</v>
      </c>
      <c r="DA36" s="24" t="s">
        <v>73</v>
      </c>
      <c r="DB36" s="24"/>
      <c r="DC36" s="17" t="s">
        <v>249</v>
      </c>
      <c r="DD36" s="17" t="s">
        <v>83</v>
      </c>
      <c r="DE36" s="24"/>
      <c r="DF36" s="17" t="s">
        <v>55</v>
      </c>
      <c r="DG36" s="24" t="s">
        <v>177</v>
      </c>
      <c r="DH36" s="24"/>
      <c r="DI36" s="17" t="s">
        <v>55</v>
      </c>
      <c r="DJ36" s="24" t="s">
        <v>250</v>
      </c>
      <c r="DK36" s="24"/>
      <c r="DL36" s="17" t="s">
        <v>55</v>
      </c>
      <c r="DM36" s="24" t="s">
        <v>76</v>
      </c>
      <c r="DN36" s="24"/>
      <c r="DP36" s="17" t="s">
        <v>55</v>
      </c>
      <c r="DQ36" s="28">
        <v>3993</v>
      </c>
      <c r="DR36" s="28"/>
      <c r="DS36" s="28"/>
      <c r="DU36" s="17" t="s">
        <v>251</v>
      </c>
      <c r="DV36" s="17">
        <v>711</v>
      </c>
    </row>
    <row r="37" spans="1:126" ht="16.5" x14ac:dyDescent="0.25">
      <c r="A37" s="97"/>
      <c r="B37" s="97"/>
      <c r="C37" s="97"/>
      <c r="D37" s="97"/>
      <c r="E37" s="97"/>
      <c r="F37" s="97"/>
      <c r="G37" s="98"/>
      <c r="H37" s="97"/>
      <c r="I37" s="97"/>
      <c r="J37" s="97"/>
      <c r="K37" s="97"/>
      <c r="L37" s="97"/>
      <c r="M37" s="97"/>
      <c r="N37" s="97"/>
      <c r="O37" s="97"/>
      <c r="P37" s="97"/>
      <c r="Q37" s="100"/>
      <c r="R37" s="101"/>
      <c r="S37" s="99"/>
      <c r="T37" s="99"/>
      <c r="U37" s="97"/>
      <c r="V37" s="20" t="str">
        <f t="shared" si="1"/>
        <v/>
      </c>
      <c r="W37" s="20" t="str">
        <f t="shared" si="2"/>
        <v/>
      </c>
      <c r="X37" s="20" t="str">
        <f t="shared" si="3"/>
        <v/>
      </c>
      <c r="Y37" s="20" t="str">
        <f t="shared" si="4"/>
        <v/>
      </c>
      <c r="Z37" s="20" t="str">
        <f t="shared" si="5"/>
        <v/>
      </c>
      <c r="AA37" s="20" t="str">
        <f t="shared" si="6"/>
        <v/>
      </c>
      <c r="AB37" s="20" t="str">
        <f t="shared" si="7"/>
        <v/>
      </c>
      <c r="AC37" s="20" t="str">
        <f t="shared" si="8"/>
        <v/>
      </c>
      <c r="AD37" s="20" t="str">
        <f t="shared" si="9"/>
        <v/>
      </c>
      <c r="AE37" s="20" t="str">
        <f t="shared" si="10"/>
        <v/>
      </c>
      <c r="AF37" s="20" t="str">
        <f t="shared" si="11"/>
        <v/>
      </c>
      <c r="AG37" s="20" t="str">
        <f t="shared" si="12"/>
        <v/>
      </c>
      <c r="AH37" s="20" t="str">
        <f t="shared" si="13"/>
        <v/>
      </c>
      <c r="AI37" s="20" t="str">
        <f t="shared" si="14"/>
        <v/>
      </c>
      <c r="AJ37" s="20" t="str">
        <f t="shared" si="15"/>
        <v/>
      </c>
      <c r="AK37" s="20" t="str">
        <f t="shared" si="16"/>
        <v/>
      </c>
      <c r="AL37" s="20" t="str">
        <f t="shared" si="17"/>
        <v/>
      </c>
      <c r="AM37" s="20" t="str">
        <f t="shared" si="18"/>
        <v/>
      </c>
      <c r="AN37" s="20" t="str">
        <f t="shared" si="19"/>
        <v/>
      </c>
      <c r="AO37" s="20" t="str">
        <f t="shared" si="20"/>
        <v/>
      </c>
      <c r="AP37" s="20" t="str">
        <f t="shared" si="21"/>
        <v/>
      </c>
      <c r="AQ37" s="20" t="str">
        <f t="shared" si="22"/>
        <v/>
      </c>
      <c r="AR37" s="20" t="str">
        <f t="shared" si="23"/>
        <v/>
      </c>
      <c r="AS37" s="20" t="str">
        <f t="shared" si="24"/>
        <v/>
      </c>
      <c r="AT37" s="20" t="str">
        <f t="shared" si="25"/>
        <v/>
      </c>
      <c r="AU37" s="20" t="str">
        <f t="shared" si="26"/>
        <v/>
      </c>
      <c r="AV37" s="20" t="str">
        <f t="shared" si="27"/>
        <v/>
      </c>
      <c r="AW37" s="20" t="str">
        <f t="shared" si="28"/>
        <v/>
      </c>
      <c r="BD37" s="17" t="s">
        <v>137</v>
      </c>
      <c r="BE37" s="17" t="s">
        <v>828</v>
      </c>
      <c r="BF37" s="17" t="s">
        <v>51</v>
      </c>
      <c r="BG37" s="17" t="s">
        <v>596</v>
      </c>
      <c r="BH37" s="17" t="s">
        <v>92</v>
      </c>
      <c r="BI37" s="17" t="s">
        <v>854</v>
      </c>
      <c r="BK37" s="79" t="s">
        <v>674</v>
      </c>
      <c r="BL37" s="79" t="s">
        <v>674</v>
      </c>
      <c r="BM37" s="18" t="s">
        <v>490</v>
      </c>
      <c r="BN37" s="18" t="s">
        <v>215</v>
      </c>
      <c r="BO37" s="17" t="s">
        <v>50</v>
      </c>
      <c r="BP37" s="17" t="s">
        <v>50</v>
      </c>
      <c r="BQ37" s="17" t="s">
        <v>51</v>
      </c>
      <c r="BR37" s="17" t="s">
        <v>997</v>
      </c>
      <c r="BS37" s="22" t="s">
        <v>52</v>
      </c>
      <c r="BU37" s="17" t="s">
        <v>70</v>
      </c>
      <c r="BX37" s="17">
        <v>124</v>
      </c>
      <c r="BY37" s="17">
        <v>100449</v>
      </c>
      <c r="CB37" s="17" t="s">
        <v>83</v>
      </c>
      <c r="CC37" s="17" t="s">
        <v>577</v>
      </c>
      <c r="CD37" s="17" t="s">
        <v>62</v>
      </c>
      <c r="CE37" s="17" t="s">
        <v>111</v>
      </c>
      <c r="CF37" s="17" t="s">
        <v>1132</v>
      </c>
      <c r="CG37" s="17" t="s">
        <v>828</v>
      </c>
      <c r="CH37" s="17" t="s">
        <v>137</v>
      </c>
      <c r="CI37" s="23">
        <v>5268</v>
      </c>
      <c r="CJ37" s="23" t="b">
        <v>0</v>
      </c>
      <c r="CK37" s="23" t="b">
        <v>0</v>
      </c>
      <c r="CL37" s="23" t="b">
        <v>0</v>
      </c>
      <c r="CM37" s="23" t="b">
        <v>1</v>
      </c>
      <c r="CN37" s="23" t="b">
        <v>0</v>
      </c>
      <c r="CO37" s="23" t="s">
        <v>61</v>
      </c>
      <c r="CP37" s="51"/>
      <c r="CQ37" s="17" t="s">
        <v>252</v>
      </c>
      <c r="CR37" s="17" t="s">
        <v>57</v>
      </c>
      <c r="CT37" s="17" t="s">
        <v>252</v>
      </c>
      <c r="CU37" s="17" t="s">
        <v>58</v>
      </c>
      <c r="CW37" s="24" t="s">
        <v>216</v>
      </c>
      <c r="CX37" s="10" t="s">
        <v>129</v>
      </c>
      <c r="CY37" s="10"/>
      <c r="CZ37" s="17" t="s">
        <v>252</v>
      </c>
      <c r="DA37" s="24" t="s">
        <v>73</v>
      </c>
      <c r="DB37" s="24"/>
      <c r="DC37" s="17" t="s">
        <v>252</v>
      </c>
      <c r="DD37" s="17" t="s">
        <v>58</v>
      </c>
      <c r="DE37" s="24"/>
      <c r="DF37" s="17" t="s">
        <v>156</v>
      </c>
      <c r="DG37" s="24" t="s">
        <v>177</v>
      </c>
      <c r="DH37" s="24"/>
      <c r="DI37" s="17" t="s">
        <v>156</v>
      </c>
      <c r="DJ37" s="24" t="s">
        <v>224</v>
      </c>
      <c r="DK37" s="24"/>
      <c r="DL37" s="17" t="s">
        <v>156</v>
      </c>
      <c r="DM37" s="24" t="s">
        <v>64</v>
      </c>
      <c r="DN37" s="24"/>
      <c r="DP37" s="17" t="s">
        <v>156</v>
      </c>
      <c r="DR37" s="26"/>
      <c r="DS37" s="26"/>
      <c r="DU37" s="9" t="s">
        <v>253</v>
      </c>
      <c r="DV37" s="17">
        <v>692</v>
      </c>
    </row>
    <row r="38" spans="1:126" ht="16.5" x14ac:dyDescent="0.25">
      <c r="A38" s="97"/>
      <c r="B38" s="97"/>
      <c r="C38" s="97"/>
      <c r="D38" s="97"/>
      <c r="E38" s="97"/>
      <c r="F38" s="97"/>
      <c r="G38" s="98"/>
      <c r="H38" s="97"/>
      <c r="I38" s="97"/>
      <c r="J38" s="97"/>
      <c r="K38" s="97"/>
      <c r="L38" s="97"/>
      <c r="M38" s="97"/>
      <c r="N38" s="97"/>
      <c r="O38" s="97"/>
      <c r="P38" s="97"/>
      <c r="Q38" s="100"/>
      <c r="R38" s="101"/>
      <c r="S38" s="99"/>
      <c r="T38" s="99"/>
      <c r="U38" s="97"/>
      <c r="V38" s="20" t="str">
        <f t="shared" si="1"/>
        <v/>
      </c>
      <c r="W38" s="20" t="str">
        <f t="shared" si="2"/>
        <v/>
      </c>
      <c r="X38" s="20" t="str">
        <f t="shared" si="3"/>
        <v/>
      </c>
      <c r="Y38" s="20" t="str">
        <f t="shared" si="4"/>
        <v/>
      </c>
      <c r="Z38" s="20" t="str">
        <f t="shared" si="5"/>
        <v/>
      </c>
      <c r="AA38" s="20" t="str">
        <f t="shared" si="6"/>
        <v/>
      </c>
      <c r="AB38" s="20" t="str">
        <f t="shared" si="7"/>
        <v/>
      </c>
      <c r="AC38" s="20" t="str">
        <f t="shared" si="8"/>
        <v/>
      </c>
      <c r="AD38" s="20" t="str">
        <f t="shared" si="9"/>
        <v/>
      </c>
      <c r="AE38" s="20" t="str">
        <f t="shared" si="10"/>
        <v/>
      </c>
      <c r="AF38" s="20" t="str">
        <f t="shared" si="11"/>
        <v/>
      </c>
      <c r="AG38" s="20" t="str">
        <f t="shared" si="12"/>
        <v/>
      </c>
      <c r="AH38" s="20" t="str">
        <f t="shared" si="13"/>
        <v/>
      </c>
      <c r="AI38" s="20" t="str">
        <f t="shared" si="14"/>
        <v/>
      </c>
      <c r="AJ38" s="20" t="str">
        <f t="shared" si="15"/>
        <v/>
      </c>
      <c r="AK38" s="20" t="str">
        <f t="shared" si="16"/>
        <v/>
      </c>
      <c r="AL38" s="20" t="str">
        <f t="shared" si="17"/>
        <v/>
      </c>
      <c r="AM38" s="20" t="str">
        <f t="shared" si="18"/>
        <v/>
      </c>
      <c r="AN38" s="20" t="str">
        <f t="shared" si="19"/>
        <v/>
      </c>
      <c r="AO38" s="20" t="str">
        <f t="shared" si="20"/>
        <v/>
      </c>
      <c r="AP38" s="20" t="str">
        <f t="shared" si="21"/>
        <v/>
      </c>
      <c r="AQ38" s="20" t="str">
        <f t="shared" si="22"/>
        <v/>
      </c>
      <c r="AR38" s="20" t="str">
        <f t="shared" si="23"/>
        <v/>
      </c>
      <c r="AS38" s="20" t="str">
        <f t="shared" si="24"/>
        <v/>
      </c>
      <c r="AT38" s="20" t="str">
        <f t="shared" si="25"/>
        <v/>
      </c>
      <c r="AU38" s="20" t="str">
        <f t="shared" si="26"/>
        <v/>
      </c>
      <c r="AV38" s="20" t="str">
        <f t="shared" si="27"/>
        <v/>
      </c>
      <c r="AW38" s="20" t="str">
        <f t="shared" si="28"/>
        <v/>
      </c>
      <c r="BD38" s="17" t="s">
        <v>137</v>
      </c>
      <c r="BE38" s="17" t="s">
        <v>828</v>
      </c>
      <c r="BF38" s="17" t="s">
        <v>51</v>
      </c>
      <c r="BG38" s="17" t="s">
        <v>127</v>
      </c>
      <c r="BH38" s="17" t="s">
        <v>58</v>
      </c>
      <c r="BI38" s="17" t="s">
        <v>855</v>
      </c>
      <c r="BK38" s="81" t="s">
        <v>768</v>
      </c>
      <c r="BL38" s="81" t="s">
        <v>768</v>
      </c>
      <c r="BM38" s="18" t="s">
        <v>489</v>
      </c>
      <c r="BN38" s="18" t="s">
        <v>215</v>
      </c>
      <c r="BO38" s="17" t="s">
        <v>50</v>
      </c>
      <c r="BP38" s="17" t="s">
        <v>50</v>
      </c>
      <c r="BQ38" s="17" t="s">
        <v>51</v>
      </c>
      <c r="BR38" s="17" t="s">
        <v>998</v>
      </c>
      <c r="BS38" s="22" t="s">
        <v>52</v>
      </c>
      <c r="BU38" s="17" t="s">
        <v>70</v>
      </c>
      <c r="BX38" s="17">
        <v>721</v>
      </c>
      <c r="BY38" s="17">
        <v>100449</v>
      </c>
      <c r="CB38" s="17" t="s">
        <v>58</v>
      </c>
      <c r="CC38" s="17" t="s">
        <v>577</v>
      </c>
      <c r="CD38" s="17" t="s">
        <v>62</v>
      </c>
      <c r="CE38" s="17" t="s">
        <v>111</v>
      </c>
      <c r="CF38" s="17" t="s">
        <v>1132</v>
      </c>
      <c r="CG38" s="17" t="s">
        <v>828</v>
      </c>
      <c r="CH38" s="17" t="s">
        <v>137</v>
      </c>
      <c r="CI38" s="23">
        <v>5268</v>
      </c>
      <c r="CJ38" s="23" t="b">
        <v>0</v>
      </c>
      <c r="CK38" s="23" t="b">
        <v>1</v>
      </c>
      <c r="CL38" s="23" t="b">
        <v>0</v>
      </c>
      <c r="CM38" s="23" t="b">
        <v>0</v>
      </c>
      <c r="CN38" s="23" t="b">
        <v>0</v>
      </c>
      <c r="CO38" s="23" t="s">
        <v>61</v>
      </c>
      <c r="CP38" s="52"/>
      <c r="CQ38" s="17" t="s">
        <v>254</v>
      </c>
      <c r="CR38" s="17" t="s">
        <v>57</v>
      </c>
      <c r="CT38" s="17" t="s">
        <v>254</v>
      </c>
      <c r="CU38" s="17" t="s">
        <v>83</v>
      </c>
      <c r="CW38" s="24" t="s">
        <v>219</v>
      </c>
      <c r="CX38" s="10" t="s">
        <v>129</v>
      </c>
      <c r="CY38" s="10"/>
      <c r="CZ38" s="17" t="s">
        <v>254</v>
      </c>
      <c r="DA38" s="24" t="s">
        <v>73</v>
      </c>
      <c r="DB38" s="24"/>
      <c r="DC38" s="17" t="s">
        <v>254</v>
      </c>
      <c r="DD38" s="17" t="s">
        <v>83</v>
      </c>
      <c r="DE38" s="24"/>
      <c r="DF38" s="17" t="s">
        <v>161</v>
      </c>
      <c r="DG38" s="24" t="s">
        <v>177</v>
      </c>
      <c r="DH38" s="24"/>
      <c r="DI38" s="17" t="s">
        <v>161</v>
      </c>
      <c r="DJ38" s="24" t="s">
        <v>178</v>
      </c>
      <c r="DK38" s="24"/>
      <c r="DL38" s="17" t="s">
        <v>161</v>
      </c>
      <c r="DM38" s="24" t="s">
        <v>64</v>
      </c>
      <c r="DN38" s="24"/>
      <c r="DP38" s="17" t="s">
        <v>161</v>
      </c>
      <c r="DQ38" s="26" t="s">
        <v>179</v>
      </c>
      <c r="DR38" s="26"/>
      <c r="DS38" s="26"/>
      <c r="DU38" s="9" t="s">
        <v>255</v>
      </c>
      <c r="DV38" s="17">
        <v>172</v>
      </c>
    </row>
    <row r="39" spans="1:126" ht="16.5" x14ac:dyDescent="0.25">
      <c r="A39" s="97"/>
      <c r="B39" s="97"/>
      <c r="C39" s="97"/>
      <c r="D39" s="97"/>
      <c r="E39" s="97"/>
      <c r="F39" s="97"/>
      <c r="G39" s="98"/>
      <c r="H39" s="97"/>
      <c r="I39" s="97"/>
      <c r="J39" s="97"/>
      <c r="K39" s="97"/>
      <c r="L39" s="97"/>
      <c r="M39" s="97"/>
      <c r="N39" s="97"/>
      <c r="O39" s="97"/>
      <c r="P39" s="97"/>
      <c r="Q39" s="100"/>
      <c r="R39" s="101"/>
      <c r="S39" s="99"/>
      <c r="T39" s="99"/>
      <c r="U39" s="97"/>
      <c r="V39" s="20" t="str">
        <f t="shared" si="1"/>
        <v/>
      </c>
      <c r="W39" s="20" t="str">
        <f t="shared" si="2"/>
        <v/>
      </c>
      <c r="X39" s="20" t="str">
        <f t="shared" si="3"/>
        <v/>
      </c>
      <c r="Y39" s="20" t="str">
        <f t="shared" si="4"/>
        <v/>
      </c>
      <c r="Z39" s="20" t="str">
        <f t="shared" si="5"/>
        <v/>
      </c>
      <c r="AA39" s="20" t="str">
        <f t="shared" si="6"/>
        <v/>
      </c>
      <c r="AB39" s="20" t="str">
        <f t="shared" si="7"/>
        <v/>
      </c>
      <c r="AC39" s="20" t="str">
        <f t="shared" si="8"/>
        <v/>
      </c>
      <c r="AD39" s="20" t="str">
        <f t="shared" si="9"/>
        <v/>
      </c>
      <c r="AE39" s="20" t="str">
        <f t="shared" si="10"/>
        <v/>
      </c>
      <c r="AF39" s="20" t="str">
        <f t="shared" si="11"/>
        <v/>
      </c>
      <c r="AG39" s="20" t="str">
        <f t="shared" si="12"/>
        <v/>
      </c>
      <c r="AH39" s="20" t="str">
        <f t="shared" si="13"/>
        <v/>
      </c>
      <c r="AI39" s="20" t="str">
        <f t="shared" si="14"/>
        <v/>
      </c>
      <c r="AJ39" s="20" t="str">
        <f t="shared" si="15"/>
        <v/>
      </c>
      <c r="AK39" s="20" t="str">
        <f t="shared" si="16"/>
        <v/>
      </c>
      <c r="AL39" s="20" t="str">
        <f t="shared" si="17"/>
        <v/>
      </c>
      <c r="AM39" s="20" t="str">
        <f t="shared" si="18"/>
        <v/>
      </c>
      <c r="AN39" s="20" t="str">
        <f t="shared" si="19"/>
        <v/>
      </c>
      <c r="AO39" s="20" t="str">
        <f t="shared" si="20"/>
        <v/>
      </c>
      <c r="AP39" s="20" t="str">
        <f t="shared" si="21"/>
        <v/>
      </c>
      <c r="AQ39" s="20" t="str">
        <f t="shared" si="22"/>
        <v/>
      </c>
      <c r="AR39" s="20" t="str">
        <f t="shared" si="23"/>
        <v/>
      </c>
      <c r="AS39" s="20" t="str">
        <f t="shared" si="24"/>
        <v/>
      </c>
      <c r="AT39" s="20" t="str">
        <f t="shared" si="25"/>
        <v/>
      </c>
      <c r="AU39" s="20" t="str">
        <f t="shared" si="26"/>
        <v/>
      </c>
      <c r="AV39" s="20" t="str">
        <f t="shared" si="27"/>
        <v/>
      </c>
      <c r="AW39" s="20" t="str">
        <f t="shared" si="28"/>
        <v/>
      </c>
      <c r="BD39" s="17" t="s">
        <v>137</v>
      </c>
      <c r="BE39" s="17" t="s">
        <v>828</v>
      </c>
      <c r="BF39" s="17" t="s">
        <v>51</v>
      </c>
      <c r="BG39" s="17" t="s">
        <v>150</v>
      </c>
      <c r="BH39" s="17" t="s">
        <v>58</v>
      </c>
      <c r="BI39" s="17" t="s">
        <v>856</v>
      </c>
      <c r="BK39" s="79" t="s">
        <v>673</v>
      </c>
      <c r="BL39" s="79" t="s">
        <v>673</v>
      </c>
      <c r="BM39" s="18" t="s">
        <v>489</v>
      </c>
      <c r="BN39" s="18" t="s">
        <v>215</v>
      </c>
      <c r="BO39" s="17" t="s">
        <v>50</v>
      </c>
      <c r="BP39" s="17" t="s">
        <v>50</v>
      </c>
      <c r="BQ39" s="17" t="s">
        <v>51</v>
      </c>
      <c r="BR39" s="17" t="s">
        <v>997</v>
      </c>
      <c r="BS39" s="22" t="s">
        <v>52</v>
      </c>
      <c r="BU39" s="17" t="s">
        <v>70</v>
      </c>
      <c r="BX39" s="17">
        <v>721</v>
      </c>
      <c r="BY39" s="17">
        <v>100449</v>
      </c>
      <c r="CB39" s="17" t="s">
        <v>58</v>
      </c>
      <c r="CC39" s="17" t="s">
        <v>577</v>
      </c>
      <c r="CD39" s="17" t="s">
        <v>62</v>
      </c>
      <c r="CE39" s="17" t="s">
        <v>111</v>
      </c>
      <c r="CF39" s="17" t="s">
        <v>1132</v>
      </c>
      <c r="CG39" s="17" t="s">
        <v>828</v>
      </c>
      <c r="CH39" s="17" t="s">
        <v>137</v>
      </c>
      <c r="CI39" s="23">
        <v>5268</v>
      </c>
      <c r="CJ39" s="23" t="b">
        <v>0</v>
      </c>
      <c r="CK39" s="23" t="b">
        <v>0</v>
      </c>
      <c r="CL39" s="23" t="b">
        <v>0</v>
      </c>
      <c r="CM39" s="23" t="b">
        <v>1</v>
      </c>
      <c r="CN39" s="23" t="b">
        <v>0</v>
      </c>
      <c r="CO39" s="23" t="s">
        <v>61</v>
      </c>
      <c r="CP39" s="52"/>
      <c r="CQ39" s="17" t="s">
        <v>218</v>
      </c>
      <c r="CR39" s="17" t="s">
        <v>57</v>
      </c>
      <c r="CT39" s="17" t="s">
        <v>218</v>
      </c>
      <c r="CU39" s="17" t="s">
        <v>58</v>
      </c>
      <c r="CW39" s="17" t="s">
        <v>223</v>
      </c>
      <c r="CX39" s="10" t="s">
        <v>144</v>
      </c>
      <c r="CY39" s="10"/>
      <c r="CZ39" s="17" t="s">
        <v>218</v>
      </c>
      <c r="DA39" s="24" t="s">
        <v>61</v>
      </c>
      <c r="DB39" s="24"/>
      <c r="DC39" s="17" t="s">
        <v>218</v>
      </c>
      <c r="DD39" s="17" t="s">
        <v>58</v>
      </c>
      <c r="DE39" s="24"/>
      <c r="DF39" s="9" t="s">
        <v>166</v>
      </c>
      <c r="DG39" s="24" t="s">
        <v>177</v>
      </c>
      <c r="DH39" s="24"/>
      <c r="DI39" s="9" t="s">
        <v>166</v>
      </c>
      <c r="DJ39" s="24" t="s">
        <v>257</v>
      </c>
      <c r="DK39" s="24"/>
      <c r="DL39" s="9" t="s">
        <v>166</v>
      </c>
      <c r="DM39" s="24" t="s">
        <v>64</v>
      </c>
      <c r="DN39" s="24"/>
      <c r="DP39" s="9" t="s">
        <v>166</v>
      </c>
      <c r="DQ39" s="26" t="s">
        <v>179</v>
      </c>
      <c r="DR39" s="26"/>
      <c r="DS39" s="26"/>
      <c r="DU39" s="17" t="s">
        <v>258</v>
      </c>
      <c r="DV39" s="17">
        <v>757</v>
      </c>
    </row>
    <row r="40" spans="1:126" ht="16.5" x14ac:dyDescent="0.25">
      <c r="A40" s="97"/>
      <c r="B40" s="97"/>
      <c r="C40" s="97"/>
      <c r="D40" s="97"/>
      <c r="E40" s="97"/>
      <c r="F40" s="97"/>
      <c r="G40" s="98"/>
      <c r="H40" s="97"/>
      <c r="I40" s="97"/>
      <c r="J40" s="97"/>
      <c r="K40" s="97"/>
      <c r="L40" s="97"/>
      <c r="M40" s="97"/>
      <c r="N40" s="97"/>
      <c r="O40" s="97"/>
      <c r="P40" s="97"/>
      <c r="Q40" s="100"/>
      <c r="R40" s="101"/>
      <c r="S40" s="99"/>
      <c r="T40" s="99"/>
      <c r="U40" s="97"/>
      <c r="V40" s="20" t="str">
        <f t="shared" si="1"/>
        <v/>
      </c>
      <c r="W40" s="20" t="str">
        <f t="shared" si="2"/>
        <v/>
      </c>
      <c r="X40" s="20" t="str">
        <f t="shared" si="3"/>
        <v/>
      </c>
      <c r="Y40" s="20" t="str">
        <f t="shared" si="4"/>
        <v/>
      </c>
      <c r="Z40" s="20" t="str">
        <f t="shared" si="5"/>
        <v/>
      </c>
      <c r="AA40" s="20" t="str">
        <f t="shared" si="6"/>
        <v/>
      </c>
      <c r="AB40" s="20" t="str">
        <f t="shared" si="7"/>
        <v/>
      </c>
      <c r="AC40" s="20" t="str">
        <f t="shared" si="8"/>
        <v/>
      </c>
      <c r="AD40" s="20" t="str">
        <f t="shared" si="9"/>
        <v/>
      </c>
      <c r="AE40" s="20" t="str">
        <f t="shared" si="10"/>
        <v/>
      </c>
      <c r="AF40" s="20" t="str">
        <f t="shared" si="11"/>
        <v/>
      </c>
      <c r="AG40" s="20" t="str">
        <f t="shared" si="12"/>
        <v/>
      </c>
      <c r="AH40" s="20" t="str">
        <f t="shared" si="13"/>
        <v/>
      </c>
      <c r="AI40" s="20" t="str">
        <f t="shared" si="14"/>
        <v/>
      </c>
      <c r="AJ40" s="20" t="str">
        <f t="shared" si="15"/>
        <v/>
      </c>
      <c r="AK40" s="20" t="str">
        <f t="shared" si="16"/>
        <v/>
      </c>
      <c r="AL40" s="20" t="str">
        <f t="shared" si="17"/>
        <v/>
      </c>
      <c r="AM40" s="20" t="str">
        <f t="shared" si="18"/>
        <v/>
      </c>
      <c r="AN40" s="20" t="str">
        <f t="shared" si="19"/>
        <v/>
      </c>
      <c r="AO40" s="20" t="str">
        <f t="shared" si="20"/>
        <v/>
      </c>
      <c r="AP40" s="20" t="str">
        <f t="shared" si="21"/>
        <v/>
      </c>
      <c r="AQ40" s="20" t="str">
        <f t="shared" si="22"/>
        <v/>
      </c>
      <c r="AR40" s="20" t="str">
        <f t="shared" si="23"/>
        <v/>
      </c>
      <c r="AS40" s="20" t="str">
        <f t="shared" si="24"/>
        <v/>
      </c>
      <c r="AT40" s="20" t="str">
        <f t="shared" si="25"/>
        <v/>
      </c>
      <c r="AU40" s="20" t="str">
        <f t="shared" si="26"/>
        <v/>
      </c>
      <c r="AV40" s="20" t="str">
        <f t="shared" si="27"/>
        <v/>
      </c>
      <c r="AW40" s="20" t="str">
        <f t="shared" si="28"/>
        <v/>
      </c>
      <c r="BD40" s="17" t="s">
        <v>137</v>
      </c>
      <c r="BE40" s="17" t="s">
        <v>828</v>
      </c>
      <c r="BF40" s="17" t="s">
        <v>51</v>
      </c>
      <c r="BG40" s="17" t="s">
        <v>595</v>
      </c>
      <c r="BH40" s="17" t="s">
        <v>58</v>
      </c>
      <c r="BI40" s="17" t="s">
        <v>857</v>
      </c>
      <c r="BK40" s="79" t="s">
        <v>673</v>
      </c>
      <c r="BL40" s="79" t="s">
        <v>673</v>
      </c>
      <c r="BM40" s="18" t="s">
        <v>489</v>
      </c>
      <c r="BN40" s="18" t="s">
        <v>215</v>
      </c>
      <c r="BO40" s="17" t="s">
        <v>50</v>
      </c>
      <c r="BP40" s="17" t="s">
        <v>50</v>
      </c>
      <c r="BQ40" s="17" t="s">
        <v>51</v>
      </c>
      <c r="BR40" s="17" t="s">
        <v>997</v>
      </c>
      <c r="BS40" s="22" t="s">
        <v>715</v>
      </c>
      <c r="BU40" s="17" t="s">
        <v>70</v>
      </c>
      <c r="BX40" s="17">
        <v>721</v>
      </c>
      <c r="BY40" s="17">
        <v>100449</v>
      </c>
      <c r="CB40" s="17" t="s">
        <v>58</v>
      </c>
      <c r="CC40" s="17" t="s">
        <v>577</v>
      </c>
      <c r="CD40" s="17" t="s">
        <v>62</v>
      </c>
      <c r="CE40" s="17" t="s">
        <v>111</v>
      </c>
      <c r="CF40" s="17" t="s">
        <v>1132</v>
      </c>
      <c r="CG40" s="17" t="s">
        <v>828</v>
      </c>
      <c r="CH40" s="17" t="s">
        <v>137</v>
      </c>
      <c r="CI40" s="23">
        <v>5268</v>
      </c>
      <c r="CJ40" s="23" t="b">
        <v>1</v>
      </c>
      <c r="CK40" s="23" t="b">
        <v>0</v>
      </c>
      <c r="CL40" s="23" t="b">
        <v>0</v>
      </c>
      <c r="CM40" s="23" t="b">
        <v>0</v>
      </c>
      <c r="CN40" s="23" t="b">
        <v>0</v>
      </c>
      <c r="CO40" s="23" t="s">
        <v>61</v>
      </c>
      <c r="CP40" s="52"/>
      <c r="CQ40" s="17" t="s">
        <v>220</v>
      </c>
      <c r="CR40" s="17" t="s">
        <v>57</v>
      </c>
      <c r="CT40" s="17" t="s">
        <v>220</v>
      </c>
      <c r="CU40" s="17" t="s">
        <v>83</v>
      </c>
      <c r="CW40" s="17" t="s">
        <v>226</v>
      </c>
      <c r="CX40" s="10" t="s">
        <v>144</v>
      </c>
      <c r="CY40" s="10"/>
      <c r="CZ40" s="17" t="s">
        <v>220</v>
      </c>
      <c r="DA40" s="24" t="s">
        <v>61</v>
      </c>
      <c r="DB40" s="24"/>
      <c r="DC40" s="17" t="s">
        <v>220</v>
      </c>
      <c r="DD40" s="17" t="s">
        <v>83</v>
      </c>
      <c r="DE40" s="24"/>
      <c r="DF40" s="9" t="s">
        <v>171</v>
      </c>
      <c r="DG40" s="17" t="s">
        <v>74</v>
      </c>
      <c r="DI40" s="9" t="s">
        <v>171</v>
      </c>
      <c r="DJ40" s="24" t="s">
        <v>178</v>
      </c>
      <c r="DK40" s="24"/>
      <c r="DL40" s="9" t="s">
        <v>171</v>
      </c>
      <c r="DM40" s="24" t="s">
        <v>64</v>
      </c>
      <c r="DN40" s="24"/>
      <c r="DP40" s="9" t="s">
        <v>171</v>
      </c>
      <c r="DQ40" s="26" t="s">
        <v>179</v>
      </c>
      <c r="DR40" s="23"/>
      <c r="DS40" s="23"/>
      <c r="DU40" s="17" t="s">
        <v>259</v>
      </c>
      <c r="DV40" s="17">
        <v>172</v>
      </c>
    </row>
    <row r="41" spans="1:126" ht="16.5" x14ac:dyDescent="0.25">
      <c r="A41" s="97"/>
      <c r="B41" s="97"/>
      <c r="C41" s="97"/>
      <c r="D41" s="97"/>
      <c r="E41" s="97"/>
      <c r="F41" s="97"/>
      <c r="G41" s="98"/>
      <c r="H41" s="97"/>
      <c r="I41" s="97"/>
      <c r="J41" s="97"/>
      <c r="K41" s="97"/>
      <c r="L41" s="97"/>
      <c r="M41" s="97"/>
      <c r="N41" s="97"/>
      <c r="O41" s="97"/>
      <c r="P41" s="97"/>
      <c r="Q41" s="100"/>
      <c r="R41" s="101"/>
      <c r="S41" s="99"/>
      <c r="T41" s="99"/>
      <c r="U41" s="97"/>
      <c r="V41" s="20" t="str">
        <f t="shared" si="1"/>
        <v/>
      </c>
      <c r="W41" s="20" t="str">
        <f t="shared" si="2"/>
        <v/>
      </c>
      <c r="X41" s="20" t="str">
        <f t="shared" si="3"/>
        <v/>
      </c>
      <c r="Y41" s="20" t="str">
        <f t="shared" si="4"/>
        <v/>
      </c>
      <c r="Z41" s="20" t="str">
        <f t="shared" si="5"/>
        <v/>
      </c>
      <c r="AA41" s="20" t="str">
        <f t="shared" si="6"/>
        <v/>
      </c>
      <c r="AB41" s="20" t="str">
        <f t="shared" si="7"/>
        <v/>
      </c>
      <c r="AC41" s="20" t="str">
        <f t="shared" si="8"/>
        <v/>
      </c>
      <c r="AD41" s="20" t="str">
        <f t="shared" si="9"/>
        <v/>
      </c>
      <c r="AE41" s="20" t="str">
        <f t="shared" si="10"/>
        <v/>
      </c>
      <c r="AF41" s="20" t="str">
        <f t="shared" si="11"/>
        <v/>
      </c>
      <c r="AG41" s="20" t="str">
        <f t="shared" si="12"/>
        <v/>
      </c>
      <c r="AH41" s="20" t="str">
        <f t="shared" si="13"/>
        <v/>
      </c>
      <c r="AI41" s="20" t="str">
        <f t="shared" si="14"/>
        <v/>
      </c>
      <c r="AJ41" s="20" t="str">
        <f t="shared" si="15"/>
        <v/>
      </c>
      <c r="AK41" s="20" t="str">
        <f t="shared" si="16"/>
        <v/>
      </c>
      <c r="AL41" s="20" t="str">
        <f t="shared" si="17"/>
        <v/>
      </c>
      <c r="AM41" s="20" t="str">
        <f t="shared" si="18"/>
        <v/>
      </c>
      <c r="AN41" s="20" t="str">
        <f t="shared" si="19"/>
        <v/>
      </c>
      <c r="AO41" s="20" t="str">
        <f t="shared" si="20"/>
        <v/>
      </c>
      <c r="AP41" s="20" t="str">
        <f t="shared" si="21"/>
        <v/>
      </c>
      <c r="AQ41" s="20" t="str">
        <f t="shared" si="22"/>
        <v/>
      </c>
      <c r="AR41" s="20" t="str">
        <f t="shared" si="23"/>
        <v/>
      </c>
      <c r="AS41" s="20" t="str">
        <f t="shared" si="24"/>
        <v/>
      </c>
      <c r="AT41" s="20" t="str">
        <f t="shared" si="25"/>
        <v/>
      </c>
      <c r="AU41" s="20" t="str">
        <f t="shared" si="26"/>
        <v/>
      </c>
      <c r="AV41" s="20" t="str">
        <f t="shared" si="27"/>
        <v/>
      </c>
      <c r="AW41" s="20" t="str">
        <f t="shared" si="28"/>
        <v/>
      </c>
      <c r="BD41" s="17" t="s">
        <v>137</v>
      </c>
      <c r="BE41" s="17" t="s">
        <v>828</v>
      </c>
      <c r="BF41" s="17" t="s">
        <v>103</v>
      </c>
      <c r="BG41" s="17" t="s">
        <v>596</v>
      </c>
      <c r="BH41" s="17" t="s">
        <v>147</v>
      </c>
      <c r="BI41" s="17" t="s">
        <v>858</v>
      </c>
      <c r="BJ41" s="94"/>
      <c r="BK41" s="64" t="s">
        <v>695</v>
      </c>
      <c r="BL41" s="64" t="s">
        <v>695</v>
      </c>
      <c r="BM41" s="18" t="s">
        <v>332</v>
      </c>
      <c r="BN41" s="18" t="s">
        <v>221</v>
      </c>
      <c r="BO41" s="17" t="s">
        <v>74</v>
      </c>
      <c r="BP41" s="17" t="s">
        <v>74</v>
      </c>
      <c r="BQ41" s="17" t="s">
        <v>222</v>
      </c>
      <c r="BS41" s="22" t="s">
        <v>715</v>
      </c>
      <c r="BT41" s="22"/>
      <c r="BU41" s="17" t="s">
        <v>70</v>
      </c>
      <c r="BW41" s="94"/>
      <c r="BX41" s="17">
        <v>124</v>
      </c>
      <c r="BY41" s="17">
        <v>125886</v>
      </c>
      <c r="CA41" s="94"/>
      <c r="CB41" s="17" t="s">
        <v>83</v>
      </c>
      <c r="CC41" s="17" t="s">
        <v>568</v>
      </c>
      <c r="CD41" s="17" t="s">
        <v>578</v>
      </c>
      <c r="CE41" s="17" t="s">
        <v>111</v>
      </c>
      <c r="CF41" s="17" t="s">
        <v>1132</v>
      </c>
      <c r="CG41" s="17" t="s">
        <v>828</v>
      </c>
      <c r="CH41" s="17" t="s">
        <v>137</v>
      </c>
      <c r="CI41" s="23">
        <v>5268</v>
      </c>
      <c r="CJ41" s="23" t="b">
        <v>0</v>
      </c>
      <c r="CK41" s="23" t="b">
        <v>0</v>
      </c>
      <c r="CL41" s="23" t="b">
        <v>0</v>
      </c>
      <c r="CM41" s="23" t="b">
        <v>1</v>
      </c>
      <c r="CN41" s="23" t="b">
        <v>0</v>
      </c>
      <c r="CO41" s="23" t="s">
        <v>61</v>
      </c>
      <c r="CP41" s="52"/>
      <c r="CQ41" s="24" t="s">
        <v>263</v>
      </c>
      <c r="CR41" s="17" t="s">
        <v>127</v>
      </c>
      <c r="CT41" s="24" t="s">
        <v>263</v>
      </c>
      <c r="CU41" s="17" t="s">
        <v>58</v>
      </c>
      <c r="CW41" s="24" t="s">
        <v>232</v>
      </c>
      <c r="CX41" s="10" t="s">
        <v>129</v>
      </c>
      <c r="CY41" s="10"/>
      <c r="CZ41" s="24" t="s">
        <v>263</v>
      </c>
      <c r="DA41" s="24" t="s">
        <v>61</v>
      </c>
      <c r="DB41" s="24"/>
      <c r="DC41" s="24" t="s">
        <v>263</v>
      </c>
      <c r="DD41" s="17" t="s">
        <v>58</v>
      </c>
      <c r="DE41" s="24"/>
      <c r="DF41" s="17" t="s">
        <v>262</v>
      </c>
      <c r="DG41" s="17" t="s">
        <v>177</v>
      </c>
      <c r="DI41" s="17" t="s">
        <v>262</v>
      </c>
      <c r="DJ41" s="24" t="s">
        <v>264</v>
      </c>
      <c r="DK41" s="24"/>
      <c r="DL41" s="17" t="s">
        <v>262</v>
      </c>
      <c r="DM41" t="s">
        <v>98</v>
      </c>
      <c r="DN41" s="24"/>
      <c r="DP41" s="17" t="s">
        <v>262</v>
      </c>
      <c r="DQ41" s="23">
        <v>8478</v>
      </c>
      <c r="DR41" s="28"/>
      <c r="DS41" s="28"/>
    </row>
    <row r="42" spans="1:126" ht="16.5" x14ac:dyDescent="0.25">
      <c r="A42" s="97"/>
      <c r="B42" s="97"/>
      <c r="C42" s="97"/>
      <c r="D42" s="97"/>
      <c r="E42" s="97"/>
      <c r="F42" s="97"/>
      <c r="G42" s="98"/>
      <c r="H42" s="97"/>
      <c r="I42" s="97"/>
      <c r="J42" s="97"/>
      <c r="K42" s="97"/>
      <c r="L42" s="97"/>
      <c r="M42" s="97"/>
      <c r="N42" s="97"/>
      <c r="O42" s="97"/>
      <c r="P42" s="97"/>
      <c r="Q42" s="100"/>
      <c r="R42" s="101"/>
      <c r="S42" s="99"/>
      <c r="T42" s="99"/>
      <c r="U42" s="97"/>
      <c r="V42" s="20" t="str">
        <f t="shared" si="1"/>
        <v/>
      </c>
      <c r="W42" s="20" t="str">
        <f t="shared" si="2"/>
        <v/>
      </c>
      <c r="X42" s="20" t="str">
        <f t="shared" si="3"/>
        <v/>
      </c>
      <c r="Y42" s="20" t="str">
        <f t="shared" si="4"/>
        <v/>
      </c>
      <c r="Z42" s="20" t="str">
        <f t="shared" si="5"/>
        <v/>
      </c>
      <c r="AA42" s="20" t="str">
        <f t="shared" si="6"/>
        <v/>
      </c>
      <c r="AB42" s="20" t="str">
        <f t="shared" si="7"/>
        <v/>
      </c>
      <c r="AC42" s="20" t="str">
        <f t="shared" si="8"/>
        <v/>
      </c>
      <c r="AD42" s="20" t="str">
        <f t="shared" si="9"/>
        <v/>
      </c>
      <c r="AE42" s="20" t="str">
        <f t="shared" si="10"/>
        <v/>
      </c>
      <c r="AF42" s="20" t="str">
        <f t="shared" si="11"/>
        <v/>
      </c>
      <c r="AG42" s="20" t="str">
        <f t="shared" si="12"/>
        <v/>
      </c>
      <c r="AH42" s="20" t="str">
        <f t="shared" si="13"/>
        <v/>
      </c>
      <c r="AI42" s="20" t="str">
        <f t="shared" si="14"/>
        <v/>
      </c>
      <c r="AJ42" s="20" t="str">
        <f t="shared" si="15"/>
        <v/>
      </c>
      <c r="AK42" s="20" t="str">
        <f t="shared" si="16"/>
        <v/>
      </c>
      <c r="AL42" s="20" t="str">
        <f t="shared" si="17"/>
        <v/>
      </c>
      <c r="AM42" s="20" t="str">
        <f t="shared" si="18"/>
        <v/>
      </c>
      <c r="AN42" s="20" t="str">
        <f t="shared" si="19"/>
        <v/>
      </c>
      <c r="AO42" s="20" t="str">
        <f t="shared" si="20"/>
        <v/>
      </c>
      <c r="AP42" s="20" t="str">
        <f t="shared" si="21"/>
        <v/>
      </c>
      <c r="AQ42" s="20" t="str">
        <f t="shared" si="22"/>
        <v/>
      </c>
      <c r="AR42" s="20" t="str">
        <f t="shared" si="23"/>
        <v/>
      </c>
      <c r="AS42" s="20" t="str">
        <f t="shared" si="24"/>
        <v/>
      </c>
      <c r="AT42" s="20" t="str">
        <f t="shared" si="25"/>
        <v/>
      </c>
      <c r="AU42" s="20" t="str">
        <f t="shared" si="26"/>
        <v/>
      </c>
      <c r="AV42" s="20" t="str">
        <f t="shared" si="27"/>
        <v/>
      </c>
      <c r="AW42" s="20" t="str">
        <f t="shared" si="28"/>
        <v/>
      </c>
      <c r="BD42" s="17" t="s">
        <v>137</v>
      </c>
      <c r="BE42" s="17" t="s">
        <v>828</v>
      </c>
      <c r="BF42" s="17" t="s">
        <v>103</v>
      </c>
      <c r="BG42" s="17" t="s">
        <v>596</v>
      </c>
      <c r="BH42" s="17" t="s">
        <v>92</v>
      </c>
      <c r="BI42" s="17" t="s">
        <v>859</v>
      </c>
      <c r="BK42" t="s">
        <v>694</v>
      </c>
      <c r="BL42" t="s">
        <v>694</v>
      </c>
      <c r="BM42" s="18" t="s">
        <v>490</v>
      </c>
      <c r="BN42" s="18" t="s">
        <v>221</v>
      </c>
      <c r="BO42" s="17" t="s">
        <v>74</v>
      </c>
      <c r="BP42" s="17" t="s">
        <v>74</v>
      </c>
      <c r="BQ42" s="17" t="s">
        <v>222</v>
      </c>
      <c r="BR42" s="17" t="s">
        <v>999</v>
      </c>
      <c r="BS42" s="22" t="s">
        <v>715</v>
      </c>
      <c r="BU42" s="17" t="s">
        <v>70</v>
      </c>
      <c r="BX42" s="17">
        <v>124</v>
      </c>
      <c r="BY42" s="17">
        <v>125886</v>
      </c>
      <c r="CB42" s="17" t="s">
        <v>83</v>
      </c>
      <c r="CC42" s="17" t="s">
        <v>568</v>
      </c>
      <c r="CD42" s="17" t="s">
        <v>578</v>
      </c>
      <c r="CE42" s="17" t="s">
        <v>111</v>
      </c>
      <c r="CF42" s="17" t="s">
        <v>1132</v>
      </c>
      <c r="CG42" s="17" t="s">
        <v>828</v>
      </c>
      <c r="CH42" s="17" t="s">
        <v>137</v>
      </c>
      <c r="CI42" s="23">
        <v>5268</v>
      </c>
      <c r="CJ42" s="23" t="b">
        <v>0</v>
      </c>
      <c r="CK42" s="23" t="b">
        <v>0</v>
      </c>
      <c r="CL42" s="23" t="b">
        <v>0</v>
      </c>
      <c r="CM42" s="23" t="b">
        <v>1</v>
      </c>
      <c r="CN42" s="23" t="b">
        <v>0</v>
      </c>
      <c r="CO42" s="23" t="s">
        <v>61</v>
      </c>
      <c r="CP42" s="49"/>
      <c r="CQ42" s="17" t="s">
        <v>265</v>
      </c>
      <c r="CR42" s="17" t="s">
        <v>150</v>
      </c>
      <c r="CT42" s="17" t="s">
        <v>265</v>
      </c>
      <c r="CU42" s="17" t="s">
        <v>58</v>
      </c>
      <c r="CW42" s="24" t="s">
        <v>236</v>
      </c>
      <c r="CX42" s="10" t="s">
        <v>129</v>
      </c>
      <c r="CY42" s="10"/>
      <c r="CZ42" s="17" t="s">
        <v>265</v>
      </c>
      <c r="DA42" s="24" t="s">
        <v>61</v>
      </c>
      <c r="DB42" s="24"/>
      <c r="DC42" s="17" t="s">
        <v>265</v>
      </c>
      <c r="DD42" s="17" t="s">
        <v>58</v>
      </c>
      <c r="DE42" s="24"/>
      <c r="DF42" s="17" t="s">
        <v>175</v>
      </c>
      <c r="DG42" s="17" t="s">
        <v>120</v>
      </c>
      <c r="DI42" s="17" t="s">
        <v>175</v>
      </c>
      <c r="DJ42" s="24" t="s">
        <v>266</v>
      </c>
      <c r="DK42" s="24"/>
      <c r="DL42" s="17" t="s">
        <v>175</v>
      </c>
      <c r="DM42" t="s">
        <v>98</v>
      </c>
      <c r="DN42" s="24"/>
      <c r="DP42" s="17" t="s">
        <v>175</v>
      </c>
      <c r="DQ42" s="17">
        <v>8352</v>
      </c>
    </row>
    <row r="43" spans="1:126" ht="16.5" x14ac:dyDescent="0.25">
      <c r="A43" s="97"/>
      <c r="B43" s="97"/>
      <c r="C43" s="97"/>
      <c r="D43" s="97"/>
      <c r="E43" s="97"/>
      <c r="F43" s="97"/>
      <c r="G43" s="98"/>
      <c r="H43" s="97"/>
      <c r="I43" s="97"/>
      <c r="J43" s="97"/>
      <c r="K43" s="97"/>
      <c r="L43" s="97"/>
      <c r="M43" s="97"/>
      <c r="N43" s="97"/>
      <c r="O43" s="97"/>
      <c r="P43" s="97"/>
      <c r="Q43" s="100"/>
      <c r="R43" s="101"/>
      <c r="S43" s="99"/>
      <c r="T43" s="99"/>
      <c r="U43" s="97"/>
      <c r="V43" s="20" t="str">
        <f t="shared" si="1"/>
        <v/>
      </c>
      <c r="W43" s="20" t="str">
        <f t="shared" si="2"/>
        <v/>
      </c>
      <c r="X43" s="20" t="str">
        <f t="shared" si="3"/>
        <v/>
      </c>
      <c r="Y43" s="20" t="str">
        <f t="shared" si="4"/>
        <v/>
      </c>
      <c r="Z43" s="20" t="str">
        <f t="shared" si="5"/>
        <v/>
      </c>
      <c r="AA43" s="20" t="str">
        <f t="shared" si="6"/>
        <v/>
      </c>
      <c r="AB43" s="20" t="str">
        <f t="shared" si="7"/>
        <v/>
      </c>
      <c r="AC43" s="20" t="str">
        <f t="shared" si="8"/>
        <v/>
      </c>
      <c r="AD43" s="20" t="str">
        <f t="shared" si="9"/>
        <v/>
      </c>
      <c r="AE43" s="20" t="str">
        <f t="shared" si="10"/>
        <v/>
      </c>
      <c r="AF43" s="20" t="str">
        <f t="shared" si="11"/>
        <v/>
      </c>
      <c r="AG43" s="20" t="str">
        <f t="shared" si="12"/>
        <v/>
      </c>
      <c r="AH43" s="20" t="str">
        <f t="shared" si="13"/>
        <v/>
      </c>
      <c r="AI43" s="20" t="str">
        <f t="shared" si="14"/>
        <v/>
      </c>
      <c r="AJ43" s="20" t="str">
        <f t="shared" si="15"/>
        <v/>
      </c>
      <c r="AK43" s="20" t="str">
        <f t="shared" si="16"/>
        <v/>
      </c>
      <c r="AL43" s="20" t="str">
        <f t="shared" si="17"/>
        <v/>
      </c>
      <c r="AM43" s="20" t="str">
        <f t="shared" si="18"/>
        <v/>
      </c>
      <c r="AN43" s="20" t="str">
        <f t="shared" si="19"/>
        <v/>
      </c>
      <c r="AO43" s="20" t="str">
        <f t="shared" si="20"/>
        <v/>
      </c>
      <c r="AP43" s="20" t="str">
        <f t="shared" si="21"/>
        <v/>
      </c>
      <c r="AQ43" s="20" t="str">
        <f t="shared" si="22"/>
        <v/>
      </c>
      <c r="AR43" s="20" t="str">
        <f t="shared" si="23"/>
        <v/>
      </c>
      <c r="AS43" s="20" t="str">
        <f t="shared" si="24"/>
        <v/>
      </c>
      <c r="AT43" s="20" t="str">
        <f t="shared" si="25"/>
        <v/>
      </c>
      <c r="AU43" s="20" t="str">
        <f t="shared" si="26"/>
        <v/>
      </c>
      <c r="AV43" s="20" t="str">
        <f t="shared" si="27"/>
        <v/>
      </c>
      <c r="AW43" s="20" t="str">
        <f t="shared" si="28"/>
        <v/>
      </c>
      <c r="BD43" s="17" t="s">
        <v>137</v>
      </c>
      <c r="BE43" s="17" t="s">
        <v>828</v>
      </c>
      <c r="BF43" s="17" t="s">
        <v>103</v>
      </c>
      <c r="BG43" s="17" t="s">
        <v>127</v>
      </c>
      <c r="BH43" s="17" t="s">
        <v>58</v>
      </c>
      <c r="BI43" s="17" t="s">
        <v>860</v>
      </c>
      <c r="BK43" s="64" t="s">
        <v>693</v>
      </c>
      <c r="BL43" s="64" t="s">
        <v>693</v>
      </c>
      <c r="BM43" s="18" t="s">
        <v>489</v>
      </c>
      <c r="BN43" s="18" t="s">
        <v>221</v>
      </c>
      <c r="BO43" s="17" t="s">
        <v>74</v>
      </c>
      <c r="BP43" s="17" t="s">
        <v>74</v>
      </c>
      <c r="BQ43" s="17" t="s">
        <v>222</v>
      </c>
      <c r="BR43" s="17" t="s">
        <v>999</v>
      </c>
      <c r="BS43" s="22" t="s">
        <v>52</v>
      </c>
      <c r="BU43" s="17" t="s">
        <v>70</v>
      </c>
      <c r="BX43" s="17">
        <v>721</v>
      </c>
      <c r="BY43" s="17">
        <v>125886</v>
      </c>
      <c r="CB43" s="17" t="s">
        <v>58</v>
      </c>
      <c r="CC43" s="17" t="s">
        <v>568</v>
      </c>
      <c r="CD43" s="17" t="s">
        <v>578</v>
      </c>
      <c r="CE43" s="17" t="s">
        <v>111</v>
      </c>
      <c r="CF43" s="17" t="s">
        <v>1132</v>
      </c>
      <c r="CG43" s="17" t="s">
        <v>828</v>
      </c>
      <c r="CH43" s="17" t="s">
        <v>137</v>
      </c>
      <c r="CI43" s="23">
        <v>5268</v>
      </c>
      <c r="CJ43" s="23" t="b">
        <v>0</v>
      </c>
      <c r="CK43" s="23" t="b">
        <v>1</v>
      </c>
      <c r="CL43" s="23" t="b">
        <v>0</v>
      </c>
      <c r="CM43" s="23" t="b">
        <v>0</v>
      </c>
      <c r="CN43" s="23" t="b">
        <v>0</v>
      </c>
      <c r="CO43" s="23" t="s">
        <v>61</v>
      </c>
      <c r="CP43" s="49"/>
      <c r="CQ43" s="24" t="s">
        <v>267</v>
      </c>
      <c r="CR43" s="17" t="s">
        <v>127</v>
      </c>
      <c r="CT43" s="24" t="s">
        <v>267</v>
      </c>
      <c r="CU43" s="17" t="s">
        <v>83</v>
      </c>
      <c r="CW43" s="17" t="s">
        <v>240</v>
      </c>
      <c r="CX43" s="10" t="s">
        <v>144</v>
      </c>
      <c r="CY43" s="10"/>
      <c r="CZ43" s="24" t="s">
        <v>267</v>
      </c>
      <c r="DA43" s="24" t="s">
        <v>61</v>
      </c>
      <c r="DB43" s="24"/>
      <c r="DC43" s="24" t="s">
        <v>267</v>
      </c>
      <c r="DD43" s="17" t="s">
        <v>83</v>
      </c>
      <c r="DE43" s="24"/>
      <c r="DF43" s="17" t="s">
        <v>181</v>
      </c>
      <c r="DG43" s="17" t="s">
        <v>227</v>
      </c>
      <c r="DI43" s="17" t="s">
        <v>181</v>
      </c>
      <c r="DJ43" s="24" t="s">
        <v>268</v>
      </c>
      <c r="DK43" s="24"/>
      <c r="DL43" s="17" t="s">
        <v>181</v>
      </c>
      <c r="DM43" s="32" t="s">
        <v>111</v>
      </c>
      <c r="DN43" s="24"/>
      <c r="DP43" s="17" t="s">
        <v>181</v>
      </c>
      <c r="DQ43" s="17">
        <v>6726</v>
      </c>
    </row>
    <row r="44" spans="1:126" ht="16.5" x14ac:dyDescent="0.25">
      <c r="A44" s="97"/>
      <c r="B44" s="97"/>
      <c r="C44" s="97"/>
      <c r="D44" s="97"/>
      <c r="E44" s="97"/>
      <c r="F44" s="97"/>
      <c r="G44" s="98"/>
      <c r="H44" s="97"/>
      <c r="I44" s="97"/>
      <c r="J44" s="97"/>
      <c r="K44" s="97"/>
      <c r="L44" s="97"/>
      <c r="M44" s="97"/>
      <c r="N44" s="97"/>
      <c r="O44" s="97"/>
      <c r="P44" s="97"/>
      <c r="Q44" s="100"/>
      <c r="R44" s="101"/>
      <c r="S44" s="99"/>
      <c r="T44" s="99"/>
      <c r="U44" s="97"/>
      <c r="V44" s="20" t="str">
        <f t="shared" si="1"/>
        <v/>
      </c>
      <c r="W44" s="20" t="str">
        <f t="shared" si="2"/>
        <v/>
      </c>
      <c r="X44" s="20" t="str">
        <f t="shared" si="3"/>
        <v/>
      </c>
      <c r="Y44" s="20" t="str">
        <f t="shared" si="4"/>
        <v/>
      </c>
      <c r="Z44" s="20" t="str">
        <f t="shared" si="5"/>
        <v/>
      </c>
      <c r="AA44" s="20" t="str">
        <f t="shared" si="6"/>
        <v/>
      </c>
      <c r="AB44" s="20" t="str">
        <f t="shared" si="7"/>
        <v/>
      </c>
      <c r="AC44" s="20" t="str">
        <f t="shared" si="8"/>
        <v/>
      </c>
      <c r="AD44" s="20" t="str">
        <f t="shared" si="9"/>
        <v/>
      </c>
      <c r="AE44" s="20" t="str">
        <f t="shared" si="10"/>
        <v/>
      </c>
      <c r="AF44" s="20" t="str">
        <f t="shared" si="11"/>
        <v/>
      </c>
      <c r="AG44" s="20" t="str">
        <f t="shared" si="12"/>
        <v/>
      </c>
      <c r="AH44" s="20" t="str">
        <f t="shared" si="13"/>
        <v/>
      </c>
      <c r="AI44" s="20" t="str">
        <f t="shared" si="14"/>
        <v/>
      </c>
      <c r="AJ44" s="20" t="str">
        <f t="shared" si="15"/>
        <v/>
      </c>
      <c r="AK44" s="20" t="str">
        <f t="shared" si="16"/>
        <v/>
      </c>
      <c r="AL44" s="20" t="str">
        <f t="shared" si="17"/>
        <v/>
      </c>
      <c r="AM44" s="20" t="str">
        <f t="shared" si="18"/>
        <v/>
      </c>
      <c r="AN44" s="20" t="str">
        <f t="shared" si="19"/>
        <v/>
      </c>
      <c r="AO44" s="20" t="str">
        <f t="shared" si="20"/>
        <v/>
      </c>
      <c r="AP44" s="20" t="str">
        <f t="shared" si="21"/>
        <v/>
      </c>
      <c r="AQ44" s="20" t="str">
        <f t="shared" si="22"/>
        <v/>
      </c>
      <c r="AR44" s="20" t="str">
        <f t="shared" si="23"/>
        <v/>
      </c>
      <c r="AS44" s="20" t="str">
        <f t="shared" si="24"/>
        <v/>
      </c>
      <c r="AT44" s="20" t="str">
        <f t="shared" si="25"/>
        <v/>
      </c>
      <c r="AU44" s="20" t="str">
        <f t="shared" si="26"/>
        <v/>
      </c>
      <c r="AV44" s="20" t="str">
        <f t="shared" si="27"/>
        <v/>
      </c>
      <c r="AW44" s="20" t="str">
        <f t="shared" si="28"/>
        <v/>
      </c>
      <c r="BD44" s="17" t="s">
        <v>137</v>
      </c>
      <c r="BE44" s="17" t="s">
        <v>828</v>
      </c>
      <c r="BF44" s="17" t="s">
        <v>103</v>
      </c>
      <c r="BG44" s="17" t="s">
        <v>150</v>
      </c>
      <c r="BH44" s="17" t="s">
        <v>58</v>
      </c>
      <c r="BI44" s="17" t="s">
        <v>861</v>
      </c>
      <c r="BK44" t="s">
        <v>693</v>
      </c>
      <c r="BL44" t="s">
        <v>693</v>
      </c>
      <c r="BM44" s="18" t="s">
        <v>489</v>
      </c>
      <c r="BN44" s="18" t="s">
        <v>221</v>
      </c>
      <c r="BO44" s="17" t="s">
        <v>74</v>
      </c>
      <c r="BP44" s="17" t="s">
        <v>74</v>
      </c>
      <c r="BQ44" s="17" t="s">
        <v>222</v>
      </c>
      <c r="BR44" s="17" t="s">
        <v>999</v>
      </c>
      <c r="BS44" s="22" t="s">
        <v>52</v>
      </c>
      <c r="BU44" s="17" t="s">
        <v>70</v>
      </c>
      <c r="BX44" s="17">
        <v>721</v>
      </c>
      <c r="BY44" s="17">
        <v>125886</v>
      </c>
      <c r="CB44" s="17" t="s">
        <v>58</v>
      </c>
      <c r="CC44" s="17" t="s">
        <v>568</v>
      </c>
      <c r="CD44" s="17" t="s">
        <v>578</v>
      </c>
      <c r="CE44" s="17" t="s">
        <v>111</v>
      </c>
      <c r="CF44" s="17" t="s">
        <v>1132</v>
      </c>
      <c r="CG44" s="17" t="s">
        <v>828</v>
      </c>
      <c r="CH44" s="17" t="s">
        <v>137</v>
      </c>
      <c r="CI44" s="23">
        <v>5268</v>
      </c>
      <c r="CJ44" s="23" t="b">
        <v>0</v>
      </c>
      <c r="CK44" s="23" t="b">
        <v>0</v>
      </c>
      <c r="CL44" s="23" t="b">
        <v>0</v>
      </c>
      <c r="CM44" s="23" t="b">
        <v>1</v>
      </c>
      <c r="CN44" s="23" t="b">
        <v>0</v>
      </c>
      <c r="CO44" s="23" t="s">
        <v>61</v>
      </c>
      <c r="CP44" s="49"/>
      <c r="CQ44" s="24" t="s">
        <v>269</v>
      </c>
      <c r="CR44" s="17" t="s">
        <v>150</v>
      </c>
      <c r="CT44" s="24" t="s">
        <v>269</v>
      </c>
      <c r="CU44" s="17" t="s">
        <v>83</v>
      </c>
      <c r="CW44" s="17" t="s">
        <v>243</v>
      </c>
      <c r="CX44" s="10" t="s">
        <v>144</v>
      </c>
      <c r="CY44" s="10"/>
      <c r="CZ44" s="24" t="s">
        <v>269</v>
      </c>
      <c r="DA44" s="24" t="s">
        <v>61</v>
      </c>
      <c r="DB44" s="24"/>
      <c r="DC44" s="24" t="s">
        <v>269</v>
      </c>
      <c r="DD44" s="17" t="s">
        <v>83</v>
      </c>
      <c r="DE44" s="24"/>
      <c r="DF44" s="17" t="s">
        <v>186</v>
      </c>
      <c r="DG44" s="24" t="s">
        <v>86</v>
      </c>
      <c r="DH44" s="24"/>
      <c r="DI44" s="17" t="s">
        <v>186</v>
      </c>
      <c r="DJ44" s="24" t="s">
        <v>233</v>
      </c>
      <c r="DK44" s="24"/>
      <c r="DL44" s="17" t="s">
        <v>186</v>
      </c>
      <c r="DM44" s="32" t="s">
        <v>111</v>
      </c>
      <c r="DN44" s="24"/>
      <c r="DP44" s="17" t="s">
        <v>186</v>
      </c>
      <c r="DQ44" s="17">
        <v>9705</v>
      </c>
    </row>
    <row r="45" spans="1:126" ht="16.5" x14ac:dyDescent="0.25">
      <c r="A45" s="97"/>
      <c r="B45" s="97"/>
      <c r="C45" s="97"/>
      <c r="D45" s="97"/>
      <c r="E45" s="97"/>
      <c r="F45" s="97"/>
      <c r="G45" s="98"/>
      <c r="H45" s="97"/>
      <c r="I45" s="97"/>
      <c r="J45" s="97"/>
      <c r="K45" s="97"/>
      <c r="L45" s="97"/>
      <c r="M45" s="97"/>
      <c r="N45" s="97"/>
      <c r="O45" s="97"/>
      <c r="P45" s="97"/>
      <c r="Q45" s="100"/>
      <c r="R45" s="101"/>
      <c r="S45" s="99"/>
      <c r="T45" s="99"/>
      <c r="U45" s="97"/>
      <c r="V45" s="20" t="str">
        <f t="shared" si="1"/>
        <v/>
      </c>
      <c r="W45" s="20" t="str">
        <f t="shared" si="2"/>
        <v/>
      </c>
      <c r="X45" s="20" t="str">
        <f t="shared" si="3"/>
        <v/>
      </c>
      <c r="Y45" s="20" t="str">
        <f t="shared" si="4"/>
        <v/>
      </c>
      <c r="Z45" s="20" t="str">
        <f t="shared" si="5"/>
        <v/>
      </c>
      <c r="AA45" s="20" t="str">
        <f t="shared" si="6"/>
        <v/>
      </c>
      <c r="AB45" s="20" t="str">
        <f t="shared" si="7"/>
        <v/>
      </c>
      <c r="AC45" s="20" t="str">
        <f t="shared" si="8"/>
        <v/>
      </c>
      <c r="AD45" s="20" t="str">
        <f t="shared" si="9"/>
        <v/>
      </c>
      <c r="AE45" s="20" t="str">
        <f t="shared" si="10"/>
        <v/>
      </c>
      <c r="AF45" s="20" t="str">
        <f t="shared" si="11"/>
        <v/>
      </c>
      <c r="AG45" s="20" t="str">
        <f t="shared" si="12"/>
        <v/>
      </c>
      <c r="AH45" s="20" t="str">
        <f t="shared" si="13"/>
        <v/>
      </c>
      <c r="AI45" s="20" t="str">
        <f t="shared" si="14"/>
        <v/>
      </c>
      <c r="AJ45" s="20" t="str">
        <f t="shared" si="15"/>
        <v/>
      </c>
      <c r="AK45" s="20" t="str">
        <f t="shared" si="16"/>
        <v/>
      </c>
      <c r="AL45" s="20" t="str">
        <f t="shared" si="17"/>
        <v/>
      </c>
      <c r="AM45" s="20" t="str">
        <f t="shared" si="18"/>
        <v/>
      </c>
      <c r="AN45" s="20" t="str">
        <f t="shared" si="19"/>
        <v/>
      </c>
      <c r="AO45" s="20" t="str">
        <f t="shared" si="20"/>
        <v/>
      </c>
      <c r="AP45" s="20" t="str">
        <f t="shared" si="21"/>
        <v/>
      </c>
      <c r="AQ45" s="20" t="str">
        <f t="shared" si="22"/>
        <v/>
      </c>
      <c r="AR45" s="20" t="str">
        <f t="shared" si="23"/>
        <v/>
      </c>
      <c r="AS45" s="20" t="str">
        <f t="shared" si="24"/>
        <v/>
      </c>
      <c r="AT45" s="20" t="str">
        <f t="shared" si="25"/>
        <v/>
      </c>
      <c r="AU45" s="20" t="str">
        <f t="shared" si="26"/>
        <v/>
      </c>
      <c r="AV45" s="20" t="str">
        <f t="shared" si="27"/>
        <v/>
      </c>
      <c r="AW45" s="20" t="str">
        <f t="shared" si="28"/>
        <v/>
      </c>
      <c r="BD45" s="17" t="s">
        <v>137</v>
      </c>
      <c r="BE45" s="17" t="s">
        <v>828</v>
      </c>
      <c r="BF45" s="17" t="s">
        <v>103</v>
      </c>
      <c r="BG45" s="17" t="s">
        <v>595</v>
      </c>
      <c r="BH45" s="17" t="s">
        <v>58</v>
      </c>
      <c r="BI45" s="17" t="s">
        <v>862</v>
      </c>
      <c r="BK45" s="80" t="s">
        <v>771</v>
      </c>
      <c r="BL45" s="80" t="s">
        <v>771</v>
      </c>
      <c r="BM45" s="18" t="s">
        <v>489</v>
      </c>
      <c r="BN45" s="18" t="s">
        <v>221</v>
      </c>
      <c r="BO45" s="17" t="s">
        <v>74</v>
      </c>
      <c r="BP45" s="17" t="s">
        <v>74</v>
      </c>
      <c r="BQ45" s="17" t="s">
        <v>222</v>
      </c>
      <c r="BR45" t="s">
        <v>1000</v>
      </c>
      <c r="BS45" s="22" t="s">
        <v>715</v>
      </c>
      <c r="BU45" s="17" t="s">
        <v>70</v>
      </c>
      <c r="BX45" s="17">
        <v>721</v>
      </c>
      <c r="BY45" s="17">
        <v>125886</v>
      </c>
      <c r="CB45" s="17" t="s">
        <v>58</v>
      </c>
      <c r="CC45" s="17" t="s">
        <v>568</v>
      </c>
      <c r="CD45" s="17" t="s">
        <v>578</v>
      </c>
      <c r="CE45" s="17" t="s">
        <v>111</v>
      </c>
      <c r="CF45" s="17" t="s">
        <v>1132</v>
      </c>
      <c r="CG45" s="17" t="s">
        <v>828</v>
      </c>
      <c r="CH45" s="17" t="s">
        <v>137</v>
      </c>
      <c r="CI45" s="23">
        <v>5268</v>
      </c>
      <c r="CJ45" s="23" t="b">
        <v>1</v>
      </c>
      <c r="CK45" s="23" t="b">
        <v>0</v>
      </c>
      <c r="CL45" s="23" t="b">
        <v>0</v>
      </c>
      <c r="CM45" s="23" t="b">
        <v>0</v>
      </c>
      <c r="CN45" s="23" t="b">
        <v>0</v>
      </c>
      <c r="CO45" s="23" t="s">
        <v>61</v>
      </c>
      <c r="CP45" s="49"/>
      <c r="CQ45" s="17" t="s">
        <v>270</v>
      </c>
      <c r="CR45" s="17" t="s">
        <v>57</v>
      </c>
      <c r="CT45" s="17" t="s">
        <v>270</v>
      </c>
      <c r="CU45" s="17" t="s">
        <v>58</v>
      </c>
      <c r="CW45" s="17" t="s">
        <v>246</v>
      </c>
      <c r="CX45" s="10" t="s">
        <v>144</v>
      </c>
      <c r="CY45" s="10"/>
      <c r="CZ45" s="17" t="s">
        <v>270</v>
      </c>
      <c r="DA45" s="24" t="s">
        <v>73</v>
      </c>
      <c r="DB45" s="24"/>
      <c r="DC45" s="17" t="s">
        <v>270</v>
      </c>
      <c r="DD45" s="17" t="s">
        <v>58</v>
      </c>
      <c r="DE45" s="24"/>
      <c r="DF45" s="17" t="s">
        <v>190</v>
      </c>
      <c r="DG45" s="24" t="s">
        <v>212</v>
      </c>
      <c r="DH45" s="24"/>
      <c r="DI45" s="17" t="s">
        <v>190</v>
      </c>
      <c r="DJ45" s="24" t="s">
        <v>213</v>
      </c>
      <c r="DK45" s="24"/>
      <c r="DL45" s="17" t="s">
        <v>190</v>
      </c>
      <c r="DM45" s="32" t="s">
        <v>111</v>
      </c>
      <c r="DN45" s="24"/>
      <c r="DP45" s="17" t="s">
        <v>190</v>
      </c>
      <c r="DQ45" s="28">
        <v>4704</v>
      </c>
    </row>
    <row r="46" spans="1:126" ht="16.5" x14ac:dyDescent="0.25">
      <c r="A46" s="97"/>
      <c r="B46" s="97"/>
      <c r="C46" s="97"/>
      <c r="D46" s="97"/>
      <c r="E46" s="97"/>
      <c r="F46" s="97"/>
      <c r="G46" s="98"/>
      <c r="H46" s="97"/>
      <c r="I46" s="97"/>
      <c r="J46" s="97"/>
      <c r="K46" s="97"/>
      <c r="L46" s="97"/>
      <c r="M46" s="97"/>
      <c r="N46" s="97"/>
      <c r="O46" s="97"/>
      <c r="P46" s="97"/>
      <c r="Q46" s="100"/>
      <c r="R46" s="101"/>
      <c r="S46" s="99"/>
      <c r="T46" s="99"/>
      <c r="U46" s="97"/>
      <c r="V46" s="20" t="str">
        <f t="shared" si="1"/>
        <v/>
      </c>
      <c r="W46" s="20" t="str">
        <f t="shared" si="2"/>
        <v/>
      </c>
      <c r="X46" s="20" t="str">
        <f t="shared" si="3"/>
        <v/>
      </c>
      <c r="Y46" s="20" t="str">
        <f t="shared" si="4"/>
        <v/>
      </c>
      <c r="Z46" s="20" t="str">
        <f t="shared" si="5"/>
        <v/>
      </c>
      <c r="AA46" s="20" t="str">
        <f t="shared" si="6"/>
        <v/>
      </c>
      <c r="AB46" s="20" t="str">
        <f t="shared" si="7"/>
        <v/>
      </c>
      <c r="AC46" s="20" t="str">
        <f t="shared" si="8"/>
        <v/>
      </c>
      <c r="AD46" s="20" t="str">
        <f t="shared" si="9"/>
        <v/>
      </c>
      <c r="AE46" s="20" t="str">
        <f t="shared" si="10"/>
        <v/>
      </c>
      <c r="AF46" s="20" t="str">
        <f t="shared" si="11"/>
        <v/>
      </c>
      <c r="AG46" s="20" t="str">
        <f t="shared" si="12"/>
        <v/>
      </c>
      <c r="AH46" s="20" t="str">
        <f t="shared" si="13"/>
        <v/>
      </c>
      <c r="AI46" s="20" t="str">
        <f t="shared" si="14"/>
        <v/>
      </c>
      <c r="AJ46" s="20" t="str">
        <f t="shared" si="15"/>
        <v/>
      </c>
      <c r="AK46" s="20" t="str">
        <f t="shared" si="16"/>
        <v/>
      </c>
      <c r="AL46" s="20" t="str">
        <f t="shared" si="17"/>
        <v/>
      </c>
      <c r="AM46" s="20" t="str">
        <f t="shared" si="18"/>
        <v/>
      </c>
      <c r="AN46" s="20" t="str">
        <f t="shared" si="19"/>
        <v/>
      </c>
      <c r="AO46" s="20" t="str">
        <f t="shared" si="20"/>
        <v/>
      </c>
      <c r="AP46" s="20" t="str">
        <f t="shared" si="21"/>
        <v/>
      </c>
      <c r="AQ46" s="20" t="str">
        <f t="shared" si="22"/>
        <v/>
      </c>
      <c r="AR46" s="20" t="str">
        <f t="shared" si="23"/>
        <v/>
      </c>
      <c r="AS46" s="20" t="str">
        <f t="shared" si="24"/>
        <v/>
      </c>
      <c r="AT46" s="20" t="str">
        <f t="shared" si="25"/>
        <v/>
      </c>
      <c r="AU46" s="20" t="str">
        <f t="shared" si="26"/>
        <v/>
      </c>
      <c r="AV46" s="20" t="str">
        <f t="shared" si="27"/>
        <v/>
      </c>
      <c r="AW46" s="20" t="str">
        <f t="shared" si="28"/>
        <v/>
      </c>
      <c r="BD46" s="17" t="s">
        <v>178</v>
      </c>
      <c r="BE46" s="17" t="s">
        <v>73</v>
      </c>
      <c r="BF46" s="17" t="s">
        <v>597</v>
      </c>
      <c r="BG46" s="17" t="s">
        <v>596</v>
      </c>
      <c r="BH46" s="17" t="s">
        <v>92</v>
      </c>
      <c r="BI46" s="17" t="s">
        <v>817</v>
      </c>
      <c r="BJ46" s="94"/>
      <c r="BK46" s="79">
        <v>5573300</v>
      </c>
      <c r="BL46" s="79" t="s">
        <v>272</v>
      </c>
      <c r="BM46" s="18">
        <v>77</v>
      </c>
      <c r="BN46" s="95" t="s">
        <v>791</v>
      </c>
      <c r="BO46" s="17" t="s">
        <v>184</v>
      </c>
      <c r="BP46" s="17" t="s">
        <v>184</v>
      </c>
      <c r="BQ46" s="17" t="s">
        <v>271</v>
      </c>
      <c r="BR46" s="17" t="s">
        <v>988</v>
      </c>
      <c r="BS46" s="17" t="s">
        <v>67</v>
      </c>
      <c r="BU46" s="17" t="s">
        <v>56</v>
      </c>
      <c r="BW46" s="94"/>
      <c r="BX46" s="17">
        <v>776</v>
      </c>
      <c r="BY46" s="17">
        <v>207320</v>
      </c>
      <c r="CA46" s="94"/>
      <c r="CB46" s="17" t="s">
        <v>83</v>
      </c>
      <c r="CC46" s="17" t="s">
        <v>572</v>
      </c>
      <c r="CD46" s="17" t="s">
        <v>583</v>
      </c>
      <c r="CE46" s="17" t="s">
        <v>98</v>
      </c>
      <c r="CF46" s="17" t="s">
        <v>1132</v>
      </c>
      <c r="CG46" s="17" t="s">
        <v>73</v>
      </c>
      <c r="CH46" s="17" t="s">
        <v>178</v>
      </c>
      <c r="CI46" s="72">
        <v>5274</v>
      </c>
      <c r="CJ46" s="23" t="b">
        <v>0</v>
      </c>
      <c r="CK46" s="23" t="b">
        <v>0</v>
      </c>
      <c r="CL46" s="23" t="b">
        <v>0</v>
      </c>
      <c r="CM46" s="23" t="b">
        <v>1</v>
      </c>
      <c r="CN46" s="23" t="b">
        <v>0</v>
      </c>
      <c r="CO46" s="23" t="s">
        <v>61</v>
      </c>
      <c r="CP46" s="49"/>
      <c r="CQ46" s="17" t="s">
        <v>272</v>
      </c>
      <c r="CR46" s="17" t="s">
        <v>57</v>
      </c>
      <c r="CT46" s="17" t="s">
        <v>272</v>
      </c>
      <c r="CU46" s="17" t="s">
        <v>83</v>
      </c>
      <c r="CW46" s="17" t="s">
        <v>249</v>
      </c>
      <c r="CX46" s="10" t="s">
        <v>144</v>
      </c>
      <c r="CY46" s="10"/>
      <c r="CZ46" s="17" t="s">
        <v>272</v>
      </c>
      <c r="DA46" s="24" t="s">
        <v>73</v>
      </c>
      <c r="DB46" s="24"/>
      <c r="DC46" s="17" t="s">
        <v>272</v>
      </c>
      <c r="DD46" s="17" t="s">
        <v>83</v>
      </c>
      <c r="DE46" s="24"/>
      <c r="DF46" s="24" t="s">
        <v>273</v>
      </c>
      <c r="DG46" s="17" t="s">
        <v>198</v>
      </c>
      <c r="DI46" s="17" t="s">
        <v>273</v>
      </c>
      <c r="DJ46" s="17" t="s">
        <v>178</v>
      </c>
      <c r="DK46" s="24"/>
      <c r="DL46" s="24" t="s">
        <v>273</v>
      </c>
      <c r="DM46" s="24" t="s">
        <v>64</v>
      </c>
      <c r="DN46" s="24"/>
      <c r="DP46" s="17" t="s">
        <v>273</v>
      </c>
      <c r="DQ46" s="17">
        <v>1254</v>
      </c>
    </row>
    <row r="47" spans="1:126" ht="16.5" x14ac:dyDescent="0.25">
      <c r="A47" s="97"/>
      <c r="B47" s="97"/>
      <c r="C47" s="97"/>
      <c r="D47" s="97"/>
      <c r="E47" s="97"/>
      <c r="F47" s="97"/>
      <c r="G47" s="98"/>
      <c r="H47" s="97"/>
      <c r="I47" s="97"/>
      <c r="J47" s="97"/>
      <c r="K47" s="97"/>
      <c r="L47" s="97"/>
      <c r="M47" s="97"/>
      <c r="N47" s="97"/>
      <c r="O47" s="97"/>
      <c r="P47" s="97"/>
      <c r="Q47" s="100"/>
      <c r="R47" s="101"/>
      <c r="S47" s="99"/>
      <c r="T47" s="99"/>
      <c r="U47" s="97"/>
      <c r="V47" s="20" t="str">
        <f t="shared" si="1"/>
        <v/>
      </c>
      <c r="W47" s="20" t="str">
        <f t="shared" si="2"/>
        <v/>
      </c>
      <c r="X47" s="20" t="str">
        <f t="shared" si="3"/>
        <v/>
      </c>
      <c r="Y47" s="20" t="str">
        <f t="shared" si="4"/>
        <v/>
      </c>
      <c r="Z47" s="20" t="str">
        <f t="shared" si="5"/>
        <v/>
      </c>
      <c r="AA47" s="20" t="str">
        <f t="shared" si="6"/>
        <v/>
      </c>
      <c r="AB47" s="20" t="str">
        <f t="shared" si="7"/>
        <v/>
      </c>
      <c r="AC47" s="20" t="str">
        <f t="shared" si="8"/>
        <v/>
      </c>
      <c r="AD47" s="20" t="str">
        <f t="shared" si="9"/>
        <v/>
      </c>
      <c r="AE47" s="20" t="str">
        <f t="shared" si="10"/>
        <v/>
      </c>
      <c r="AF47" s="20" t="str">
        <f t="shared" si="11"/>
        <v/>
      </c>
      <c r="AG47" s="20" t="str">
        <f t="shared" si="12"/>
        <v/>
      </c>
      <c r="AH47" s="20" t="str">
        <f t="shared" si="13"/>
        <v/>
      </c>
      <c r="AI47" s="20" t="str">
        <f t="shared" si="14"/>
        <v/>
      </c>
      <c r="AJ47" s="20" t="str">
        <f t="shared" si="15"/>
        <v/>
      </c>
      <c r="AK47" s="20" t="str">
        <f t="shared" si="16"/>
        <v/>
      </c>
      <c r="AL47" s="20" t="str">
        <f t="shared" si="17"/>
        <v/>
      </c>
      <c r="AM47" s="20" t="str">
        <f t="shared" si="18"/>
        <v/>
      </c>
      <c r="AN47" s="20" t="str">
        <f t="shared" si="19"/>
        <v/>
      </c>
      <c r="AO47" s="20" t="str">
        <f t="shared" si="20"/>
        <v/>
      </c>
      <c r="AP47" s="20" t="str">
        <f t="shared" si="21"/>
        <v/>
      </c>
      <c r="AQ47" s="20" t="str">
        <f t="shared" si="22"/>
        <v/>
      </c>
      <c r="AR47" s="20" t="str">
        <f t="shared" si="23"/>
        <v/>
      </c>
      <c r="AS47" s="20" t="str">
        <f t="shared" si="24"/>
        <v/>
      </c>
      <c r="AT47" s="20" t="str">
        <f t="shared" si="25"/>
        <v/>
      </c>
      <c r="AU47" s="20" t="str">
        <f t="shared" si="26"/>
        <v/>
      </c>
      <c r="AV47" s="20" t="str">
        <f t="shared" si="27"/>
        <v/>
      </c>
      <c r="AW47" s="20" t="str">
        <f t="shared" si="28"/>
        <v/>
      </c>
      <c r="BD47" s="17" t="s">
        <v>178</v>
      </c>
      <c r="BE47" s="17" t="s">
        <v>73</v>
      </c>
      <c r="BF47" s="17" t="s">
        <v>597</v>
      </c>
      <c r="BG47" s="17" t="s">
        <v>595</v>
      </c>
      <c r="BH47" s="17" t="s">
        <v>58</v>
      </c>
      <c r="BI47" s="17" t="s">
        <v>818</v>
      </c>
      <c r="BJ47" s="94"/>
      <c r="BK47" s="79">
        <v>5573300</v>
      </c>
      <c r="BL47" s="79" t="s">
        <v>270</v>
      </c>
      <c r="BM47" s="18">
        <v>76</v>
      </c>
      <c r="BN47" s="95" t="s">
        <v>791</v>
      </c>
      <c r="BO47" s="17" t="s">
        <v>184</v>
      </c>
      <c r="BP47" s="17" t="s">
        <v>184</v>
      </c>
      <c r="BQ47" s="17" t="s">
        <v>271</v>
      </c>
      <c r="BR47" s="17" t="s">
        <v>988</v>
      </c>
      <c r="BS47" s="17" t="s">
        <v>67</v>
      </c>
      <c r="BU47" s="17" t="s">
        <v>56</v>
      </c>
      <c r="BW47" s="94"/>
      <c r="BX47" s="17">
        <v>768</v>
      </c>
      <c r="BY47" s="17">
        <v>207320</v>
      </c>
      <c r="CA47" s="94"/>
      <c r="CB47" s="17" t="s">
        <v>58</v>
      </c>
      <c r="CC47" s="17" t="s">
        <v>572</v>
      </c>
      <c r="CD47" s="17" t="s">
        <v>583</v>
      </c>
      <c r="CE47" s="17" t="s">
        <v>98</v>
      </c>
      <c r="CF47" s="17" t="s">
        <v>1132</v>
      </c>
      <c r="CG47" s="17" t="s">
        <v>73</v>
      </c>
      <c r="CH47" s="17" t="s">
        <v>178</v>
      </c>
      <c r="CI47" s="72">
        <v>5274</v>
      </c>
      <c r="CJ47" s="23" t="b">
        <v>1</v>
      </c>
      <c r="CK47" s="23" t="b">
        <v>0</v>
      </c>
      <c r="CL47" s="23" t="b">
        <v>0</v>
      </c>
      <c r="CM47" s="23" t="b">
        <v>0</v>
      </c>
      <c r="CN47" s="23" t="b">
        <v>0</v>
      </c>
      <c r="CO47" s="23" t="s">
        <v>61</v>
      </c>
      <c r="CP47" s="49"/>
      <c r="CQ47" s="17" t="s">
        <v>274</v>
      </c>
      <c r="CR47" s="17" t="s">
        <v>57</v>
      </c>
      <c r="CT47" s="17" t="s">
        <v>274</v>
      </c>
      <c r="CU47" s="17" t="s">
        <v>58</v>
      </c>
      <c r="CW47" s="17" t="s">
        <v>252</v>
      </c>
      <c r="CX47" s="10" t="s">
        <v>144</v>
      </c>
      <c r="CY47" s="10"/>
      <c r="CZ47" s="17" t="s">
        <v>274</v>
      </c>
      <c r="DA47" s="24" t="s">
        <v>73</v>
      </c>
      <c r="DB47" s="24"/>
      <c r="DC47" s="17" t="s">
        <v>274</v>
      </c>
      <c r="DD47" s="17" t="s">
        <v>58</v>
      </c>
      <c r="DE47" s="24"/>
      <c r="DF47" s="24"/>
      <c r="DK47" s="24"/>
      <c r="DL47" s="24"/>
      <c r="DM47" s="24"/>
      <c r="DN47" s="24"/>
    </row>
    <row r="48" spans="1:126" ht="16.5" x14ac:dyDescent="0.25">
      <c r="A48" s="97"/>
      <c r="B48" s="97"/>
      <c r="C48" s="97"/>
      <c r="D48" s="97"/>
      <c r="E48" s="97"/>
      <c r="F48" s="97"/>
      <c r="G48" s="98"/>
      <c r="H48" s="97"/>
      <c r="I48" s="97"/>
      <c r="J48" s="97"/>
      <c r="K48" s="97"/>
      <c r="L48" s="97"/>
      <c r="M48" s="97"/>
      <c r="N48" s="97"/>
      <c r="O48" s="97"/>
      <c r="P48" s="97"/>
      <c r="Q48" s="100"/>
      <c r="R48" s="101"/>
      <c r="S48" s="99"/>
      <c r="T48" s="99"/>
      <c r="U48" s="97"/>
      <c r="V48" s="20" t="str">
        <f t="shared" si="1"/>
        <v/>
      </c>
      <c r="W48" s="20" t="str">
        <f t="shared" si="2"/>
        <v/>
      </c>
      <c r="X48" s="20" t="str">
        <f t="shared" si="3"/>
        <v/>
      </c>
      <c r="Y48" s="20" t="str">
        <f t="shared" si="4"/>
        <v/>
      </c>
      <c r="Z48" s="20" t="str">
        <f t="shared" si="5"/>
        <v/>
      </c>
      <c r="AA48" s="20" t="str">
        <f t="shared" si="6"/>
        <v/>
      </c>
      <c r="AB48" s="20" t="str">
        <f t="shared" si="7"/>
        <v/>
      </c>
      <c r="AC48" s="20" t="str">
        <f t="shared" si="8"/>
        <v/>
      </c>
      <c r="AD48" s="20" t="str">
        <f t="shared" si="9"/>
        <v/>
      </c>
      <c r="AE48" s="20" t="str">
        <f t="shared" si="10"/>
        <v/>
      </c>
      <c r="AF48" s="20" t="str">
        <f t="shared" si="11"/>
        <v/>
      </c>
      <c r="AG48" s="20" t="str">
        <f t="shared" si="12"/>
        <v/>
      </c>
      <c r="AH48" s="20" t="str">
        <f t="shared" si="13"/>
        <v/>
      </c>
      <c r="AI48" s="20" t="str">
        <f t="shared" si="14"/>
        <v/>
      </c>
      <c r="AJ48" s="20" t="str">
        <f t="shared" si="15"/>
        <v/>
      </c>
      <c r="AK48" s="20" t="str">
        <f t="shared" si="16"/>
        <v/>
      </c>
      <c r="AL48" s="20" t="str">
        <f t="shared" si="17"/>
        <v/>
      </c>
      <c r="AM48" s="20" t="str">
        <f t="shared" si="18"/>
        <v/>
      </c>
      <c r="AN48" s="20" t="str">
        <f t="shared" si="19"/>
        <v/>
      </c>
      <c r="AO48" s="20" t="str">
        <f t="shared" si="20"/>
        <v/>
      </c>
      <c r="AP48" s="20" t="str">
        <f t="shared" si="21"/>
        <v/>
      </c>
      <c r="AQ48" s="20" t="str">
        <f t="shared" si="22"/>
        <v/>
      </c>
      <c r="AR48" s="20" t="str">
        <f t="shared" si="23"/>
        <v/>
      </c>
      <c r="AS48" s="20" t="str">
        <f t="shared" si="24"/>
        <v/>
      </c>
      <c r="AT48" s="20" t="str">
        <f t="shared" si="25"/>
        <v/>
      </c>
      <c r="AU48" s="20" t="str">
        <f t="shared" si="26"/>
        <v/>
      </c>
      <c r="AV48" s="20" t="str">
        <f t="shared" si="27"/>
        <v/>
      </c>
      <c r="AW48" s="20" t="str">
        <f t="shared" si="28"/>
        <v/>
      </c>
      <c r="BD48" s="17" t="s">
        <v>178</v>
      </c>
      <c r="BE48" s="17" t="s">
        <v>828</v>
      </c>
      <c r="BF48" s="17" t="s">
        <v>261</v>
      </c>
      <c r="BG48" s="17" t="s">
        <v>596</v>
      </c>
      <c r="BH48" s="17" t="s">
        <v>147</v>
      </c>
      <c r="BI48" s="17" t="s">
        <v>863</v>
      </c>
      <c r="BJ48" s="94"/>
      <c r="BK48" s="18" t="s">
        <v>658</v>
      </c>
      <c r="BL48" s="18" t="s">
        <v>658</v>
      </c>
      <c r="BM48" s="82" t="s">
        <v>335</v>
      </c>
      <c r="BN48" s="83" t="s">
        <v>260</v>
      </c>
      <c r="BO48" s="17" t="s">
        <v>198</v>
      </c>
      <c r="BP48" s="17" t="s">
        <v>261</v>
      </c>
      <c r="BQ48" s="17" t="s">
        <v>261</v>
      </c>
      <c r="BS48" s="22" t="s">
        <v>52</v>
      </c>
      <c r="BT48" s="22"/>
      <c r="BU48" s="17" t="s">
        <v>70</v>
      </c>
      <c r="BW48" s="94"/>
      <c r="BX48" s="17">
        <v>124</v>
      </c>
      <c r="BY48" s="17">
        <v>201007</v>
      </c>
      <c r="CA48" s="94"/>
      <c r="CB48" s="17" t="s">
        <v>83</v>
      </c>
      <c r="CC48" s="17" t="s">
        <v>571</v>
      </c>
      <c r="CD48" s="17" t="s">
        <v>582</v>
      </c>
      <c r="CE48" s="17" t="s">
        <v>98</v>
      </c>
      <c r="CF48" s="17" t="s">
        <v>1132</v>
      </c>
      <c r="CG48" s="17" t="s">
        <v>828</v>
      </c>
      <c r="CH48" s="17" t="s">
        <v>178</v>
      </c>
      <c r="CI48" s="72">
        <v>5274</v>
      </c>
      <c r="CJ48" s="23" t="b">
        <v>0</v>
      </c>
      <c r="CK48" s="23" t="b">
        <v>0</v>
      </c>
      <c r="CL48" s="23" t="b">
        <v>0</v>
      </c>
      <c r="CM48" s="23" t="b">
        <v>1</v>
      </c>
      <c r="CN48" s="23" t="b">
        <v>0</v>
      </c>
      <c r="CO48" s="23" t="s">
        <v>61</v>
      </c>
      <c r="CP48" s="52"/>
      <c r="CQ48" s="17" t="s">
        <v>275</v>
      </c>
      <c r="CR48" s="17" t="s">
        <v>57</v>
      </c>
      <c r="CT48" s="17" t="s">
        <v>275</v>
      </c>
      <c r="CU48" s="17" t="s">
        <v>83</v>
      </c>
      <c r="CW48" s="17" t="s">
        <v>254</v>
      </c>
      <c r="CX48" s="10" t="s">
        <v>144</v>
      </c>
      <c r="CY48" s="10"/>
      <c r="CZ48" s="17" t="s">
        <v>275</v>
      </c>
      <c r="DA48" s="24" t="s">
        <v>73</v>
      </c>
      <c r="DB48" s="24"/>
      <c r="DC48" s="17" t="s">
        <v>275</v>
      </c>
      <c r="DD48" s="17" t="s">
        <v>83</v>
      </c>
      <c r="DE48" s="24"/>
      <c r="DF48" s="24"/>
      <c r="DK48" s="24"/>
      <c r="DL48" s="24"/>
      <c r="DM48" s="24"/>
      <c r="DN48" s="24"/>
    </row>
    <row r="49" spans="1:118" ht="16.5" x14ac:dyDescent="0.25">
      <c r="A49" s="97"/>
      <c r="B49" s="97"/>
      <c r="C49" s="97"/>
      <c r="D49" s="97"/>
      <c r="E49" s="97"/>
      <c r="F49" s="97"/>
      <c r="G49" s="98"/>
      <c r="H49" s="97"/>
      <c r="I49" s="97"/>
      <c r="J49" s="97"/>
      <c r="K49" s="97"/>
      <c r="L49" s="97"/>
      <c r="M49" s="97"/>
      <c r="N49" s="97"/>
      <c r="O49" s="97"/>
      <c r="P49" s="97"/>
      <c r="Q49" s="100"/>
      <c r="R49" s="101"/>
      <c r="S49" s="99"/>
      <c r="T49" s="99"/>
      <c r="U49" s="97"/>
      <c r="V49" s="20" t="str">
        <f t="shared" si="1"/>
        <v/>
      </c>
      <c r="W49" s="20" t="str">
        <f t="shared" si="2"/>
        <v/>
      </c>
      <c r="X49" s="20" t="str">
        <f t="shared" si="3"/>
        <v/>
      </c>
      <c r="Y49" s="20" t="str">
        <f t="shared" si="4"/>
        <v/>
      </c>
      <c r="Z49" s="20" t="str">
        <f t="shared" si="5"/>
        <v/>
      </c>
      <c r="AA49" s="20" t="str">
        <f t="shared" si="6"/>
        <v/>
      </c>
      <c r="AB49" s="20" t="str">
        <f t="shared" si="7"/>
        <v/>
      </c>
      <c r="AC49" s="20" t="str">
        <f t="shared" si="8"/>
        <v/>
      </c>
      <c r="AD49" s="20" t="str">
        <f t="shared" si="9"/>
        <v/>
      </c>
      <c r="AE49" s="20" t="str">
        <f t="shared" si="10"/>
        <v/>
      </c>
      <c r="AF49" s="20" t="str">
        <f t="shared" si="11"/>
        <v/>
      </c>
      <c r="AG49" s="20" t="str">
        <f t="shared" si="12"/>
        <v/>
      </c>
      <c r="AH49" s="20" t="str">
        <f t="shared" si="13"/>
        <v/>
      </c>
      <c r="AI49" s="20" t="str">
        <f t="shared" si="14"/>
        <v/>
      </c>
      <c r="AJ49" s="20" t="str">
        <f t="shared" si="15"/>
        <v/>
      </c>
      <c r="AK49" s="20" t="str">
        <f t="shared" si="16"/>
        <v/>
      </c>
      <c r="AL49" s="20" t="str">
        <f t="shared" si="17"/>
        <v/>
      </c>
      <c r="AM49" s="20" t="str">
        <f t="shared" si="18"/>
        <v/>
      </c>
      <c r="AN49" s="20" t="str">
        <f t="shared" si="19"/>
        <v/>
      </c>
      <c r="AO49" s="20" t="str">
        <f t="shared" si="20"/>
        <v/>
      </c>
      <c r="AP49" s="20" t="str">
        <f t="shared" si="21"/>
        <v/>
      </c>
      <c r="AQ49" s="20" t="str">
        <f t="shared" si="22"/>
        <v/>
      </c>
      <c r="AR49" s="20" t="str">
        <f t="shared" si="23"/>
        <v/>
      </c>
      <c r="AS49" s="20" t="str">
        <f t="shared" si="24"/>
        <v/>
      </c>
      <c r="AT49" s="20" t="str">
        <f t="shared" si="25"/>
        <v/>
      </c>
      <c r="AU49" s="20" t="str">
        <f t="shared" si="26"/>
        <v/>
      </c>
      <c r="AV49" s="20" t="str">
        <f t="shared" si="27"/>
        <v/>
      </c>
      <c r="AW49" s="20" t="str">
        <f t="shared" si="28"/>
        <v/>
      </c>
      <c r="BD49" s="17" t="s">
        <v>178</v>
      </c>
      <c r="BE49" s="17" t="s">
        <v>828</v>
      </c>
      <c r="BF49" s="17" t="s">
        <v>261</v>
      </c>
      <c r="BG49" s="17" t="s">
        <v>596</v>
      </c>
      <c r="BH49" s="17" t="s">
        <v>92</v>
      </c>
      <c r="BI49" s="17" t="s">
        <v>864</v>
      </c>
      <c r="BJ49" s="94"/>
      <c r="BK49" s="79" t="s">
        <v>680</v>
      </c>
      <c r="BL49" s="79" t="s">
        <v>680</v>
      </c>
      <c r="BM49" s="18" t="s">
        <v>492</v>
      </c>
      <c r="BN49" s="18" t="s">
        <v>260</v>
      </c>
      <c r="BO49" s="17" t="s">
        <v>198</v>
      </c>
      <c r="BP49" s="17" t="s">
        <v>261</v>
      </c>
      <c r="BQ49" s="17" t="s">
        <v>261</v>
      </c>
      <c r="BR49" s="17" t="s">
        <v>1001</v>
      </c>
      <c r="BS49" s="22" t="s">
        <v>52</v>
      </c>
      <c r="BU49" s="17" t="s">
        <v>70</v>
      </c>
      <c r="BW49" s="94"/>
      <c r="BX49" s="17">
        <v>734</v>
      </c>
      <c r="BY49" s="17">
        <v>195929</v>
      </c>
      <c r="CA49" s="94"/>
      <c r="CB49" s="17" t="s">
        <v>83</v>
      </c>
      <c r="CC49" s="17" t="s">
        <v>571</v>
      </c>
      <c r="CD49" s="17" t="s">
        <v>582</v>
      </c>
      <c r="CE49" s="17" t="s">
        <v>98</v>
      </c>
      <c r="CF49" s="17" t="s">
        <v>1132</v>
      </c>
      <c r="CG49" s="17" t="s">
        <v>828</v>
      </c>
      <c r="CH49" s="17" t="s">
        <v>178</v>
      </c>
      <c r="CI49" s="72">
        <v>5274</v>
      </c>
      <c r="CJ49" s="23" t="b">
        <v>0</v>
      </c>
      <c r="CK49" s="23" t="b">
        <v>0</v>
      </c>
      <c r="CL49" s="23" t="b">
        <v>0</v>
      </c>
      <c r="CM49" s="23" t="b">
        <v>1</v>
      </c>
      <c r="CN49" s="23" t="b">
        <v>0</v>
      </c>
      <c r="CO49" s="23" t="s">
        <v>61</v>
      </c>
      <c r="CP49" s="52"/>
      <c r="CQ49" s="17" t="s">
        <v>277</v>
      </c>
      <c r="CR49" s="17" t="s">
        <v>57</v>
      </c>
      <c r="CT49" s="17" t="s">
        <v>277</v>
      </c>
      <c r="CU49" s="17" t="s">
        <v>58</v>
      </c>
      <c r="CW49" s="17" t="s">
        <v>218</v>
      </c>
      <c r="CX49" s="10" t="s">
        <v>144</v>
      </c>
      <c r="CY49" s="10"/>
      <c r="CZ49" s="17" t="s">
        <v>277</v>
      </c>
      <c r="DA49" s="24" t="s">
        <v>73</v>
      </c>
      <c r="DB49" s="24"/>
      <c r="DC49" s="17" t="s">
        <v>277</v>
      </c>
      <c r="DD49" s="17" t="s">
        <v>58</v>
      </c>
      <c r="DE49" s="24"/>
      <c r="DF49" s="24"/>
      <c r="DG49" s="24"/>
      <c r="DH49" s="24"/>
      <c r="DI49" s="24"/>
      <c r="DJ49" s="24"/>
      <c r="DK49" s="24"/>
      <c r="DL49" s="24"/>
      <c r="DM49" s="24"/>
      <c r="DN49" s="24"/>
    </row>
    <row r="50" spans="1:118" ht="16.5" x14ac:dyDescent="0.25">
      <c r="A50" s="97"/>
      <c r="B50" s="97"/>
      <c r="C50" s="97"/>
      <c r="D50" s="97"/>
      <c r="E50" s="97"/>
      <c r="F50" s="97"/>
      <c r="G50" s="98"/>
      <c r="H50" s="97"/>
      <c r="I50" s="97"/>
      <c r="J50" s="97"/>
      <c r="K50" s="97"/>
      <c r="L50" s="97"/>
      <c r="M50" s="97"/>
      <c r="N50" s="97"/>
      <c r="O50" s="97"/>
      <c r="P50" s="97"/>
      <c r="Q50" s="100"/>
      <c r="R50" s="101"/>
      <c r="S50" s="99"/>
      <c r="T50" s="99"/>
      <c r="U50" s="97"/>
      <c r="V50" s="20" t="str">
        <f t="shared" si="1"/>
        <v/>
      </c>
      <c r="W50" s="20" t="str">
        <f t="shared" si="2"/>
        <v/>
      </c>
      <c r="X50" s="20" t="str">
        <f t="shared" si="3"/>
        <v/>
      </c>
      <c r="Y50" s="20" t="str">
        <f t="shared" si="4"/>
        <v/>
      </c>
      <c r="Z50" s="20" t="str">
        <f t="shared" si="5"/>
        <v/>
      </c>
      <c r="AA50" s="20" t="str">
        <f t="shared" si="6"/>
        <v/>
      </c>
      <c r="AB50" s="20" t="str">
        <f t="shared" si="7"/>
        <v/>
      </c>
      <c r="AC50" s="20" t="str">
        <f t="shared" si="8"/>
        <v/>
      </c>
      <c r="AD50" s="20" t="str">
        <f t="shared" si="9"/>
        <v/>
      </c>
      <c r="AE50" s="20" t="str">
        <f t="shared" si="10"/>
        <v/>
      </c>
      <c r="AF50" s="20" t="str">
        <f t="shared" si="11"/>
        <v/>
      </c>
      <c r="AG50" s="20" t="str">
        <f t="shared" si="12"/>
        <v/>
      </c>
      <c r="AH50" s="20" t="str">
        <f t="shared" si="13"/>
        <v/>
      </c>
      <c r="AI50" s="20" t="str">
        <f t="shared" si="14"/>
        <v/>
      </c>
      <c r="AJ50" s="20" t="str">
        <f t="shared" si="15"/>
        <v/>
      </c>
      <c r="AK50" s="20" t="str">
        <f t="shared" si="16"/>
        <v/>
      </c>
      <c r="AL50" s="20" t="str">
        <f t="shared" si="17"/>
        <v/>
      </c>
      <c r="AM50" s="20" t="str">
        <f t="shared" si="18"/>
        <v/>
      </c>
      <c r="AN50" s="20" t="str">
        <f t="shared" si="19"/>
        <v/>
      </c>
      <c r="AO50" s="20" t="str">
        <f t="shared" si="20"/>
        <v/>
      </c>
      <c r="AP50" s="20" t="str">
        <f t="shared" si="21"/>
        <v/>
      </c>
      <c r="AQ50" s="20" t="str">
        <f t="shared" si="22"/>
        <v/>
      </c>
      <c r="AR50" s="20" t="str">
        <f t="shared" si="23"/>
        <v/>
      </c>
      <c r="AS50" s="20" t="str">
        <f t="shared" si="24"/>
        <v/>
      </c>
      <c r="AT50" s="20" t="str">
        <f t="shared" si="25"/>
        <v/>
      </c>
      <c r="AU50" s="20" t="str">
        <f t="shared" si="26"/>
        <v/>
      </c>
      <c r="AV50" s="20" t="str">
        <f t="shared" si="27"/>
        <v/>
      </c>
      <c r="AW50" s="20" t="str">
        <f t="shared" si="28"/>
        <v/>
      </c>
      <c r="BD50" s="17" t="s">
        <v>178</v>
      </c>
      <c r="BE50" s="17" t="s">
        <v>828</v>
      </c>
      <c r="BF50" s="17" t="s">
        <v>261</v>
      </c>
      <c r="BG50" s="17" t="s">
        <v>127</v>
      </c>
      <c r="BH50" s="17" t="s">
        <v>58</v>
      </c>
      <c r="BI50" s="17" t="s">
        <v>865</v>
      </c>
      <c r="BJ50" s="94"/>
      <c r="BK50" s="81" t="s">
        <v>773</v>
      </c>
      <c r="BL50" s="81" t="s">
        <v>773</v>
      </c>
      <c r="BM50" s="18" t="s">
        <v>491</v>
      </c>
      <c r="BN50" s="18" t="s">
        <v>260</v>
      </c>
      <c r="BO50" s="17" t="s">
        <v>198</v>
      </c>
      <c r="BP50" s="17" t="s">
        <v>261</v>
      </c>
      <c r="BQ50" s="17" t="s">
        <v>261</v>
      </c>
      <c r="BR50" s="17" t="s">
        <v>1002</v>
      </c>
      <c r="BS50" s="22" t="s">
        <v>52</v>
      </c>
      <c r="BU50" s="17" t="s">
        <v>70</v>
      </c>
      <c r="BW50" s="94"/>
      <c r="BX50" s="17">
        <v>730</v>
      </c>
      <c r="BY50" s="17">
        <v>195929</v>
      </c>
      <c r="CA50" s="94"/>
      <c r="CB50" s="17" t="s">
        <v>58</v>
      </c>
      <c r="CC50" s="17" t="s">
        <v>571</v>
      </c>
      <c r="CD50" s="17" t="s">
        <v>582</v>
      </c>
      <c r="CE50" s="17" t="s">
        <v>98</v>
      </c>
      <c r="CF50" s="17" t="s">
        <v>1132</v>
      </c>
      <c r="CG50" s="17" t="s">
        <v>828</v>
      </c>
      <c r="CH50" s="17" t="s">
        <v>178</v>
      </c>
      <c r="CI50" s="72">
        <v>5274</v>
      </c>
      <c r="CJ50" s="23" t="b">
        <v>0</v>
      </c>
      <c r="CK50" s="23" t="b">
        <v>1</v>
      </c>
      <c r="CL50" s="23" t="b">
        <v>0</v>
      </c>
      <c r="CM50" s="23" t="b">
        <v>0</v>
      </c>
      <c r="CN50" s="23" t="b">
        <v>0</v>
      </c>
      <c r="CO50" s="23" t="s">
        <v>61</v>
      </c>
      <c r="CP50" s="52"/>
      <c r="CQ50" s="17" t="s">
        <v>279</v>
      </c>
      <c r="CR50" s="17" t="s">
        <v>57</v>
      </c>
      <c r="CT50" s="17" t="s">
        <v>279</v>
      </c>
      <c r="CU50" s="17" t="s">
        <v>83</v>
      </c>
      <c r="CW50" s="17" t="s">
        <v>220</v>
      </c>
      <c r="CX50" s="10" t="s">
        <v>144</v>
      </c>
      <c r="CY50" s="10"/>
      <c r="CZ50" s="17" t="s">
        <v>279</v>
      </c>
      <c r="DA50" s="24" t="s">
        <v>73</v>
      </c>
      <c r="DB50" s="24"/>
      <c r="DC50" s="17" t="s">
        <v>279</v>
      </c>
      <c r="DD50" s="17" t="s">
        <v>83</v>
      </c>
      <c r="DE50" s="24"/>
      <c r="DF50" s="24"/>
      <c r="DK50" s="24"/>
      <c r="DL50" s="24"/>
      <c r="DM50" s="24"/>
      <c r="DN50" s="24"/>
    </row>
    <row r="51" spans="1:118" ht="16.5" x14ac:dyDescent="0.25">
      <c r="A51" s="97"/>
      <c r="B51" s="97"/>
      <c r="C51" s="97"/>
      <c r="D51" s="97"/>
      <c r="E51" s="97"/>
      <c r="F51" s="97"/>
      <c r="G51" s="98"/>
      <c r="H51" s="97"/>
      <c r="I51" s="97"/>
      <c r="J51" s="97"/>
      <c r="K51" s="97"/>
      <c r="L51" s="97"/>
      <c r="M51" s="97"/>
      <c r="N51" s="97"/>
      <c r="O51" s="97"/>
      <c r="P51" s="97"/>
      <c r="Q51" s="100"/>
      <c r="R51" s="101"/>
      <c r="S51" s="99"/>
      <c r="T51" s="99"/>
      <c r="U51" s="97"/>
      <c r="V51" s="20" t="str">
        <f t="shared" si="1"/>
        <v/>
      </c>
      <c r="W51" s="20" t="str">
        <f t="shared" si="2"/>
        <v/>
      </c>
      <c r="X51" s="20" t="str">
        <f t="shared" si="3"/>
        <v/>
      </c>
      <c r="Y51" s="20" t="str">
        <f t="shared" si="4"/>
        <v/>
      </c>
      <c r="Z51" s="20" t="str">
        <f t="shared" si="5"/>
        <v/>
      </c>
      <c r="AA51" s="20" t="str">
        <f t="shared" si="6"/>
        <v/>
      </c>
      <c r="AB51" s="20" t="str">
        <f t="shared" si="7"/>
        <v/>
      </c>
      <c r="AC51" s="20" t="str">
        <f t="shared" si="8"/>
        <v/>
      </c>
      <c r="AD51" s="20" t="str">
        <f t="shared" si="9"/>
        <v/>
      </c>
      <c r="AE51" s="20" t="str">
        <f t="shared" si="10"/>
        <v/>
      </c>
      <c r="AF51" s="20" t="str">
        <f t="shared" si="11"/>
        <v/>
      </c>
      <c r="AG51" s="20" t="str">
        <f t="shared" si="12"/>
        <v/>
      </c>
      <c r="AH51" s="20" t="str">
        <f t="shared" si="13"/>
        <v/>
      </c>
      <c r="AI51" s="20" t="str">
        <f t="shared" si="14"/>
        <v/>
      </c>
      <c r="AJ51" s="20" t="str">
        <f t="shared" si="15"/>
        <v/>
      </c>
      <c r="AK51" s="20" t="str">
        <f t="shared" si="16"/>
        <v/>
      </c>
      <c r="AL51" s="20" t="str">
        <f t="shared" si="17"/>
        <v/>
      </c>
      <c r="AM51" s="20" t="str">
        <f t="shared" si="18"/>
        <v/>
      </c>
      <c r="AN51" s="20" t="str">
        <f t="shared" si="19"/>
        <v/>
      </c>
      <c r="AO51" s="20" t="str">
        <f t="shared" si="20"/>
        <v/>
      </c>
      <c r="AP51" s="20" t="str">
        <f t="shared" si="21"/>
        <v/>
      </c>
      <c r="AQ51" s="20" t="str">
        <f t="shared" si="22"/>
        <v/>
      </c>
      <c r="AR51" s="20" t="str">
        <f t="shared" si="23"/>
        <v/>
      </c>
      <c r="AS51" s="20" t="str">
        <f t="shared" si="24"/>
        <v/>
      </c>
      <c r="AT51" s="20" t="str">
        <f t="shared" si="25"/>
        <v/>
      </c>
      <c r="AU51" s="20" t="str">
        <f t="shared" si="26"/>
        <v/>
      </c>
      <c r="AV51" s="20" t="str">
        <f t="shared" si="27"/>
        <v/>
      </c>
      <c r="AW51" s="20" t="str">
        <f t="shared" si="28"/>
        <v/>
      </c>
      <c r="BD51" s="17" t="s">
        <v>178</v>
      </c>
      <c r="BE51" s="17" t="s">
        <v>828</v>
      </c>
      <c r="BF51" s="17" t="s">
        <v>261</v>
      </c>
      <c r="BG51" s="17" t="s">
        <v>150</v>
      </c>
      <c r="BH51" s="17" t="s">
        <v>58</v>
      </c>
      <c r="BI51" s="17" t="s">
        <v>866</v>
      </c>
      <c r="BJ51" s="94"/>
      <c r="BK51" s="81" t="s">
        <v>774</v>
      </c>
      <c r="BL51" s="81" t="s">
        <v>774</v>
      </c>
      <c r="BM51" s="18" t="s">
        <v>491</v>
      </c>
      <c r="BN51" s="18" t="s">
        <v>260</v>
      </c>
      <c r="BO51" s="17" t="s">
        <v>198</v>
      </c>
      <c r="BP51" s="17" t="s">
        <v>261</v>
      </c>
      <c r="BQ51" s="17" t="s">
        <v>261</v>
      </c>
      <c r="BR51" s="17" t="s">
        <v>1003</v>
      </c>
      <c r="BS51" s="22" t="s">
        <v>52</v>
      </c>
      <c r="BU51" s="17" t="s">
        <v>70</v>
      </c>
      <c r="BW51" s="94"/>
      <c r="BX51" s="17">
        <v>730</v>
      </c>
      <c r="BY51" s="17">
        <v>195929</v>
      </c>
      <c r="CA51" s="94"/>
      <c r="CB51" s="17" t="s">
        <v>58</v>
      </c>
      <c r="CC51" s="17" t="s">
        <v>571</v>
      </c>
      <c r="CD51" s="17" t="s">
        <v>582</v>
      </c>
      <c r="CE51" s="17" t="s">
        <v>98</v>
      </c>
      <c r="CF51" s="17" t="s">
        <v>1132</v>
      </c>
      <c r="CG51" s="17" t="s">
        <v>828</v>
      </c>
      <c r="CH51" s="17" t="s">
        <v>178</v>
      </c>
      <c r="CI51" s="72">
        <v>5274</v>
      </c>
      <c r="CJ51" s="23" t="b">
        <v>0</v>
      </c>
      <c r="CK51" s="23" t="b">
        <v>0</v>
      </c>
      <c r="CL51" s="23" t="b">
        <v>1</v>
      </c>
      <c r="CM51" s="23" t="b">
        <v>0</v>
      </c>
      <c r="CN51" s="23" t="b">
        <v>0</v>
      </c>
      <c r="CO51" s="23" t="s">
        <v>61</v>
      </c>
      <c r="CP51" s="52"/>
      <c r="CQ51" s="17" t="s">
        <v>282</v>
      </c>
      <c r="CR51" s="17" t="s">
        <v>57</v>
      </c>
      <c r="CT51" s="17" t="s">
        <v>282</v>
      </c>
      <c r="CU51" s="17" t="s">
        <v>58</v>
      </c>
      <c r="CW51" s="24" t="s">
        <v>263</v>
      </c>
      <c r="CX51" s="10" t="s">
        <v>129</v>
      </c>
      <c r="CY51" s="10"/>
      <c r="CZ51" s="17" t="s">
        <v>282</v>
      </c>
      <c r="DA51" s="24" t="s">
        <v>61</v>
      </c>
      <c r="DB51" s="24"/>
      <c r="DC51" s="17" t="s">
        <v>282</v>
      </c>
      <c r="DD51" s="17" t="s">
        <v>58</v>
      </c>
      <c r="DE51" s="24"/>
      <c r="DF51" s="24"/>
      <c r="DG51" s="24"/>
      <c r="DH51" s="24"/>
      <c r="DI51" s="24"/>
      <c r="DJ51" s="24"/>
      <c r="DK51" s="24"/>
      <c r="DL51" s="24"/>
      <c r="DM51" s="24"/>
      <c r="DN51" s="24"/>
    </row>
    <row r="52" spans="1:118" ht="16.5" x14ac:dyDescent="0.25">
      <c r="A52" s="97"/>
      <c r="B52" s="97"/>
      <c r="C52" s="97"/>
      <c r="D52" s="97"/>
      <c r="E52" s="97"/>
      <c r="F52" s="97"/>
      <c r="G52" s="98"/>
      <c r="H52" s="97"/>
      <c r="I52" s="97"/>
      <c r="J52" s="97"/>
      <c r="K52" s="97"/>
      <c r="L52" s="97"/>
      <c r="M52" s="97"/>
      <c r="N52" s="97"/>
      <c r="O52" s="97"/>
      <c r="P52" s="97"/>
      <c r="Q52" s="100"/>
      <c r="R52" s="101"/>
      <c r="S52" s="99"/>
      <c r="T52" s="99"/>
      <c r="U52" s="97"/>
      <c r="V52" s="20" t="str">
        <f t="shared" si="1"/>
        <v/>
      </c>
      <c r="W52" s="20" t="str">
        <f t="shared" si="2"/>
        <v/>
      </c>
      <c r="X52" s="20" t="str">
        <f t="shared" si="3"/>
        <v/>
      </c>
      <c r="Y52" s="20" t="str">
        <f t="shared" si="4"/>
        <v/>
      </c>
      <c r="Z52" s="20" t="str">
        <f t="shared" si="5"/>
        <v/>
      </c>
      <c r="AA52" s="20" t="str">
        <f t="shared" si="6"/>
        <v/>
      </c>
      <c r="AB52" s="20" t="str">
        <f t="shared" si="7"/>
        <v/>
      </c>
      <c r="AC52" s="20" t="str">
        <f t="shared" si="8"/>
        <v/>
      </c>
      <c r="AD52" s="20" t="str">
        <f t="shared" si="9"/>
        <v/>
      </c>
      <c r="AE52" s="20" t="str">
        <f t="shared" si="10"/>
        <v/>
      </c>
      <c r="AF52" s="20" t="str">
        <f t="shared" si="11"/>
        <v/>
      </c>
      <c r="AG52" s="20" t="str">
        <f t="shared" si="12"/>
        <v/>
      </c>
      <c r="AH52" s="20" t="str">
        <f t="shared" si="13"/>
        <v/>
      </c>
      <c r="AI52" s="20" t="str">
        <f t="shared" si="14"/>
        <v/>
      </c>
      <c r="AJ52" s="20" t="str">
        <f t="shared" si="15"/>
        <v/>
      </c>
      <c r="AK52" s="20" t="str">
        <f t="shared" si="16"/>
        <v/>
      </c>
      <c r="AL52" s="20" t="str">
        <f t="shared" si="17"/>
        <v/>
      </c>
      <c r="AM52" s="20" t="str">
        <f t="shared" si="18"/>
        <v/>
      </c>
      <c r="AN52" s="20" t="str">
        <f t="shared" si="19"/>
        <v/>
      </c>
      <c r="AO52" s="20" t="str">
        <f t="shared" si="20"/>
        <v/>
      </c>
      <c r="AP52" s="20" t="str">
        <f t="shared" si="21"/>
        <v/>
      </c>
      <c r="AQ52" s="20" t="str">
        <f t="shared" si="22"/>
        <v/>
      </c>
      <c r="AR52" s="20" t="str">
        <f t="shared" si="23"/>
        <v/>
      </c>
      <c r="AS52" s="20" t="str">
        <f t="shared" si="24"/>
        <v/>
      </c>
      <c r="AT52" s="20" t="str">
        <f t="shared" si="25"/>
        <v/>
      </c>
      <c r="AU52" s="20" t="str">
        <f t="shared" si="26"/>
        <v/>
      </c>
      <c r="AV52" s="20" t="str">
        <f t="shared" si="27"/>
        <v/>
      </c>
      <c r="AW52" s="20" t="str">
        <f t="shared" si="28"/>
        <v/>
      </c>
      <c r="BD52" s="17" t="s">
        <v>178</v>
      </c>
      <c r="BE52" s="17" t="s">
        <v>828</v>
      </c>
      <c r="BF52" s="17" t="s">
        <v>261</v>
      </c>
      <c r="BG52" s="17" t="s">
        <v>595</v>
      </c>
      <c r="BH52" s="17" t="s">
        <v>58</v>
      </c>
      <c r="BI52" s="17" t="s">
        <v>867</v>
      </c>
      <c r="BJ52" s="94"/>
      <c r="BK52" s="81" t="s">
        <v>772</v>
      </c>
      <c r="BL52" s="81" t="s">
        <v>772</v>
      </c>
      <c r="BM52" s="18" t="s">
        <v>491</v>
      </c>
      <c r="BN52" s="18" t="s">
        <v>260</v>
      </c>
      <c r="BO52" s="17" t="s">
        <v>198</v>
      </c>
      <c r="BP52" s="17" t="s">
        <v>261</v>
      </c>
      <c r="BQ52" s="17" t="s">
        <v>261</v>
      </c>
      <c r="BR52" t="s">
        <v>1004</v>
      </c>
      <c r="BS52" s="22" t="s">
        <v>715</v>
      </c>
      <c r="BU52" s="17" t="s">
        <v>70</v>
      </c>
      <c r="BW52" s="94"/>
      <c r="BX52" s="17">
        <v>730</v>
      </c>
      <c r="BY52" s="17">
        <v>195929</v>
      </c>
      <c r="CA52" s="94"/>
      <c r="CB52" s="17" t="s">
        <v>58</v>
      </c>
      <c r="CC52" s="17" t="s">
        <v>571</v>
      </c>
      <c r="CD52" s="17" t="s">
        <v>582</v>
      </c>
      <c r="CE52" s="17" t="s">
        <v>98</v>
      </c>
      <c r="CF52" s="17" t="s">
        <v>1132</v>
      </c>
      <c r="CG52" s="17" t="s">
        <v>828</v>
      </c>
      <c r="CH52" s="17" t="s">
        <v>178</v>
      </c>
      <c r="CI52" s="72">
        <v>5274</v>
      </c>
      <c r="CJ52" s="23" t="b">
        <v>1</v>
      </c>
      <c r="CK52" s="23" t="b">
        <v>0</v>
      </c>
      <c r="CL52" s="23" t="b">
        <v>0</v>
      </c>
      <c r="CM52" s="23" t="b">
        <v>0</v>
      </c>
      <c r="CN52" s="23" t="b">
        <v>0</v>
      </c>
      <c r="CO52" s="23" t="s">
        <v>61</v>
      </c>
      <c r="CP52" s="52"/>
      <c r="CQ52" s="17" t="s">
        <v>283</v>
      </c>
      <c r="CR52" s="17" t="s">
        <v>57</v>
      </c>
      <c r="CT52" s="17" t="s">
        <v>283</v>
      </c>
      <c r="CU52" s="17" t="s">
        <v>83</v>
      </c>
      <c r="CW52" s="17" t="s">
        <v>265</v>
      </c>
      <c r="CX52" s="10" t="s">
        <v>136</v>
      </c>
      <c r="CY52" s="10"/>
      <c r="CZ52" s="17" t="s">
        <v>283</v>
      </c>
      <c r="DA52" s="24" t="s">
        <v>61</v>
      </c>
      <c r="DB52" s="24"/>
      <c r="DC52" s="17" t="s">
        <v>283</v>
      </c>
      <c r="DD52" s="17" t="s">
        <v>83</v>
      </c>
      <c r="DE52" s="24"/>
      <c r="DF52" s="24"/>
      <c r="DG52" s="24"/>
      <c r="DH52" s="24"/>
      <c r="DI52" s="24"/>
      <c r="DJ52" s="24"/>
      <c r="DK52" s="24"/>
      <c r="DL52" s="24"/>
      <c r="DM52" s="24"/>
      <c r="DN52" s="24"/>
    </row>
    <row r="53" spans="1:118" ht="16.5" x14ac:dyDescent="0.25">
      <c r="A53" s="97"/>
      <c r="B53" s="97"/>
      <c r="C53" s="97"/>
      <c r="D53" s="97"/>
      <c r="E53" s="97"/>
      <c r="F53" s="97"/>
      <c r="G53" s="98"/>
      <c r="H53" s="97"/>
      <c r="I53" s="97"/>
      <c r="J53" s="97"/>
      <c r="K53" s="97"/>
      <c r="L53" s="97"/>
      <c r="M53" s="97"/>
      <c r="N53" s="97"/>
      <c r="O53" s="97"/>
      <c r="P53" s="97"/>
      <c r="Q53" s="100"/>
      <c r="R53" s="101"/>
      <c r="S53" s="99"/>
      <c r="T53" s="99"/>
      <c r="U53" s="97"/>
      <c r="V53" s="20" t="str">
        <f t="shared" si="1"/>
        <v/>
      </c>
      <c r="W53" s="20" t="str">
        <f t="shared" si="2"/>
        <v/>
      </c>
      <c r="X53" s="20" t="str">
        <f t="shared" si="3"/>
        <v/>
      </c>
      <c r="Y53" s="20" t="str">
        <f t="shared" si="4"/>
        <v/>
      </c>
      <c r="Z53" s="20" t="str">
        <f t="shared" si="5"/>
        <v/>
      </c>
      <c r="AA53" s="20" t="str">
        <f t="shared" si="6"/>
        <v/>
      </c>
      <c r="AB53" s="20" t="str">
        <f t="shared" si="7"/>
        <v/>
      </c>
      <c r="AC53" s="20" t="str">
        <f t="shared" si="8"/>
        <v/>
      </c>
      <c r="AD53" s="20" t="str">
        <f t="shared" si="9"/>
        <v/>
      </c>
      <c r="AE53" s="20" t="str">
        <f t="shared" si="10"/>
        <v/>
      </c>
      <c r="AF53" s="20" t="str">
        <f t="shared" si="11"/>
        <v/>
      </c>
      <c r="AG53" s="20" t="str">
        <f t="shared" si="12"/>
        <v/>
      </c>
      <c r="AH53" s="20" t="str">
        <f t="shared" si="13"/>
        <v/>
      </c>
      <c r="AI53" s="20" t="str">
        <f t="shared" si="14"/>
        <v/>
      </c>
      <c r="AJ53" s="20" t="str">
        <f t="shared" si="15"/>
        <v/>
      </c>
      <c r="AK53" s="20" t="str">
        <f t="shared" si="16"/>
        <v/>
      </c>
      <c r="AL53" s="20" t="str">
        <f t="shared" si="17"/>
        <v/>
      </c>
      <c r="AM53" s="20" t="str">
        <f t="shared" si="18"/>
        <v/>
      </c>
      <c r="AN53" s="20" t="str">
        <f t="shared" si="19"/>
        <v/>
      </c>
      <c r="AO53" s="20" t="str">
        <f t="shared" si="20"/>
        <v/>
      </c>
      <c r="AP53" s="20" t="str">
        <f t="shared" si="21"/>
        <v/>
      </c>
      <c r="AQ53" s="20" t="str">
        <f t="shared" si="22"/>
        <v/>
      </c>
      <c r="AR53" s="20" t="str">
        <f t="shared" si="23"/>
        <v/>
      </c>
      <c r="AS53" s="20" t="str">
        <f t="shared" si="24"/>
        <v/>
      </c>
      <c r="AT53" s="20" t="str">
        <f t="shared" si="25"/>
        <v/>
      </c>
      <c r="AU53" s="20" t="str">
        <f t="shared" si="26"/>
        <v/>
      </c>
      <c r="AV53" s="20" t="str">
        <f t="shared" si="27"/>
        <v/>
      </c>
      <c r="AW53" s="20" t="str">
        <f t="shared" si="28"/>
        <v/>
      </c>
      <c r="BD53" s="17" t="s">
        <v>178</v>
      </c>
      <c r="BE53" s="17" t="s">
        <v>828</v>
      </c>
      <c r="BF53" s="17" t="s">
        <v>597</v>
      </c>
      <c r="BG53" s="17" t="s">
        <v>596</v>
      </c>
      <c r="BH53" s="17" t="s">
        <v>92</v>
      </c>
      <c r="BI53" s="17" t="s">
        <v>868</v>
      </c>
      <c r="BJ53" s="94"/>
      <c r="BK53" s="79" t="s">
        <v>557</v>
      </c>
      <c r="BL53" s="79" t="s">
        <v>557</v>
      </c>
      <c r="BM53" s="18" t="s">
        <v>492</v>
      </c>
      <c r="BN53" s="95" t="s">
        <v>791</v>
      </c>
      <c r="BO53" s="17" t="s">
        <v>184</v>
      </c>
      <c r="BP53" s="17" t="s">
        <v>184</v>
      </c>
      <c r="BQ53" s="17" t="s">
        <v>271</v>
      </c>
      <c r="BR53" s="17" t="s">
        <v>1005</v>
      </c>
      <c r="BS53" s="22" t="s">
        <v>52</v>
      </c>
      <c r="BU53" s="17" t="s">
        <v>70</v>
      </c>
      <c r="BW53" s="94"/>
      <c r="BX53" s="17">
        <v>124</v>
      </c>
      <c r="BY53" s="17">
        <v>202749</v>
      </c>
      <c r="CA53" s="94"/>
      <c r="CB53" s="17" t="s">
        <v>83</v>
      </c>
      <c r="CC53" s="17" t="s">
        <v>572</v>
      </c>
      <c r="CD53" s="17" t="s">
        <v>583</v>
      </c>
      <c r="CE53" s="17" t="s">
        <v>98</v>
      </c>
      <c r="CF53" s="17" t="s">
        <v>1132</v>
      </c>
      <c r="CG53" s="17" t="s">
        <v>828</v>
      </c>
      <c r="CH53" s="17" t="s">
        <v>178</v>
      </c>
      <c r="CI53" s="72">
        <v>5274</v>
      </c>
      <c r="CJ53" s="23" t="b">
        <v>0</v>
      </c>
      <c r="CK53" s="23" t="b">
        <v>0</v>
      </c>
      <c r="CL53" s="23" t="b">
        <v>0</v>
      </c>
      <c r="CM53" s="23" t="b">
        <v>1</v>
      </c>
      <c r="CN53" s="23" t="b">
        <v>0</v>
      </c>
      <c r="CO53" s="23" t="s">
        <v>61</v>
      </c>
      <c r="CP53" s="52"/>
      <c r="CQ53" s="24" t="s">
        <v>285</v>
      </c>
      <c r="CR53" s="17" t="s">
        <v>127</v>
      </c>
      <c r="CT53" s="24" t="s">
        <v>285</v>
      </c>
      <c r="CU53" s="17" t="s">
        <v>58</v>
      </c>
      <c r="CW53" s="24" t="s">
        <v>267</v>
      </c>
      <c r="CX53" s="10" t="s">
        <v>129</v>
      </c>
      <c r="CY53" s="10"/>
      <c r="CZ53" s="24" t="s">
        <v>285</v>
      </c>
      <c r="DA53" s="24" t="s">
        <v>61</v>
      </c>
      <c r="DB53" s="24"/>
      <c r="DC53" s="24" t="s">
        <v>285</v>
      </c>
      <c r="DD53" s="17" t="s">
        <v>58</v>
      </c>
      <c r="DE53" s="24"/>
      <c r="DF53" s="24"/>
      <c r="DG53" s="24"/>
      <c r="DH53" s="24"/>
      <c r="DI53" s="24"/>
      <c r="DJ53" s="24"/>
      <c r="DK53" s="24"/>
      <c r="DL53" s="24"/>
      <c r="DM53" s="24"/>
      <c r="DN53" s="24"/>
    </row>
    <row r="54" spans="1:118" ht="16.5" x14ac:dyDescent="0.25">
      <c r="A54" s="97"/>
      <c r="B54" s="97"/>
      <c r="C54" s="97"/>
      <c r="D54" s="97"/>
      <c r="E54" s="97"/>
      <c r="F54" s="97"/>
      <c r="G54" s="98"/>
      <c r="H54" s="97"/>
      <c r="I54" s="97"/>
      <c r="J54" s="97"/>
      <c r="K54" s="97"/>
      <c r="L54" s="97"/>
      <c r="M54" s="97"/>
      <c r="N54" s="97"/>
      <c r="O54" s="97"/>
      <c r="P54" s="97"/>
      <c r="Q54" s="100"/>
      <c r="R54" s="101"/>
      <c r="S54" s="99"/>
      <c r="T54" s="99"/>
      <c r="U54" s="97"/>
      <c r="V54" s="20" t="str">
        <f t="shared" si="1"/>
        <v/>
      </c>
      <c r="W54" s="20" t="str">
        <f t="shared" si="2"/>
        <v/>
      </c>
      <c r="X54" s="20" t="str">
        <f t="shared" si="3"/>
        <v/>
      </c>
      <c r="Y54" s="20" t="str">
        <f t="shared" si="4"/>
        <v/>
      </c>
      <c r="Z54" s="20" t="str">
        <f t="shared" si="5"/>
        <v/>
      </c>
      <c r="AA54" s="20" t="str">
        <f t="shared" si="6"/>
        <v/>
      </c>
      <c r="AB54" s="20" t="str">
        <f t="shared" si="7"/>
        <v/>
      </c>
      <c r="AC54" s="20" t="str">
        <f t="shared" si="8"/>
        <v/>
      </c>
      <c r="AD54" s="20" t="str">
        <f t="shared" si="9"/>
        <v/>
      </c>
      <c r="AE54" s="20" t="str">
        <f t="shared" si="10"/>
        <v/>
      </c>
      <c r="AF54" s="20" t="str">
        <f t="shared" si="11"/>
        <v/>
      </c>
      <c r="AG54" s="20" t="str">
        <f t="shared" si="12"/>
        <v/>
      </c>
      <c r="AH54" s="20" t="str">
        <f t="shared" si="13"/>
        <v/>
      </c>
      <c r="AI54" s="20" t="str">
        <f t="shared" si="14"/>
        <v/>
      </c>
      <c r="AJ54" s="20" t="str">
        <f t="shared" si="15"/>
        <v/>
      </c>
      <c r="AK54" s="20" t="str">
        <f t="shared" si="16"/>
        <v/>
      </c>
      <c r="AL54" s="20" t="str">
        <f t="shared" si="17"/>
        <v/>
      </c>
      <c r="AM54" s="20" t="str">
        <f t="shared" si="18"/>
        <v/>
      </c>
      <c r="AN54" s="20" t="str">
        <f t="shared" si="19"/>
        <v/>
      </c>
      <c r="AO54" s="20" t="str">
        <f t="shared" si="20"/>
        <v/>
      </c>
      <c r="AP54" s="20" t="str">
        <f t="shared" si="21"/>
        <v/>
      </c>
      <c r="AQ54" s="20" t="str">
        <f t="shared" si="22"/>
        <v/>
      </c>
      <c r="AR54" s="20" t="str">
        <f t="shared" si="23"/>
        <v/>
      </c>
      <c r="AS54" s="20" t="str">
        <f t="shared" si="24"/>
        <v/>
      </c>
      <c r="AT54" s="20" t="str">
        <f t="shared" si="25"/>
        <v/>
      </c>
      <c r="AU54" s="20" t="str">
        <f t="shared" si="26"/>
        <v/>
      </c>
      <c r="AV54" s="20" t="str">
        <f t="shared" si="27"/>
        <v/>
      </c>
      <c r="AW54" s="20" t="str">
        <f t="shared" si="28"/>
        <v/>
      </c>
      <c r="BD54" s="17" t="s">
        <v>178</v>
      </c>
      <c r="BE54" s="17" t="s">
        <v>828</v>
      </c>
      <c r="BF54" s="17" t="s">
        <v>597</v>
      </c>
      <c r="BG54" s="17" t="s">
        <v>127</v>
      </c>
      <c r="BH54" s="17" t="s">
        <v>58</v>
      </c>
      <c r="BI54" s="17" t="s">
        <v>869</v>
      </c>
      <c r="BJ54" s="94"/>
      <c r="BK54" s="18" t="s">
        <v>556</v>
      </c>
      <c r="BL54" s="18" t="s">
        <v>556</v>
      </c>
      <c r="BM54" s="82" t="s">
        <v>491</v>
      </c>
      <c r="BN54" s="95" t="s">
        <v>791</v>
      </c>
      <c r="BO54" s="17" t="s">
        <v>184</v>
      </c>
      <c r="BP54" s="17" t="s">
        <v>184</v>
      </c>
      <c r="BQ54" s="17" t="s">
        <v>271</v>
      </c>
      <c r="BR54" s="17" t="s">
        <v>1005</v>
      </c>
      <c r="BS54" s="22" t="s">
        <v>52</v>
      </c>
      <c r="BU54" s="17" t="s">
        <v>70</v>
      </c>
      <c r="BW54" s="94"/>
      <c r="BX54" s="17">
        <v>809</v>
      </c>
      <c r="BY54" s="17">
        <v>202749</v>
      </c>
      <c r="CA54" s="94"/>
      <c r="CB54" s="17" t="s">
        <v>58</v>
      </c>
      <c r="CC54" s="17" t="s">
        <v>572</v>
      </c>
      <c r="CD54" s="17" t="s">
        <v>583</v>
      </c>
      <c r="CE54" s="17" t="s">
        <v>98</v>
      </c>
      <c r="CF54" s="17" t="s">
        <v>1132</v>
      </c>
      <c r="CG54" s="17" t="s">
        <v>828</v>
      </c>
      <c r="CH54" s="17" t="s">
        <v>178</v>
      </c>
      <c r="CI54" s="72">
        <v>5274</v>
      </c>
      <c r="CJ54" s="23" t="b">
        <v>0</v>
      </c>
      <c r="CK54" s="23" t="b">
        <v>1</v>
      </c>
      <c r="CL54" s="23" t="b">
        <v>0</v>
      </c>
      <c r="CM54" s="23" t="b">
        <v>0</v>
      </c>
      <c r="CN54" s="23" t="b">
        <v>0</v>
      </c>
      <c r="CO54" s="23" t="s">
        <v>61</v>
      </c>
      <c r="CP54" s="52"/>
      <c r="CQ54" s="24" t="s">
        <v>287</v>
      </c>
      <c r="CR54" s="17" t="s">
        <v>127</v>
      </c>
      <c r="CT54" s="24" t="s">
        <v>287</v>
      </c>
      <c r="CU54" s="17" t="s">
        <v>83</v>
      </c>
      <c r="CW54" s="24" t="s">
        <v>269</v>
      </c>
      <c r="CX54" s="10" t="s">
        <v>136</v>
      </c>
      <c r="CY54" s="10"/>
      <c r="CZ54" s="24" t="s">
        <v>287</v>
      </c>
      <c r="DA54" s="24" t="s">
        <v>61</v>
      </c>
      <c r="DB54" s="24"/>
      <c r="DC54" s="24" t="s">
        <v>287</v>
      </c>
      <c r="DD54" s="17" t="s">
        <v>83</v>
      </c>
      <c r="DE54" s="24"/>
      <c r="DF54" s="24"/>
      <c r="DG54" s="24"/>
      <c r="DH54" s="24"/>
      <c r="DI54" s="24"/>
      <c r="DJ54" s="24"/>
      <c r="DK54" s="24"/>
      <c r="DL54" s="24"/>
      <c r="DM54" s="24"/>
      <c r="DN54" s="24"/>
    </row>
    <row r="55" spans="1:118" ht="16.5" x14ac:dyDescent="0.25">
      <c r="A55" s="97"/>
      <c r="B55" s="97"/>
      <c r="C55" s="97"/>
      <c r="D55" s="97"/>
      <c r="E55" s="97"/>
      <c r="F55" s="97"/>
      <c r="G55" s="98"/>
      <c r="H55" s="97"/>
      <c r="I55" s="97"/>
      <c r="J55" s="97"/>
      <c r="K55" s="97"/>
      <c r="L55" s="97"/>
      <c r="M55" s="97"/>
      <c r="N55" s="97"/>
      <c r="O55" s="97"/>
      <c r="P55" s="97"/>
      <c r="Q55" s="100"/>
      <c r="R55" s="101"/>
      <c r="S55" s="99"/>
      <c r="T55" s="99"/>
      <c r="U55" s="97"/>
      <c r="V55" s="20" t="str">
        <f t="shared" si="1"/>
        <v/>
      </c>
      <c r="W55" s="20" t="str">
        <f t="shared" si="2"/>
        <v/>
      </c>
      <c r="X55" s="20" t="str">
        <f t="shared" si="3"/>
        <v/>
      </c>
      <c r="Y55" s="20" t="str">
        <f t="shared" si="4"/>
        <v/>
      </c>
      <c r="Z55" s="20" t="str">
        <f t="shared" si="5"/>
        <v/>
      </c>
      <c r="AA55" s="20" t="str">
        <f t="shared" si="6"/>
        <v/>
      </c>
      <c r="AB55" s="20" t="str">
        <f t="shared" si="7"/>
        <v/>
      </c>
      <c r="AC55" s="20" t="str">
        <f t="shared" si="8"/>
        <v/>
      </c>
      <c r="AD55" s="20" t="str">
        <f t="shared" si="9"/>
        <v/>
      </c>
      <c r="AE55" s="20" t="str">
        <f t="shared" si="10"/>
        <v/>
      </c>
      <c r="AF55" s="20" t="str">
        <f t="shared" si="11"/>
        <v/>
      </c>
      <c r="AG55" s="20" t="str">
        <f t="shared" si="12"/>
        <v/>
      </c>
      <c r="AH55" s="20" t="str">
        <f t="shared" si="13"/>
        <v/>
      </c>
      <c r="AI55" s="20" t="str">
        <f t="shared" si="14"/>
        <v/>
      </c>
      <c r="AJ55" s="20" t="str">
        <f t="shared" si="15"/>
        <v/>
      </c>
      <c r="AK55" s="20" t="str">
        <f t="shared" si="16"/>
        <v/>
      </c>
      <c r="AL55" s="20" t="str">
        <f t="shared" si="17"/>
        <v/>
      </c>
      <c r="AM55" s="20" t="str">
        <f t="shared" si="18"/>
        <v/>
      </c>
      <c r="AN55" s="20" t="str">
        <f t="shared" si="19"/>
        <v/>
      </c>
      <c r="AO55" s="20" t="str">
        <f t="shared" si="20"/>
        <v/>
      </c>
      <c r="AP55" s="20" t="str">
        <f t="shared" si="21"/>
        <v/>
      </c>
      <c r="AQ55" s="20" t="str">
        <f t="shared" si="22"/>
        <v/>
      </c>
      <c r="AR55" s="20" t="str">
        <f t="shared" si="23"/>
        <v/>
      </c>
      <c r="AS55" s="20" t="str">
        <f t="shared" si="24"/>
        <v/>
      </c>
      <c r="AT55" s="20" t="str">
        <f t="shared" si="25"/>
        <v/>
      </c>
      <c r="AU55" s="20" t="str">
        <f t="shared" si="26"/>
        <v/>
      </c>
      <c r="AV55" s="20" t="str">
        <f t="shared" si="27"/>
        <v/>
      </c>
      <c r="AW55" s="20" t="str">
        <f t="shared" si="28"/>
        <v/>
      </c>
      <c r="BD55" s="17" t="s">
        <v>178</v>
      </c>
      <c r="BE55" s="17" t="s">
        <v>828</v>
      </c>
      <c r="BF55" s="17" t="s">
        <v>597</v>
      </c>
      <c r="BG55" s="17" t="s">
        <v>150</v>
      </c>
      <c r="BH55" s="17" t="s">
        <v>58</v>
      </c>
      <c r="BI55" s="17" t="s">
        <v>870</v>
      </c>
      <c r="BJ55" s="94"/>
      <c r="BK55" s="18" t="s">
        <v>556</v>
      </c>
      <c r="BL55" s="18" t="s">
        <v>556</v>
      </c>
      <c r="BM55" s="82" t="s">
        <v>491</v>
      </c>
      <c r="BN55" s="95" t="s">
        <v>791</v>
      </c>
      <c r="BO55" s="17" t="s">
        <v>184</v>
      </c>
      <c r="BP55" s="17" t="s">
        <v>184</v>
      </c>
      <c r="BQ55" s="17" t="s">
        <v>271</v>
      </c>
      <c r="BR55" s="17" t="s">
        <v>1005</v>
      </c>
      <c r="BS55" s="22" t="s">
        <v>52</v>
      </c>
      <c r="BU55" s="17" t="s">
        <v>70</v>
      </c>
      <c r="BW55" s="94"/>
      <c r="BX55" s="17">
        <v>809</v>
      </c>
      <c r="BY55" s="17">
        <v>202749</v>
      </c>
      <c r="CA55" s="94"/>
      <c r="CB55" s="17" t="s">
        <v>58</v>
      </c>
      <c r="CC55" s="17" t="s">
        <v>572</v>
      </c>
      <c r="CD55" s="17" t="s">
        <v>583</v>
      </c>
      <c r="CE55" s="17" t="s">
        <v>98</v>
      </c>
      <c r="CF55" s="17" t="s">
        <v>1132</v>
      </c>
      <c r="CG55" s="17" t="s">
        <v>828</v>
      </c>
      <c r="CH55" s="17" t="s">
        <v>178</v>
      </c>
      <c r="CI55" s="72">
        <v>5274</v>
      </c>
      <c r="CJ55" s="23" t="b">
        <v>0</v>
      </c>
      <c r="CK55" s="23" t="b">
        <v>0</v>
      </c>
      <c r="CL55" s="23" t="b">
        <v>1</v>
      </c>
      <c r="CM55" s="23" t="b">
        <v>0</v>
      </c>
      <c r="CN55" s="23" t="b">
        <v>0</v>
      </c>
      <c r="CO55" s="23" t="s">
        <v>61</v>
      </c>
      <c r="CP55" s="52"/>
      <c r="CQ55" s="24" t="s">
        <v>284</v>
      </c>
      <c r="CR55" s="17" t="s">
        <v>57</v>
      </c>
      <c r="CT55" s="24" t="s">
        <v>284</v>
      </c>
      <c r="CU55" s="17" t="s">
        <v>58</v>
      </c>
      <c r="CW55" s="17" t="s">
        <v>270</v>
      </c>
      <c r="CX55" s="10" t="s">
        <v>144</v>
      </c>
      <c r="CY55" s="10"/>
      <c r="CZ55" s="24" t="s">
        <v>284</v>
      </c>
      <c r="DA55" s="24" t="s">
        <v>73</v>
      </c>
      <c r="DB55" s="24"/>
      <c r="DC55" s="24" t="s">
        <v>284</v>
      </c>
      <c r="DD55" s="17" t="s">
        <v>58</v>
      </c>
      <c r="DE55" s="24"/>
      <c r="DF55" s="24"/>
      <c r="DG55" s="24"/>
      <c r="DH55" s="24"/>
      <c r="DI55" s="24"/>
      <c r="DJ55" s="24"/>
      <c r="DK55" s="24"/>
      <c r="DL55" s="24"/>
      <c r="DM55" s="24"/>
      <c r="DN55" s="24"/>
    </row>
    <row r="56" spans="1:118" ht="16.5" x14ac:dyDescent="0.25">
      <c r="A56" s="97"/>
      <c r="B56" s="97"/>
      <c r="C56" s="97"/>
      <c r="D56" s="97"/>
      <c r="E56" s="97"/>
      <c r="F56" s="97"/>
      <c r="G56" s="98"/>
      <c r="H56" s="97"/>
      <c r="I56" s="97"/>
      <c r="J56" s="97"/>
      <c r="K56" s="97"/>
      <c r="L56" s="97"/>
      <c r="M56" s="97"/>
      <c r="N56" s="97"/>
      <c r="O56" s="97"/>
      <c r="P56" s="97"/>
      <c r="Q56" s="100"/>
      <c r="R56" s="101"/>
      <c r="S56" s="99"/>
      <c r="T56" s="99"/>
      <c r="U56" s="97"/>
      <c r="V56" s="20" t="str">
        <f t="shared" si="1"/>
        <v/>
      </c>
      <c r="W56" s="20" t="str">
        <f t="shared" si="2"/>
        <v/>
      </c>
      <c r="X56" s="20" t="str">
        <f t="shared" si="3"/>
        <v/>
      </c>
      <c r="Y56" s="20" t="str">
        <f t="shared" si="4"/>
        <v/>
      </c>
      <c r="Z56" s="20" t="str">
        <f t="shared" si="5"/>
        <v/>
      </c>
      <c r="AA56" s="20" t="str">
        <f t="shared" si="6"/>
        <v/>
      </c>
      <c r="AB56" s="20" t="str">
        <f t="shared" si="7"/>
        <v/>
      </c>
      <c r="AC56" s="20" t="str">
        <f t="shared" si="8"/>
        <v/>
      </c>
      <c r="AD56" s="20" t="str">
        <f t="shared" si="9"/>
        <v/>
      </c>
      <c r="AE56" s="20" t="str">
        <f t="shared" si="10"/>
        <v/>
      </c>
      <c r="AF56" s="20" t="str">
        <f t="shared" si="11"/>
        <v/>
      </c>
      <c r="AG56" s="20" t="str">
        <f t="shared" si="12"/>
        <v/>
      </c>
      <c r="AH56" s="20" t="str">
        <f t="shared" si="13"/>
        <v/>
      </c>
      <c r="AI56" s="20" t="str">
        <f t="shared" si="14"/>
        <v/>
      </c>
      <c r="AJ56" s="20" t="str">
        <f t="shared" si="15"/>
        <v/>
      </c>
      <c r="AK56" s="20" t="str">
        <f t="shared" si="16"/>
        <v/>
      </c>
      <c r="AL56" s="20" t="str">
        <f t="shared" si="17"/>
        <v/>
      </c>
      <c r="AM56" s="20" t="str">
        <f t="shared" si="18"/>
        <v/>
      </c>
      <c r="AN56" s="20" t="str">
        <f t="shared" si="19"/>
        <v/>
      </c>
      <c r="AO56" s="20" t="str">
        <f t="shared" si="20"/>
        <v/>
      </c>
      <c r="AP56" s="20" t="str">
        <f t="shared" si="21"/>
        <v/>
      </c>
      <c r="AQ56" s="20" t="str">
        <f t="shared" si="22"/>
        <v/>
      </c>
      <c r="AR56" s="20" t="str">
        <f t="shared" si="23"/>
        <v/>
      </c>
      <c r="AS56" s="20" t="str">
        <f t="shared" si="24"/>
        <v/>
      </c>
      <c r="AT56" s="20" t="str">
        <f t="shared" si="25"/>
        <v/>
      </c>
      <c r="AU56" s="20" t="str">
        <f t="shared" si="26"/>
        <v/>
      </c>
      <c r="AV56" s="20" t="str">
        <f t="shared" si="27"/>
        <v/>
      </c>
      <c r="AW56" s="20" t="str">
        <f t="shared" si="28"/>
        <v/>
      </c>
      <c r="BD56" s="17" t="s">
        <v>178</v>
      </c>
      <c r="BE56" s="17" t="s">
        <v>828</v>
      </c>
      <c r="BF56" s="17" t="s">
        <v>597</v>
      </c>
      <c r="BG56" s="17" t="s">
        <v>595</v>
      </c>
      <c r="BH56" s="17" t="s">
        <v>58</v>
      </c>
      <c r="BI56" s="17" t="s">
        <v>871</v>
      </c>
      <c r="BJ56" s="94"/>
      <c r="BK56" s="18" t="s">
        <v>556</v>
      </c>
      <c r="BL56" s="18" t="s">
        <v>556</v>
      </c>
      <c r="BM56" s="82" t="s">
        <v>491</v>
      </c>
      <c r="BN56" s="95" t="s">
        <v>791</v>
      </c>
      <c r="BO56" s="17" t="s">
        <v>184</v>
      </c>
      <c r="BP56" s="17" t="s">
        <v>184</v>
      </c>
      <c r="BQ56" s="17" t="s">
        <v>271</v>
      </c>
      <c r="BR56" s="17" t="s">
        <v>1005</v>
      </c>
      <c r="BS56" s="22" t="s">
        <v>52</v>
      </c>
      <c r="BU56" s="17" t="s">
        <v>70</v>
      </c>
      <c r="BW56" s="94"/>
      <c r="BX56" s="17">
        <v>809</v>
      </c>
      <c r="BY56" s="17">
        <v>202749</v>
      </c>
      <c r="CA56" s="94"/>
      <c r="CB56" s="17" t="s">
        <v>83</v>
      </c>
      <c r="CC56" s="17" t="s">
        <v>572</v>
      </c>
      <c r="CD56" s="17" t="s">
        <v>583</v>
      </c>
      <c r="CE56" s="17" t="s">
        <v>98</v>
      </c>
      <c r="CF56" s="17" t="s">
        <v>1132</v>
      </c>
      <c r="CG56" s="17" t="s">
        <v>828</v>
      </c>
      <c r="CH56" s="17" t="s">
        <v>178</v>
      </c>
      <c r="CI56" s="72">
        <v>5274</v>
      </c>
      <c r="CJ56" s="23" t="b">
        <v>1</v>
      </c>
      <c r="CK56" s="23" t="b">
        <v>0</v>
      </c>
      <c r="CL56" s="23" t="b">
        <v>0</v>
      </c>
      <c r="CM56" s="23" t="b">
        <v>0</v>
      </c>
      <c r="CN56" s="23" t="b">
        <v>0</v>
      </c>
      <c r="CO56" s="23" t="s">
        <v>61</v>
      </c>
      <c r="CP56" s="52"/>
      <c r="CQ56" s="24" t="s">
        <v>286</v>
      </c>
      <c r="CR56" s="17" t="s">
        <v>57</v>
      </c>
      <c r="CT56" s="24" t="s">
        <v>286</v>
      </c>
      <c r="CU56" s="17" t="s">
        <v>83</v>
      </c>
      <c r="CW56" s="17" t="s">
        <v>272</v>
      </c>
      <c r="CX56" s="10" t="s">
        <v>144</v>
      </c>
      <c r="CY56" s="10"/>
      <c r="CZ56" s="24" t="s">
        <v>286</v>
      </c>
      <c r="DA56" s="24" t="s">
        <v>73</v>
      </c>
      <c r="DB56" s="24"/>
      <c r="DC56" s="24" t="s">
        <v>286</v>
      </c>
      <c r="DD56" s="17" t="s">
        <v>83</v>
      </c>
      <c r="DE56" s="24"/>
      <c r="DF56" s="24"/>
      <c r="DG56" s="24"/>
      <c r="DH56" s="24"/>
      <c r="DI56" s="24"/>
      <c r="DJ56" s="24"/>
      <c r="DK56" s="24"/>
      <c r="DL56" s="24"/>
      <c r="DM56" s="24"/>
      <c r="DN56" s="24"/>
    </row>
    <row r="57" spans="1:118" ht="16.5" x14ac:dyDescent="0.25">
      <c r="A57" s="97"/>
      <c r="B57" s="97"/>
      <c r="C57" s="97"/>
      <c r="D57" s="97"/>
      <c r="E57" s="97"/>
      <c r="F57" s="97"/>
      <c r="G57" s="98"/>
      <c r="H57" s="97"/>
      <c r="I57" s="97"/>
      <c r="J57" s="97"/>
      <c r="K57" s="97"/>
      <c r="L57" s="97"/>
      <c r="M57" s="97"/>
      <c r="N57" s="97"/>
      <c r="O57" s="97"/>
      <c r="P57" s="97"/>
      <c r="Q57" s="100"/>
      <c r="R57" s="101"/>
      <c r="S57" s="99"/>
      <c r="T57" s="99"/>
      <c r="U57" s="97"/>
      <c r="V57" s="20" t="str">
        <f t="shared" si="1"/>
        <v/>
      </c>
      <c r="W57" s="20" t="str">
        <f t="shared" si="2"/>
        <v/>
      </c>
      <c r="X57" s="20" t="str">
        <f t="shared" si="3"/>
        <v/>
      </c>
      <c r="Y57" s="20" t="str">
        <f t="shared" si="4"/>
        <v/>
      </c>
      <c r="Z57" s="20" t="str">
        <f t="shared" si="5"/>
        <v/>
      </c>
      <c r="AA57" s="20" t="str">
        <f t="shared" si="6"/>
        <v/>
      </c>
      <c r="AB57" s="20" t="str">
        <f t="shared" si="7"/>
        <v/>
      </c>
      <c r="AC57" s="20" t="str">
        <f t="shared" si="8"/>
        <v/>
      </c>
      <c r="AD57" s="20" t="str">
        <f t="shared" si="9"/>
        <v/>
      </c>
      <c r="AE57" s="20" t="str">
        <f t="shared" si="10"/>
        <v/>
      </c>
      <c r="AF57" s="20" t="str">
        <f t="shared" si="11"/>
        <v/>
      </c>
      <c r="AG57" s="20" t="str">
        <f t="shared" si="12"/>
        <v/>
      </c>
      <c r="AH57" s="20" t="str">
        <f t="shared" si="13"/>
        <v/>
      </c>
      <c r="AI57" s="20" t="str">
        <f t="shared" si="14"/>
        <v/>
      </c>
      <c r="AJ57" s="20" t="str">
        <f t="shared" si="15"/>
        <v/>
      </c>
      <c r="AK57" s="20" t="str">
        <f t="shared" si="16"/>
        <v/>
      </c>
      <c r="AL57" s="20" t="str">
        <f t="shared" si="17"/>
        <v/>
      </c>
      <c r="AM57" s="20" t="str">
        <f t="shared" si="18"/>
        <v/>
      </c>
      <c r="AN57" s="20" t="str">
        <f t="shared" si="19"/>
        <v/>
      </c>
      <c r="AO57" s="20" t="str">
        <f t="shared" si="20"/>
        <v/>
      </c>
      <c r="AP57" s="20" t="str">
        <f t="shared" si="21"/>
        <v/>
      </c>
      <c r="AQ57" s="20" t="str">
        <f t="shared" si="22"/>
        <v/>
      </c>
      <c r="AR57" s="20" t="str">
        <f t="shared" si="23"/>
        <v/>
      </c>
      <c r="AS57" s="20" t="str">
        <f t="shared" si="24"/>
        <v/>
      </c>
      <c r="AT57" s="20" t="str">
        <f t="shared" si="25"/>
        <v/>
      </c>
      <c r="AU57" s="20" t="str">
        <f t="shared" si="26"/>
        <v/>
      </c>
      <c r="AV57" s="20" t="str">
        <f t="shared" si="27"/>
        <v/>
      </c>
      <c r="AW57" s="20" t="str">
        <f t="shared" si="28"/>
        <v/>
      </c>
      <c r="BD57" s="24" t="s">
        <v>178</v>
      </c>
      <c r="BE57" s="24" t="s">
        <v>828</v>
      </c>
      <c r="BF57" s="24" t="s">
        <v>630</v>
      </c>
      <c r="BG57" s="24" t="s">
        <v>596</v>
      </c>
      <c r="BH57" s="24" t="s">
        <v>147</v>
      </c>
      <c r="BI57" s="24" t="s">
        <v>872</v>
      </c>
      <c r="BJ57" s="94"/>
      <c r="BK57" s="75" t="s">
        <v>659</v>
      </c>
      <c r="BL57" s="75" t="s">
        <v>825</v>
      </c>
      <c r="BM57" s="75" t="s">
        <v>335</v>
      </c>
      <c r="BN57" s="75" t="s">
        <v>632</v>
      </c>
      <c r="BO57" s="75" t="s">
        <v>198</v>
      </c>
      <c r="BP57" s="75" t="s">
        <v>630</v>
      </c>
      <c r="BQ57" s="75" t="s">
        <v>630</v>
      </c>
      <c r="BR57" s="75"/>
      <c r="BS57" s="102" t="s">
        <v>52</v>
      </c>
      <c r="BT57" s="75"/>
      <c r="BU57" s="75" t="s">
        <v>70</v>
      </c>
      <c r="BV57" s="75"/>
      <c r="BW57" s="3"/>
      <c r="BX57" s="103">
        <v>124</v>
      </c>
      <c r="BY57" s="103">
        <v>203091</v>
      </c>
      <c r="BZ57" s="75"/>
      <c r="CA57" s="3"/>
      <c r="CB57" s="24" t="s">
        <v>83</v>
      </c>
      <c r="CC57" s="24" t="s">
        <v>571</v>
      </c>
      <c r="CD57" s="24" t="s">
        <v>635</v>
      </c>
      <c r="CE57" s="24" t="s">
        <v>98</v>
      </c>
      <c r="CF57" s="24" t="s">
        <v>1132</v>
      </c>
      <c r="CG57" s="24" t="s">
        <v>828</v>
      </c>
      <c r="CH57" s="24" t="s">
        <v>178</v>
      </c>
      <c r="CI57" s="103">
        <v>5274</v>
      </c>
      <c r="CJ57" s="77" t="b">
        <v>0</v>
      </c>
      <c r="CK57" s="77" t="b">
        <v>0</v>
      </c>
      <c r="CL57" s="77" t="b">
        <v>0</v>
      </c>
      <c r="CM57" s="24" t="b">
        <v>1</v>
      </c>
      <c r="CN57" s="77" t="b">
        <v>0</v>
      </c>
      <c r="CO57" s="77" t="s">
        <v>61</v>
      </c>
      <c r="CP57" s="52"/>
      <c r="CQ57" s="24" t="s">
        <v>288</v>
      </c>
      <c r="CR57" s="17" t="s">
        <v>57</v>
      </c>
      <c r="CT57" s="24" t="s">
        <v>288</v>
      </c>
      <c r="CU57" s="17" t="s">
        <v>58</v>
      </c>
      <c r="CW57" s="17" t="s">
        <v>274</v>
      </c>
      <c r="CX57" s="10" t="s">
        <v>144</v>
      </c>
      <c r="CY57" s="10"/>
      <c r="CZ57" s="24" t="s">
        <v>288</v>
      </c>
      <c r="DA57" s="24" t="s">
        <v>73</v>
      </c>
      <c r="DB57" s="24"/>
      <c r="DC57" s="24" t="s">
        <v>288</v>
      </c>
      <c r="DD57" s="17" t="s">
        <v>58</v>
      </c>
      <c r="DE57" s="24"/>
      <c r="DF57" s="24"/>
      <c r="DG57" s="24"/>
      <c r="DH57" s="24"/>
      <c r="DI57" s="24"/>
      <c r="DJ57" s="24"/>
      <c r="DK57" s="24"/>
      <c r="DL57" s="24"/>
      <c r="DM57" s="24"/>
      <c r="DN57" s="24"/>
    </row>
    <row r="58" spans="1:118" ht="16.5" x14ac:dyDescent="0.25">
      <c r="A58" s="97"/>
      <c r="B58" s="97"/>
      <c r="C58" s="97"/>
      <c r="D58" s="97"/>
      <c r="E58" s="97"/>
      <c r="F58" s="97"/>
      <c r="G58" s="98"/>
      <c r="H58" s="97"/>
      <c r="I58" s="97"/>
      <c r="J58" s="97"/>
      <c r="K58" s="97"/>
      <c r="L58" s="97"/>
      <c r="M58" s="97"/>
      <c r="N58" s="97"/>
      <c r="O58" s="97"/>
      <c r="P58" s="97"/>
      <c r="Q58" s="100"/>
      <c r="R58" s="101"/>
      <c r="S58" s="99"/>
      <c r="T58" s="99"/>
      <c r="U58" s="97"/>
      <c r="V58" s="20" t="str">
        <f t="shared" si="1"/>
        <v/>
      </c>
      <c r="W58" s="20" t="str">
        <f t="shared" si="2"/>
        <v/>
      </c>
      <c r="X58" s="20" t="str">
        <f t="shared" si="3"/>
        <v/>
      </c>
      <c r="Y58" s="20" t="str">
        <f t="shared" si="4"/>
        <v/>
      </c>
      <c r="Z58" s="20" t="str">
        <f t="shared" si="5"/>
        <v/>
      </c>
      <c r="AA58" s="20" t="str">
        <f t="shared" si="6"/>
        <v/>
      </c>
      <c r="AB58" s="20" t="str">
        <f t="shared" si="7"/>
        <v/>
      </c>
      <c r="AC58" s="20" t="str">
        <f t="shared" si="8"/>
        <v/>
      </c>
      <c r="AD58" s="20" t="str">
        <f t="shared" si="9"/>
        <v/>
      </c>
      <c r="AE58" s="20" t="str">
        <f t="shared" si="10"/>
        <v/>
      </c>
      <c r="AF58" s="20" t="str">
        <f t="shared" si="11"/>
        <v/>
      </c>
      <c r="AG58" s="20" t="str">
        <f t="shared" si="12"/>
        <v/>
      </c>
      <c r="AH58" s="20" t="str">
        <f t="shared" si="13"/>
        <v/>
      </c>
      <c r="AI58" s="20" t="str">
        <f t="shared" si="14"/>
        <v/>
      </c>
      <c r="AJ58" s="20" t="str">
        <f t="shared" si="15"/>
        <v/>
      </c>
      <c r="AK58" s="20" t="str">
        <f t="shared" si="16"/>
        <v/>
      </c>
      <c r="AL58" s="20" t="str">
        <f t="shared" si="17"/>
        <v/>
      </c>
      <c r="AM58" s="20" t="str">
        <f t="shared" si="18"/>
        <v/>
      </c>
      <c r="AN58" s="20" t="str">
        <f t="shared" si="19"/>
        <v/>
      </c>
      <c r="AO58" s="20" t="str">
        <f t="shared" si="20"/>
        <v/>
      </c>
      <c r="AP58" s="20" t="str">
        <f t="shared" si="21"/>
        <v/>
      </c>
      <c r="AQ58" s="20" t="str">
        <f t="shared" si="22"/>
        <v/>
      </c>
      <c r="AR58" s="20" t="str">
        <f t="shared" si="23"/>
        <v/>
      </c>
      <c r="AS58" s="20" t="str">
        <f t="shared" si="24"/>
        <v/>
      </c>
      <c r="AT58" s="20" t="str">
        <f t="shared" si="25"/>
        <v/>
      </c>
      <c r="AU58" s="20" t="str">
        <f t="shared" si="26"/>
        <v/>
      </c>
      <c r="AV58" s="20" t="str">
        <f t="shared" si="27"/>
        <v/>
      </c>
      <c r="AW58" s="20" t="str">
        <f t="shared" si="28"/>
        <v/>
      </c>
      <c r="BD58" s="24" t="s">
        <v>178</v>
      </c>
      <c r="BE58" s="24" t="s">
        <v>828</v>
      </c>
      <c r="BF58" s="24" t="s">
        <v>630</v>
      </c>
      <c r="BG58" s="24" t="s">
        <v>596</v>
      </c>
      <c r="BH58" s="24" t="s">
        <v>92</v>
      </c>
      <c r="BI58" s="24" t="s">
        <v>873</v>
      </c>
      <c r="BJ58" s="94"/>
      <c r="BK58" s="75" t="s">
        <v>634</v>
      </c>
      <c r="BL58" s="75" t="s">
        <v>826</v>
      </c>
      <c r="BM58" s="75" t="s">
        <v>492</v>
      </c>
      <c r="BN58" s="75" t="s">
        <v>632</v>
      </c>
      <c r="BO58" s="75" t="s">
        <v>198</v>
      </c>
      <c r="BP58" s="75" t="s">
        <v>630</v>
      </c>
      <c r="BQ58" s="75" t="s">
        <v>630</v>
      </c>
      <c r="BR58" s="75" t="s">
        <v>1006</v>
      </c>
      <c r="BS58" s="102" t="s">
        <v>52</v>
      </c>
      <c r="BT58" s="75"/>
      <c r="BU58" s="75" t="s">
        <v>70</v>
      </c>
      <c r="BV58" s="75"/>
      <c r="BW58" s="3"/>
      <c r="BX58" s="103">
        <v>124</v>
      </c>
      <c r="BY58" s="103">
        <v>203091</v>
      </c>
      <c r="BZ58" s="75"/>
      <c r="CA58" s="3"/>
      <c r="CB58" s="24" t="s">
        <v>83</v>
      </c>
      <c r="CC58" s="24" t="s">
        <v>571</v>
      </c>
      <c r="CD58" s="24" t="s">
        <v>635</v>
      </c>
      <c r="CE58" s="24" t="s">
        <v>98</v>
      </c>
      <c r="CF58" s="24" t="s">
        <v>1132</v>
      </c>
      <c r="CG58" s="24" t="s">
        <v>828</v>
      </c>
      <c r="CH58" s="24" t="s">
        <v>178</v>
      </c>
      <c r="CI58" s="103">
        <v>5274</v>
      </c>
      <c r="CJ58" s="77" t="b">
        <v>0</v>
      </c>
      <c r="CK58" s="77" t="b">
        <v>0</v>
      </c>
      <c r="CL58" s="77" t="b">
        <v>0</v>
      </c>
      <c r="CM58" s="24" t="b">
        <v>1</v>
      </c>
      <c r="CN58" s="77" t="b">
        <v>0</v>
      </c>
      <c r="CO58" s="77" t="s">
        <v>61</v>
      </c>
      <c r="CP58" s="50"/>
      <c r="CQ58" s="24" t="s">
        <v>289</v>
      </c>
      <c r="CR58" s="17" t="s">
        <v>57</v>
      </c>
      <c r="CT58" s="24" t="s">
        <v>289</v>
      </c>
      <c r="CU58" s="17" t="s">
        <v>83</v>
      </c>
      <c r="CW58" s="17" t="s">
        <v>275</v>
      </c>
      <c r="CX58" s="10" t="s">
        <v>144</v>
      </c>
      <c r="CY58" s="10"/>
      <c r="CZ58" s="24" t="s">
        <v>289</v>
      </c>
      <c r="DA58" s="24" t="s">
        <v>73</v>
      </c>
      <c r="DB58" s="24"/>
      <c r="DC58" s="24" t="s">
        <v>289</v>
      </c>
      <c r="DD58" s="17" t="s">
        <v>83</v>
      </c>
      <c r="DE58" s="24"/>
      <c r="DF58" s="24"/>
      <c r="DG58" s="24"/>
      <c r="DH58" s="24"/>
      <c r="DI58" s="24"/>
      <c r="DJ58" s="24"/>
      <c r="DK58" s="24"/>
      <c r="DL58" s="24"/>
      <c r="DM58" s="24"/>
      <c r="DN58" s="24"/>
    </row>
    <row r="59" spans="1:118" ht="16.5" x14ac:dyDescent="0.25">
      <c r="A59" s="97"/>
      <c r="B59" s="97"/>
      <c r="C59" s="97"/>
      <c r="D59" s="97"/>
      <c r="E59" s="97"/>
      <c r="F59" s="97"/>
      <c r="G59" s="98"/>
      <c r="H59" s="97"/>
      <c r="I59" s="97"/>
      <c r="J59" s="97"/>
      <c r="K59" s="97"/>
      <c r="L59" s="97"/>
      <c r="M59" s="97"/>
      <c r="N59" s="97"/>
      <c r="O59" s="97"/>
      <c r="P59" s="97"/>
      <c r="Q59" s="100"/>
      <c r="R59" s="101"/>
      <c r="S59" s="99"/>
      <c r="T59" s="99"/>
      <c r="U59" s="97"/>
      <c r="V59" s="20" t="str">
        <f t="shared" si="1"/>
        <v/>
      </c>
      <c r="W59" s="20" t="str">
        <f t="shared" si="2"/>
        <v/>
      </c>
      <c r="X59" s="20" t="str">
        <f t="shared" si="3"/>
        <v/>
      </c>
      <c r="Y59" s="20" t="str">
        <f t="shared" si="4"/>
        <v/>
      </c>
      <c r="Z59" s="20" t="str">
        <f t="shared" si="5"/>
        <v/>
      </c>
      <c r="AA59" s="20" t="str">
        <f t="shared" si="6"/>
        <v/>
      </c>
      <c r="AB59" s="20" t="str">
        <f t="shared" si="7"/>
        <v/>
      </c>
      <c r="AC59" s="20" t="str">
        <f t="shared" si="8"/>
        <v/>
      </c>
      <c r="AD59" s="20" t="str">
        <f t="shared" si="9"/>
        <v/>
      </c>
      <c r="AE59" s="20" t="str">
        <f t="shared" si="10"/>
        <v/>
      </c>
      <c r="AF59" s="20" t="str">
        <f t="shared" si="11"/>
        <v/>
      </c>
      <c r="AG59" s="20" t="str">
        <f t="shared" si="12"/>
        <v/>
      </c>
      <c r="AH59" s="20" t="str">
        <f t="shared" si="13"/>
        <v/>
      </c>
      <c r="AI59" s="20" t="str">
        <f t="shared" si="14"/>
        <v/>
      </c>
      <c r="AJ59" s="20" t="str">
        <f t="shared" si="15"/>
        <v/>
      </c>
      <c r="AK59" s="20" t="str">
        <f t="shared" si="16"/>
        <v/>
      </c>
      <c r="AL59" s="20" t="str">
        <f t="shared" si="17"/>
        <v/>
      </c>
      <c r="AM59" s="20" t="str">
        <f t="shared" si="18"/>
        <v/>
      </c>
      <c r="AN59" s="20" t="str">
        <f t="shared" si="19"/>
        <v/>
      </c>
      <c r="AO59" s="20" t="str">
        <f t="shared" si="20"/>
        <v/>
      </c>
      <c r="AP59" s="20" t="str">
        <f t="shared" si="21"/>
        <v/>
      </c>
      <c r="AQ59" s="20" t="str">
        <f t="shared" si="22"/>
        <v/>
      </c>
      <c r="AR59" s="20" t="str">
        <f t="shared" si="23"/>
        <v/>
      </c>
      <c r="AS59" s="20" t="str">
        <f t="shared" si="24"/>
        <v/>
      </c>
      <c r="AT59" s="20" t="str">
        <f t="shared" si="25"/>
        <v/>
      </c>
      <c r="AU59" s="20" t="str">
        <f t="shared" si="26"/>
        <v/>
      </c>
      <c r="AV59" s="20" t="str">
        <f t="shared" si="27"/>
        <v/>
      </c>
      <c r="AW59" s="20" t="str">
        <f t="shared" si="28"/>
        <v/>
      </c>
      <c r="BD59" s="24" t="s">
        <v>178</v>
      </c>
      <c r="BE59" s="24" t="s">
        <v>828</v>
      </c>
      <c r="BF59" s="24" t="s">
        <v>630</v>
      </c>
      <c r="BG59" s="24" t="s">
        <v>127</v>
      </c>
      <c r="BH59" s="24" t="s">
        <v>58</v>
      </c>
      <c r="BI59" s="24" t="s">
        <v>874</v>
      </c>
      <c r="BJ59" s="94"/>
      <c r="BK59" s="104" t="s">
        <v>631</v>
      </c>
      <c r="BL59" s="104" t="s">
        <v>631</v>
      </c>
      <c r="BM59" s="105" t="s">
        <v>491</v>
      </c>
      <c r="BN59" s="75" t="s">
        <v>632</v>
      </c>
      <c r="BO59" s="75" t="s">
        <v>198</v>
      </c>
      <c r="BP59" s="75" t="s">
        <v>630</v>
      </c>
      <c r="BQ59" s="75" t="s">
        <v>630</v>
      </c>
      <c r="BR59" s="75" t="s">
        <v>1007</v>
      </c>
      <c r="BS59" s="102" t="s">
        <v>52</v>
      </c>
      <c r="BT59" s="75"/>
      <c r="BU59" s="75" t="s">
        <v>70</v>
      </c>
      <c r="BV59" s="75"/>
      <c r="BW59" s="3"/>
      <c r="BX59" s="103">
        <v>812</v>
      </c>
      <c r="BY59" s="103">
        <v>203091</v>
      </c>
      <c r="BZ59" s="75"/>
      <c r="CA59" s="3"/>
      <c r="CB59" s="24" t="s">
        <v>58</v>
      </c>
      <c r="CC59" s="24" t="s">
        <v>571</v>
      </c>
      <c r="CD59" s="24" t="s">
        <v>635</v>
      </c>
      <c r="CE59" s="24" t="s">
        <v>98</v>
      </c>
      <c r="CF59" s="24" t="s">
        <v>1132</v>
      </c>
      <c r="CG59" s="24" t="s">
        <v>828</v>
      </c>
      <c r="CH59" s="24" t="s">
        <v>178</v>
      </c>
      <c r="CI59" s="103">
        <v>5274</v>
      </c>
      <c r="CJ59" s="77" t="b">
        <v>0</v>
      </c>
      <c r="CK59" s="24" t="b">
        <v>1</v>
      </c>
      <c r="CL59" s="77" t="b">
        <v>0</v>
      </c>
      <c r="CM59" s="77" t="b">
        <v>0</v>
      </c>
      <c r="CN59" s="77" t="b">
        <v>0</v>
      </c>
      <c r="CO59" s="77" t="s">
        <v>61</v>
      </c>
      <c r="CP59" s="50"/>
      <c r="CQ59" s="17" t="s">
        <v>292</v>
      </c>
      <c r="CR59" s="17" t="s">
        <v>57</v>
      </c>
      <c r="CT59" s="17" t="s">
        <v>292</v>
      </c>
      <c r="CU59" s="17" t="s">
        <v>58</v>
      </c>
      <c r="CW59" s="17" t="s">
        <v>277</v>
      </c>
      <c r="CX59" s="10" t="s">
        <v>144</v>
      </c>
      <c r="CY59" s="10"/>
      <c r="CZ59" s="17" t="s">
        <v>292</v>
      </c>
      <c r="DA59" s="24" t="s">
        <v>61</v>
      </c>
      <c r="DB59" s="24"/>
      <c r="DC59" s="17" t="s">
        <v>292</v>
      </c>
      <c r="DD59" s="17" t="s">
        <v>58</v>
      </c>
      <c r="DE59" s="24"/>
      <c r="DF59" s="24"/>
      <c r="DG59" s="24"/>
      <c r="DH59" s="24"/>
      <c r="DI59" s="24"/>
      <c r="DJ59" s="24"/>
      <c r="DK59" s="24"/>
      <c r="DL59" s="24"/>
      <c r="DM59" s="24"/>
      <c r="DN59" s="24"/>
    </row>
    <row r="60" spans="1:118" ht="16.5" x14ac:dyDescent="0.25">
      <c r="A60" s="97"/>
      <c r="B60" s="97"/>
      <c r="C60" s="97"/>
      <c r="D60" s="97"/>
      <c r="E60" s="97"/>
      <c r="F60" s="97"/>
      <c r="G60" s="98"/>
      <c r="H60" s="97"/>
      <c r="I60" s="97"/>
      <c r="J60" s="97"/>
      <c r="K60" s="97"/>
      <c r="L60" s="97"/>
      <c r="M60" s="97"/>
      <c r="N60" s="97"/>
      <c r="O60" s="97"/>
      <c r="P60" s="97"/>
      <c r="Q60" s="100"/>
      <c r="R60" s="101"/>
      <c r="S60" s="99"/>
      <c r="T60" s="99"/>
      <c r="U60" s="97"/>
      <c r="V60" s="20" t="str">
        <f t="shared" si="1"/>
        <v/>
      </c>
      <c r="W60" s="20" t="str">
        <f t="shared" si="2"/>
        <v/>
      </c>
      <c r="X60" s="20" t="str">
        <f t="shared" si="3"/>
        <v/>
      </c>
      <c r="Y60" s="20" t="str">
        <f t="shared" si="4"/>
        <v/>
      </c>
      <c r="Z60" s="20" t="str">
        <f t="shared" si="5"/>
        <v/>
      </c>
      <c r="AA60" s="20" t="str">
        <f t="shared" si="6"/>
        <v/>
      </c>
      <c r="AB60" s="20" t="str">
        <f t="shared" si="7"/>
        <v/>
      </c>
      <c r="AC60" s="20" t="str">
        <f t="shared" si="8"/>
        <v/>
      </c>
      <c r="AD60" s="20" t="str">
        <f t="shared" si="9"/>
        <v/>
      </c>
      <c r="AE60" s="20" t="str">
        <f t="shared" si="10"/>
        <v/>
      </c>
      <c r="AF60" s="20" t="str">
        <f t="shared" si="11"/>
        <v/>
      </c>
      <c r="AG60" s="20" t="str">
        <f t="shared" si="12"/>
        <v/>
      </c>
      <c r="AH60" s="20" t="str">
        <f t="shared" si="13"/>
        <v/>
      </c>
      <c r="AI60" s="20" t="str">
        <f t="shared" si="14"/>
        <v/>
      </c>
      <c r="AJ60" s="20" t="str">
        <f t="shared" si="15"/>
        <v/>
      </c>
      <c r="AK60" s="20" t="str">
        <f t="shared" si="16"/>
        <v/>
      </c>
      <c r="AL60" s="20" t="str">
        <f t="shared" si="17"/>
        <v/>
      </c>
      <c r="AM60" s="20" t="str">
        <f t="shared" si="18"/>
        <v/>
      </c>
      <c r="AN60" s="20" t="str">
        <f t="shared" si="19"/>
        <v/>
      </c>
      <c r="AO60" s="20" t="str">
        <f t="shared" si="20"/>
        <v/>
      </c>
      <c r="AP60" s="20" t="str">
        <f t="shared" si="21"/>
        <v/>
      </c>
      <c r="AQ60" s="20" t="str">
        <f t="shared" si="22"/>
        <v/>
      </c>
      <c r="AR60" s="20" t="str">
        <f t="shared" si="23"/>
        <v/>
      </c>
      <c r="AS60" s="20" t="str">
        <f t="shared" si="24"/>
        <v/>
      </c>
      <c r="AT60" s="20" t="str">
        <f t="shared" si="25"/>
        <v/>
      </c>
      <c r="AU60" s="20" t="str">
        <f t="shared" si="26"/>
        <v/>
      </c>
      <c r="AV60" s="20" t="str">
        <f t="shared" si="27"/>
        <v/>
      </c>
      <c r="AW60" s="20" t="str">
        <f t="shared" si="28"/>
        <v/>
      </c>
      <c r="BD60" s="24" t="s">
        <v>178</v>
      </c>
      <c r="BE60" s="24" t="s">
        <v>828</v>
      </c>
      <c r="BF60" s="24" t="s">
        <v>630</v>
      </c>
      <c r="BG60" s="24" t="s">
        <v>150</v>
      </c>
      <c r="BH60" s="24" t="s">
        <v>58</v>
      </c>
      <c r="BI60" s="24" t="s">
        <v>875</v>
      </c>
      <c r="BJ60" s="94"/>
      <c r="BK60" s="104" t="s">
        <v>633</v>
      </c>
      <c r="BL60" s="104" t="s">
        <v>633</v>
      </c>
      <c r="BM60" s="105" t="s">
        <v>491</v>
      </c>
      <c r="BN60" s="75" t="s">
        <v>632</v>
      </c>
      <c r="BO60" s="75" t="s">
        <v>198</v>
      </c>
      <c r="BP60" s="75" t="s">
        <v>630</v>
      </c>
      <c r="BQ60" s="75" t="s">
        <v>630</v>
      </c>
      <c r="BR60" s="75" t="s">
        <v>1008</v>
      </c>
      <c r="BS60" s="102" t="s">
        <v>52</v>
      </c>
      <c r="BT60" s="75"/>
      <c r="BU60" s="75" t="s">
        <v>70</v>
      </c>
      <c r="BV60" s="75"/>
      <c r="BW60" s="3"/>
      <c r="BX60" s="103">
        <v>812</v>
      </c>
      <c r="BY60" s="103">
        <v>203091</v>
      </c>
      <c r="BZ60" s="75"/>
      <c r="CA60" s="3"/>
      <c r="CB60" s="24" t="s">
        <v>58</v>
      </c>
      <c r="CC60" s="24" t="s">
        <v>571</v>
      </c>
      <c r="CD60" s="24" t="s">
        <v>635</v>
      </c>
      <c r="CE60" s="24" t="s">
        <v>98</v>
      </c>
      <c r="CF60" s="24" t="s">
        <v>1132</v>
      </c>
      <c r="CG60" s="24" t="s">
        <v>828</v>
      </c>
      <c r="CH60" s="24" t="s">
        <v>178</v>
      </c>
      <c r="CI60" s="103">
        <v>5274</v>
      </c>
      <c r="CJ60" s="77" t="b">
        <v>0</v>
      </c>
      <c r="CK60" s="77" t="b">
        <v>0</v>
      </c>
      <c r="CL60" s="24" t="b">
        <v>1</v>
      </c>
      <c r="CM60" s="77" t="b">
        <v>0</v>
      </c>
      <c r="CN60" s="77" t="b">
        <v>0</v>
      </c>
      <c r="CO60" s="77" t="s">
        <v>61</v>
      </c>
      <c r="CP60" s="52"/>
      <c r="CQ60" s="17" t="s">
        <v>294</v>
      </c>
      <c r="CR60" s="17" t="s">
        <v>57</v>
      </c>
      <c r="CT60" s="17" t="s">
        <v>294</v>
      </c>
      <c r="CU60" s="17" t="s">
        <v>83</v>
      </c>
      <c r="CW60" s="17" t="s">
        <v>279</v>
      </c>
      <c r="CX60" s="10" t="s">
        <v>144</v>
      </c>
      <c r="CY60" s="10"/>
      <c r="CZ60" s="17" t="s">
        <v>294</v>
      </c>
      <c r="DA60" s="24" t="s">
        <v>61</v>
      </c>
      <c r="DB60" s="24"/>
      <c r="DC60" s="17" t="s">
        <v>294</v>
      </c>
      <c r="DD60" s="17" t="s">
        <v>83</v>
      </c>
      <c r="DE60" s="24"/>
      <c r="DF60" s="24"/>
      <c r="DG60" s="24"/>
      <c r="DH60" s="24"/>
      <c r="DI60" s="24"/>
      <c r="DJ60" s="24"/>
      <c r="DK60" s="24"/>
      <c r="DL60" s="24"/>
      <c r="DM60" s="24"/>
      <c r="DN60" s="24"/>
    </row>
    <row r="61" spans="1:118" ht="16.5" x14ac:dyDescent="0.25">
      <c r="A61" s="97"/>
      <c r="B61" s="97"/>
      <c r="C61" s="97"/>
      <c r="D61" s="97"/>
      <c r="E61" s="97"/>
      <c r="F61" s="97"/>
      <c r="G61" s="98"/>
      <c r="H61" s="97"/>
      <c r="I61" s="97"/>
      <c r="J61" s="97"/>
      <c r="K61" s="97"/>
      <c r="L61" s="97"/>
      <c r="M61" s="97"/>
      <c r="N61" s="97"/>
      <c r="O61" s="97"/>
      <c r="P61" s="97"/>
      <c r="Q61" s="100"/>
      <c r="R61" s="101"/>
      <c r="S61" s="99"/>
      <c r="T61" s="99"/>
      <c r="U61" s="97"/>
      <c r="V61" s="20" t="str">
        <f t="shared" si="1"/>
        <v/>
      </c>
      <c r="W61" s="20" t="str">
        <f t="shared" si="2"/>
        <v/>
      </c>
      <c r="X61" s="20" t="str">
        <f t="shared" si="3"/>
        <v/>
      </c>
      <c r="Y61" s="20" t="str">
        <f t="shared" si="4"/>
        <v/>
      </c>
      <c r="Z61" s="20" t="str">
        <f t="shared" si="5"/>
        <v/>
      </c>
      <c r="AA61" s="20" t="str">
        <f t="shared" si="6"/>
        <v/>
      </c>
      <c r="AB61" s="20" t="str">
        <f t="shared" si="7"/>
        <v/>
      </c>
      <c r="AC61" s="20" t="str">
        <f t="shared" si="8"/>
        <v/>
      </c>
      <c r="AD61" s="20" t="str">
        <f t="shared" si="9"/>
        <v/>
      </c>
      <c r="AE61" s="20" t="str">
        <f t="shared" si="10"/>
        <v/>
      </c>
      <c r="AF61" s="20" t="str">
        <f t="shared" si="11"/>
        <v/>
      </c>
      <c r="AG61" s="20" t="str">
        <f t="shared" si="12"/>
        <v/>
      </c>
      <c r="AH61" s="20" t="str">
        <f t="shared" si="13"/>
        <v/>
      </c>
      <c r="AI61" s="20" t="str">
        <f t="shared" si="14"/>
        <v/>
      </c>
      <c r="AJ61" s="20" t="str">
        <f t="shared" si="15"/>
        <v/>
      </c>
      <c r="AK61" s="20" t="str">
        <f t="shared" si="16"/>
        <v/>
      </c>
      <c r="AL61" s="20" t="str">
        <f t="shared" si="17"/>
        <v/>
      </c>
      <c r="AM61" s="20" t="str">
        <f t="shared" si="18"/>
        <v/>
      </c>
      <c r="AN61" s="20" t="str">
        <f t="shared" si="19"/>
        <v/>
      </c>
      <c r="AO61" s="20" t="str">
        <f t="shared" si="20"/>
        <v/>
      </c>
      <c r="AP61" s="20" t="str">
        <f t="shared" si="21"/>
        <v/>
      </c>
      <c r="AQ61" s="20" t="str">
        <f t="shared" si="22"/>
        <v/>
      </c>
      <c r="AR61" s="20" t="str">
        <f t="shared" si="23"/>
        <v/>
      </c>
      <c r="AS61" s="20" t="str">
        <f t="shared" si="24"/>
        <v/>
      </c>
      <c r="AT61" s="20" t="str">
        <f t="shared" si="25"/>
        <v/>
      </c>
      <c r="AU61" s="20" t="str">
        <f t="shared" si="26"/>
        <v/>
      </c>
      <c r="AV61" s="20" t="str">
        <f t="shared" si="27"/>
        <v/>
      </c>
      <c r="AW61" s="20" t="str">
        <f t="shared" si="28"/>
        <v/>
      </c>
      <c r="BD61" s="24" t="s">
        <v>178</v>
      </c>
      <c r="BE61" s="24" t="s">
        <v>828</v>
      </c>
      <c r="BF61" s="24" t="s">
        <v>630</v>
      </c>
      <c r="BG61" s="24" t="s">
        <v>595</v>
      </c>
      <c r="BH61" s="24" t="s">
        <v>58</v>
      </c>
      <c r="BI61" s="24" t="s">
        <v>876</v>
      </c>
      <c r="BJ61" s="94"/>
      <c r="BK61" s="75" t="s">
        <v>827</v>
      </c>
      <c r="BL61" s="75" t="s">
        <v>827</v>
      </c>
      <c r="BM61" s="105" t="s">
        <v>491</v>
      </c>
      <c r="BN61" s="75" t="s">
        <v>632</v>
      </c>
      <c r="BO61" s="75" t="s">
        <v>198</v>
      </c>
      <c r="BP61" s="75" t="s">
        <v>630</v>
      </c>
      <c r="BQ61" s="75" t="s">
        <v>630</v>
      </c>
      <c r="BR61" s="24" t="s">
        <v>1009</v>
      </c>
      <c r="BS61" s="57" t="s">
        <v>715</v>
      </c>
      <c r="BT61" s="24"/>
      <c r="BU61" s="75" t="s">
        <v>70</v>
      </c>
      <c r="BV61" s="24"/>
      <c r="BW61" s="3"/>
      <c r="BX61" s="103">
        <v>812</v>
      </c>
      <c r="BY61" s="103">
        <v>203091</v>
      </c>
      <c r="BZ61" s="24"/>
      <c r="CA61" s="3"/>
      <c r="CB61" s="24" t="s">
        <v>58</v>
      </c>
      <c r="CC61" s="24" t="s">
        <v>571</v>
      </c>
      <c r="CD61" s="24" t="s">
        <v>635</v>
      </c>
      <c r="CE61" s="24" t="s">
        <v>98</v>
      </c>
      <c r="CF61" s="24" t="s">
        <v>1132</v>
      </c>
      <c r="CG61" s="24" t="s">
        <v>828</v>
      </c>
      <c r="CH61" s="24" t="s">
        <v>178</v>
      </c>
      <c r="CI61" s="103">
        <v>5274</v>
      </c>
      <c r="CJ61" s="24" t="b">
        <v>1</v>
      </c>
      <c r="CK61" s="77" t="b">
        <v>0</v>
      </c>
      <c r="CL61" s="77" t="b">
        <v>0</v>
      </c>
      <c r="CM61" s="77" t="b">
        <v>0</v>
      </c>
      <c r="CN61" s="77" t="b">
        <v>0</v>
      </c>
      <c r="CO61" s="77" t="s">
        <v>61</v>
      </c>
      <c r="CP61" s="52"/>
      <c r="CQ61" s="17" t="s">
        <v>100</v>
      </c>
      <c r="CR61" s="17" t="s">
        <v>57</v>
      </c>
      <c r="CT61" s="17" t="s">
        <v>100</v>
      </c>
      <c r="CU61" s="17" t="s">
        <v>58</v>
      </c>
      <c r="CW61" s="17" t="s">
        <v>282</v>
      </c>
      <c r="CX61" s="10" t="s">
        <v>144</v>
      </c>
      <c r="CY61" s="10"/>
      <c r="CZ61" s="17" t="s">
        <v>100</v>
      </c>
      <c r="DA61" s="24" t="s">
        <v>61</v>
      </c>
      <c r="DB61" s="24"/>
      <c r="DC61" s="17" t="s">
        <v>100</v>
      </c>
      <c r="DD61" s="17" t="s">
        <v>58</v>
      </c>
      <c r="DE61" s="24"/>
      <c r="DF61" s="24"/>
      <c r="DG61" s="24"/>
      <c r="DH61" s="24"/>
      <c r="DI61" s="24"/>
      <c r="DJ61" s="24"/>
      <c r="DK61" s="24"/>
      <c r="DL61" s="24"/>
      <c r="DM61" s="24"/>
      <c r="DN61" s="24"/>
    </row>
    <row r="62" spans="1:118" ht="16.5" x14ac:dyDescent="0.25">
      <c r="A62" s="97"/>
      <c r="B62" s="97"/>
      <c r="C62" s="97"/>
      <c r="D62" s="97"/>
      <c r="E62" s="97"/>
      <c r="F62" s="97"/>
      <c r="G62" s="98"/>
      <c r="H62" s="97"/>
      <c r="I62" s="97"/>
      <c r="J62" s="97"/>
      <c r="K62" s="97"/>
      <c r="L62" s="97"/>
      <c r="M62" s="97"/>
      <c r="N62" s="97"/>
      <c r="O62" s="97"/>
      <c r="P62" s="97"/>
      <c r="Q62" s="100"/>
      <c r="R62" s="101"/>
      <c r="S62" s="99"/>
      <c r="T62" s="99"/>
      <c r="U62" s="97"/>
      <c r="V62" s="20" t="str">
        <f t="shared" si="1"/>
        <v/>
      </c>
      <c r="W62" s="20" t="str">
        <f t="shared" si="2"/>
        <v/>
      </c>
      <c r="X62" s="20" t="str">
        <f t="shared" si="3"/>
        <v/>
      </c>
      <c r="Y62" s="20" t="str">
        <f t="shared" si="4"/>
        <v/>
      </c>
      <c r="Z62" s="20" t="str">
        <f t="shared" si="5"/>
        <v/>
      </c>
      <c r="AA62" s="20" t="str">
        <f t="shared" si="6"/>
        <v/>
      </c>
      <c r="AB62" s="20" t="str">
        <f t="shared" si="7"/>
        <v/>
      </c>
      <c r="AC62" s="20" t="str">
        <f t="shared" si="8"/>
        <v/>
      </c>
      <c r="AD62" s="20" t="str">
        <f t="shared" si="9"/>
        <v/>
      </c>
      <c r="AE62" s="20" t="str">
        <f t="shared" si="10"/>
        <v/>
      </c>
      <c r="AF62" s="20" t="str">
        <f t="shared" si="11"/>
        <v/>
      </c>
      <c r="AG62" s="20" t="str">
        <f t="shared" si="12"/>
        <v/>
      </c>
      <c r="AH62" s="20" t="str">
        <f t="shared" si="13"/>
        <v/>
      </c>
      <c r="AI62" s="20" t="str">
        <f t="shared" si="14"/>
        <v/>
      </c>
      <c r="AJ62" s="20" t="str">
        <f t="shared" si="15"/>
        <v/>
      </c>
      <c r="AK62" s="20" t="str">
        <f t="shared" si="16"/>
        <v/>
      </c>
      <c r="AL62" s="20" t="str">
        <f t="shared" si="17"/>
        <v/>
      </c>
      <c r="AM62" s="20" t="str">
        <f t="shared" si="18"/>
        <v/>
      </c>
      <c r="AN62" s="20" t="str">
        <f t="shared" si="19"/>
        <v/>
      </c>
      <c r="AO62" s="20" t="str">
        <f t="shared" si="20"/>
        <v/>
      </c>
      <c r="AP62" s="20" t="str">
        <f t="shared" si="21"/>
        <v/>
      </c>
      <c r="AQ62" s="20" t="str">
        <f t="shared" si="22"/>
        <v/>
      </c>
      <c r="AR62" s="20" t="str">
        <f t="shared" si="23"/>
        <v/>
      </c>
      <c r="AS62" s="20" t="str">
        <f t="shared" si="24"/>
        <v/>
      </c>
      <c r="AT62" s="20" t="str">
        <f t="shared" si="25"/>
        <v/>
      </c>
      <c r="AU62" s="20" t="str">
        <f t="shared" si="26"/>
        <v/>
      </c>
      <c r="AV62" s="20" t="str">
        <f t="shared" si="27"/>
        <v/>
      </c>
      <c r="AW62" s="20" t="str">
        <f t="shared" si="28"/>
        <v/>
      </c>
      <c r="BD62" s="24" t="s">
        <v>178</v>
      </c>
      <c r="BE62" s="24" t="s">
        <v>828</v>
      </c>
      <c r="BF62" s="24" t="s">
        <v>103</v>
      </c>
      <c r="BG62" s="24" t="s">
        <v>596</v>
      </c>
      <c r="BH62" s="24" t="s">
        <v>147</v>
      </c>
      <c r="BI62" s="24" t="s">
        <v>877</v>
      </c>
      <c r="BJ62" s="94"/>
      <c r="BK62" s="3" t="s">
        <v>697</v>
      </c>
      <c r="BL62" s="3" t="s">
        <v>697</v>
      </c>
      <c r="BM62" s="105" t="s">
        <v>335</v>
      </c>
      <c r="BN62" s="75" t="s">
        <v>256</v>
      </c>
      <c r="BO62" s="24" t="s">
        <v>74</v>
      </c>
      <c r="BP62" s="24" t="s">
        <v>103</v>
      </c>
      <c r="BQ62" s="24" t="s">
        <v>104</v>
      </c>
      <c r="BR62" s="24"/>
      <c r="BS62" s="57" t="s">
        <v>52</v>
      </c>
      <c r="BT62" s="57"/>
      <c r="BU62" s="24" t="s">
        <v>70</v>
      </c>
      <c r="BV62" s="24"/>
      <c r="BW62" s="3"/>
      <c r="BX62" s="24">
        <v>124</v>
      </c>
      <c r="BY62" s="24">
        <v>195928</v>
      </c>
      <c r="BZ62" s="24"/>
      <c r="CA62" s="3"/>
      <c r="CB62" s="24" t="s">
        <v>83</v>
      </c>
      <c r="CC62" s="24" t="s">
        <v>568</v>
      </c>
      <c r="CD62" s="24" t="s">
        <v>578</v>
      </c>
      <c r="CE62" s="24" t="s">
        <v>98</v>
      </c>
      <c r="CF62" s="24" t="s">
        <v>1132</v>
      </c>
      <c r="CG62" s="24" t="s">
        <v>828</v>
      </c>
      <c r="CH62" s="24" t="s">
        <v>178</v>
      </c>
      <c r="CI62" s="103">
        <v>5274</v>
      </c>
      <c r="CJ62" s="77" t="b">
        <v>0</v>
      </c>
      <c r="CK62" s="77" t="b">
        <v>0</v>
      </c>
      <c r="CL62" s="77" t="b">
        <v>0</v>
      </c>
      <c r="CM62" s="77" t="b">
        <v>1</v>
      </c>
      <c r="CN62" s="77" t="b">
        <v>0</v>
      </c>
      <c r="CO62" s="77" t="s">
        <v>61</v>
      </c>
      <c r="CP62" s="52"/>
      <c r="CQ62" s="17" t="s">
        <v>113</v>
      </c>
      <c r="CR62" s="17" t="s">
        <v>57</v>
      </c>
      <c r="CT62" s="17" t="s">
        <v>113</v>
      </c>
      <c r="CU62" s="17" t="s">
        <v>83</v>
      </c>
      <c r="CW62" s="17" t="s">
        <v>283</v>
      </c>
      <c r="CX62" s="10" t="s">
        <v>144</v>
      </c>
      <c r="CY62" s="10"/>
      <c r="CZ62" s="17" t="s">
        <v>113</v>
      </c>
      <c r="DA62" s="24" t="s">
        <v>61</v>
      </c>
      <c r="DB62" s="24"/>
      <c r="DC62" s="17" t="s">
        <v>113</v>
      </c>
      <c r="DD62" s="17" t="s">
        <v>83</v>
      </c>
      <c r="DE62" s="24"/>
      <c r="DF62" s="24"/>
      <c r="DG62" s="24"/>
      <c r="DH62" s="24"/>
      <c r="DI62" s="24"/>
      <c r="DJ62" s="24"/>
      <c r="DK62" s="24"/>
      <c r="DL62" s="24"/>
      <c r="DM62" s="24"/>
      <c r="DN62" s="24"/>
    </row>
    <row r="63" spans="1:118" ht="16.5" x14ac:dyDescent="0.25">
      <c r="A63" s="97"/>
      <c r="B63" s="97"/>
      <c r="C63" s="97"/>
      <c r="D63" s="97"/>
      <c r="E63" s="97"/>
      <c r="F63" s="97"/>
      <c r="G63" s="98"/>
      <c r="H63" s="97"/>
      <c r="I63" s="97"/>
      <c r="J63" s="97"/>
      <c r="K63" s="97"/>
      <c r="L63" s="97"/>
      <c r="M63" s="97"/>
      <c r="N63" s="97"/>
      <c r="O63" s="97"/>
      <c r="P63" s="97"/>
      <c r="Q63" s="100"/>
      <c r="R63" s="101"/>
      <c r="S63" s="99"/>
      <c r="T63" s="99"/>
      <c r="U63" s="97"/>
      <c r="V63" s="20" t="str">
        <f t="shared" si="1"/>
        <v/>
      </c>
      <c r="W63" s="20" t="str">
        <f t="shared" si="2"/>
        <v/>
      </c>
      <c r="X63" s="20" t="str">
        <f t="shared" si="3"/>
        <v/>
      </c>
      <c r="Y63" s="20" t="str">
        <f t="shared" si="4"/>
        <v/>
      </c>
      <c r="Z63" s="20" t="str">
        <f t="shared" si="5"/>
        <v/>
      </c>
      <c r="AA63" s="20" t="str">
        <f t="shared" si="6"/>
        <v/>
      </c>
      <c r="AB63" s="20" t="str">
        <f t="shared" si="7"/>
        <v/>
      </c>
      <c r="AC63" s="20" t="str">
        <f t="shared" si="8"/>
        <v/>
      </c>
      <c r="AD63" s="20" t="str">
        <f t="shared" si="9"/>
        <v/>
      </c>
      <c r="AE63" s="20" t="str">
        <f t="shared" si="10"/>
        <v/>
      </c>
      <c r="AF63" s="20" t="str">
        <f t="shared" si="11"/>
        <v/>
      </c>
      <c r="AG63" s="20" t="str">
        <f t="shared" si="12"/>
        <v/>
      </c>
      <c r="AH63" s="20" t="str">
        <f t="shared" si="13"/>
        <v/>
      </c>
      <c r="AI63" s="20" t="str">
        <f t="shared" si="14"/>
        <v/>
      </c>
      <c r="AJ63" s="20" t="str">
        <f t="shared" si="15"/>
        <v/>
      </c>
      <c r="AK63" s="20" t="str">
        <f t="shared" si="16"/>
        <v/>
      </c>
      <c r="AL63" s="20" t="str">
        <f t="shared" si="17"/>
        <v/>
      </c>
      <c r="AM63" s="20" t="str">
        <f t="shared" si="18"/>
        <v/>
      </c>
      <c r="AN63" s="20" t="str">
        <f t="shared" si="19"/>
        <v/>
      </c>
      <c r="AO63" s="20" t="str">
        <f t="shared" si="20"/>
        <v/>
      </c>
      <c r="AP63" s="20" t="str">
        <f t="shared" si="21"/>
        <v/>
      </c>
      <c r="AQ63" s="20" t="str">
        <f t="shared" si="22"/>
        <v/>
      </c>
      <c r="AR63" s="20" t="str">
        <f t="shared" si="23"/>
        <v/>
      </c>
      <c r="AS63" s="20" t="str">
        <f t="shared" si="24"/>
        <v/>
      </c>
      <c r="AT63" s="20" t="str">
        <f t="shared" si="25"/>
        <v/>
      </c>
      <c r="AU63" s="20" t="str">
        <f t="shared" si="26"/>
        <v/>
      </c>
      <c r="AV63" s="20" t="str">
        <f t="shared" si="27"/>
        <v/>
      </c>
      <c r="AW63" s="20" t="str">
        <f t="shared" si="28"/>
        <v/>
      </c>
      <c r="BD63" s="24" t="s">
        <v>178</v>
      </c>
      <c r="BE63" s="24" t="s">
        <v>828</v>
      </c>
      <c r="BF63" s="24" t="s">
        <v>103</v>
      </c>
      <c r="BG63" s="24" t="s">
        <v>596</v>
      </c>
      <c r="BH63" s="24" t="s">
        <v>92</v>
      </c>
      <c r="BI63" s="24" t="s">
        <v>878</v>
      </c>
      <c r="BJ63" s="94"/>
      <c r="BK63" s="92" t="s">
        <v>696</v>
      </c>
      <c r="BL63" s="92" t="s">
        <v>696</v>
      </c>
      <c r="BM63" s="75" t="s">
        <v>492</v>
      </c>
      <c r="BN63" s="75" t="s">
        <v>256</v>
      </c>
      <c r="BO63" s="24" t="s">
        <v>74</v>
      </c>
      <c r="BP63" s="24" t="s">
        <v>103</v>
      </c>
      <c r="BQ63" s="24" t="s">
        <v>104</v>
      </c>
      <c r="BR63" s="24" t="s">
        <v>1010</v>
      </c>
      <c r="BS63" s="57" t="s">
        <v>52</v>
      </c>
      <c r="BT63" s="24"/>
      <c r="BU63" s="24" t="s">
        <v>70</v>
      </c>
      <c r="BV63" s="24"/>
      <c r="BW63" s="3"/>
      <c r="BX63" s="24">
        <v>124</v>
      </c>
      <c r="BY63" s="24">
        <v>195928</v>
      </c>
      <c r="BZ63" s="24"/>
      <c r="CA63" s="3"/>
      <c r="CB63" s="24" t="s">
        <v>83</v>
      </c>
      <c r="CC63" s="24" t="s">
        <v>568</v>
      </c>
      <c r="CD63" s="24" t="s">
        <v>578</v>
      </c>
      <c r="CE63" s="24" t="s">
        <v>98</v>
      </c>
      <c r="CF63" s="24" t="s">
        <v>1132</v>
      </c>
      <c r="CG63" s="24" t="s">
        <v>828</v>
      </c>
      <c r="CH63" s="24" t="s">
        <v>178</v>
      </c>
      <c r="CI63" s="103">
        <v>5274</v>
      </c>
      <c r="CJ63" s="77" t="b">
        <v>0</v>
      </c>
      <c r="CK63" s="77" t="b">
        <v>0</v>
      </c>
      <c r="CL63" s="77" t="b">
        <v>0</v>
      </c>
      <c r="CM63" s="77" t="b">
        <v>1</v>
      </c>
      <c r="CN63" s="77" t="b">
        <v>0</v>
      </c>
      <c r="CO63" s="77" t="s">
        <v>61</v>
      </c>
      <c r="CP63" s="52"/>
      <c r="CQ63" s="17" t="s">
        <v>297</v>
      </c>
      <c r="CR63" s="17" t="s">
        <v>150</v>
      </c>
      <c r="CT63" s="17" t="s">
        <v>297</v>
      </c>
      <c r="CU63" s="17" t="s">
        <v>58</v>
      </c>
      <c r="CW63" s="24" t="s">
        <v>285</v>
      </c>
      <c r="CX63" s="10" t="s">
        <v>129</v>
      </c>
      <c r="CY63" s="10"/>
      <c r="CZ63" s="17" t="s">
        <v>297</v>
      </c>
      <c r="DA63" s="24" t="s">
        <v>61</v>
      </c>
      <c r="DB63" s="24"/>
      <c r="DC63" s="17" t="s">
        <v>297</v>
      </c>
      <c r="DD63" s="17" t="s">
        <v>58</v>
      </c>
      <c r="DE63" s="24"/>
      <c r="DF63" s="24"/>
      <c r="DG63" s="24"/>
      <c r="DH63" s="24"/>
      <c r="DI63" s="24"/>
      <c r="DJ63" s="24"/>
      <c r="DK63" s="24"/>
      <c r="DL63" s="24"/>
      <c r="DM63" s="24"/>
      <c r="DN63" s="24"/>
    </row>
    <row r="64" spans="1:118" ht="16.5" x14ac:dyDescent="0.25">
      <c r="A64" s="97"/>
      <c r="B64" s="97"/>
      <c r="C64" s="97"/>
      <c r="D64" s="97"/>
      <c r="E64" s="97"/>
      <c r="F64" s="97"/>
      <c r="G64" s="98"/>
      <c r="H64" s="97"/>
      <c r="I64" s="97"/>
      <c r="J64" s="97"/>
      <c r="K64" s="97"/>
      <c r="L64" s="97"/>
      <c r="M64" s="97"/>
      <c r="N64" s="97"/>
      <c r="O64" s="97"/>
      <c r="P64" s="97"/>
      <c r="Q64" s="100"/>
      <c r="R64" s="101"/>
      <c r="S64" s="99"/>
      <c r="T64" s="99"/>
      <c r="U64" s="97"/>
      <c r="V64" s="20" t="str">
        <f t="shared" si="1"/>
        <v/>
      </c>
      <c r="W64" s="20" t="str">
        <f t="shared" si="2"/>
        <v/>
      </c>
      <c r="X64" s="20" t="str">
        <f t="shared" si="3"/>
        <v/>
      </c>
      <c r="Y64" s="20" t="str">
        <f t="shared" si="4"/>
        <v/>
      </c>
      <c r="Z64" s="20" t="str">
        <f t="shared" si="5"/>
        <v/>
      </c>
      <c r="AA64" s="20" t="str">
        <f t="shared" si="6"/>
        <v/>
      </c>
      <c r="AB64" s="20" t="str">
        <f t="shared" si="7"/>
        <v/>
      </c>
      <c r="AC64" s="20" t="str">
        <f t="shared" si="8"/>
        <v/>
      </c>
      <c r="AD64" s="20" t="str">
        <f t="shared" si="9"/>
        <v/>
      </c>
      <c r="AE64" s="20" t="str">
        <f t="shared" si="10"/>
        <v/>
      </c>
      <c r="AF64" s="20" t="str">
        <f t="shared" si="11"/>
        <v/>
      </c>
      <c r="AG64" s="20" t="str">
        <f t="shared" si="12"/>
        <v/>
      </c>
      <c r="AH64" s="20" t="str">
        <f t="shared" si="13"/>
        <v/>
      </c>
      <c r="AI64" s="20" t="str">
        <f t="shared" si="14"/>
        <v/>
      </c>
      <c r="AJ64" s="20" t="str">
        <f t="shared" si="15"/>
        <v/>
      </c>
      <c r="AK64" s="20" t="str">
        <f t="shared" si="16"/>
        <v/>
      </c>
      <c r="AL64" s="20" t="str">
        <f t="shared" si="17"/>
        <v/>
      </c>
      <c r="AM64" s="20" t="str">
        <f t="shared" si="18"/>
        <v/>
      </c>
      <c r="AN64" s="20" t="str">
        <f t="shared" si="19"/>
        <v/>
      </c>
      <c r="AO64" s="20" t="str">
        <f t="shared" si="20"/>
        <v/>
      </c>
      <c r="AP64" s="20" t="str">
        <f t="shared" si="21"/>
        <v/>
      </c>
      <c r="AQ64" s="20" t="str">
        <f t="shared" si="22"/>
        <v/>
      </c>
      <c r="AR64" s="20" t="str">
        <f t="shared" si="23"/>
        <v/>
      </c>
      <c r="AS64" s="20" t="str">
        <f t="shared" si="24"/>
        <v/>
      </c>
      <c r="AT64" s="20" t="str">
        <f t="shared" si="25"/>
        <v/>
      </c>
      <c r="AU64" s="20" t="str">
        <f t="shared" si="26"/>
        <v/>
      </c>
      <c r="AV64" s="20" t="str">
        <f t="shared" si="27"/>
        <v/>
      </c>
      <c r="AW64" s="20" t="str">
        <f t="shared" si="28"/>
        <v/>
      </c>
      <c r="BD64" s="24" t="s">
        <v>178</v>
      </c>
      <c r="BE64" s="24" t="s">
        <v>828</v>
      </c>
      <c r="BF64" s="24" t="s">
        <v>103</v>
      </c>
      <c r="BG64" s="24" t="s">
        <v>127</v>
      </c>
      <c r="BH64" s="24" t="s">
        <v>58</v>
      </c>
      <c r="BI64" s="24" t="s">
        <v>879</v>
      </c>
      <c r="BJ64" s="94"/>
      <c r="BK64" s="106" t="s">
        <v>776</v>
      </c>
      <c r="BL64" s="106" t="s">
        <v>776</v>
      </c>
      <c r="BM64" s="75" t="s">
        <v>491</v>
      </c>
      <c r="BN64" s="75" t="s">
        <v>256</v>
      </c>
      <c r="BO64" s="24" t="s">
        <v>74</v>
      </c>
      <c r="BP64" s="24" t="s">
        <v>103</v>
      </c>
      <c r="BQ64" s="24" t="s">
        <v>104</v>
      </c>
      <c r="BR64" s="24" t="s">
        <v>1011</v>
      </c>
      <c r="BS64" s="57" t="s">
        <v>52</v>
      </c>
      <c r="BT64" s="24"/>
      <c r="BU64" s="24" t="s">
        <v>70</v>
      </c>
      <c r="BV64" s="24"/>
      <c r="BW64" s="3"/>
      <c r="BX64" s="24">
        <v>733</v>
      </c>
      <c r="BY64" s="24">
        <v>195928</v>
      </c>
      <c r="BZ64" s="24"/>
      <c r="CA64" s="3"/>
      <c r="CB64" s="24" t="s">
        <v>58</v>
      </c>
      <c r="CC64" s="24" t="s">
        <v>568</v>
      </c>
      <c r="CD64" s="24" t="s">
        <v>578</v>
      </c>
      <c r="CE64" s="24" t="s">
        <v>98</v>
      </c>
      <c r="CF64" s="24" t="s">
        <v>1132</v>
      </c>
      <c r="CG64" s="24" t="s">
        <v>828</v>
      </c>
      <c r="CH64" s="24" t="s">
        <v>178</v>
      </c>
      <c r="CI64" s="103">
        <v>5274</v>
      </c>
      <c r="CJ64" s="77" t="b">
        <v>0</v>
      </c>
      <c r="CK64" s="77" t="b">
        <v>1</v>
      </c>
      <c r="CL64" s="77" t="b">
        <v>0</v>
      </c>
      <c r="CM64" s="77" t="b">
        <v>0</v>
      </c>
      <c r="CN64" s="77" t="b">
        <v>0</v>
      </c>
      <c r="CO64" s="77" t="s">
        <v>61</v>
      </c>
      <c r="CQ64" s="17" t="s">
        <v>241</v>
      </c>
      <c r="CR64" s="17" t="s">
        <v>57</v>
      </c>
      <c r="CT64" s="17" t="s">
        <v>241</v>
      </c>
      <c r="CU64" s="17" t="s">
        <v>58</v>
      </c>
      <c r="CW64" s="24" t="s">
        <v>287</v>
      </c>
      <c r="CX64" s="10" t="s">
        <v>129</v>
      </c>
      <c r="CY64" s="10"/>
      <c r="CZ64" s="17" t="s">
        <v>241</v>
      </c>
      <c r="DA64" s="24" t="s">
        <v>301</v>
      </c>
      <c r="DB64" s="24"/>
      <c r="DC64" s="17" t="s">
        <v>241</v>
      </c>
      <c r="DD64" s="17" t="s">
        <v>58</v>
      </c>
      <c r="DE64" s="24"/>
      <c r="DF64" s="24"/>
      <c r="DG64" s="24"/>
      <c r="DH64" s="24"/>
      <c r="DI64" s="24"/>
      <c r="DJ64" s="24"/>
      <c r="DK64" s="24"/>
      <c r="DL64" s="24"/>
      <c r="DM64" s="24"/>
      <c r="DN64" s="24"/>
    </row>
    <row r="65" spans="1:118" ht="16.5" x14ac:dyDescent="0.25">
      <c r="A65" s="97"/>
      <c r="B65" s="97"/>
      <c r="C65" s="97"/>
      <c r="D65" s="97"/>
      <c r="E65" s="97"/>
      <c r="F65" s="97"/>
      <c r="G65" s="98"/>
      <c r="H65" s="97"/>
      <c r="I65" s="97"/>
      <c r="J65" s="97"/>
      <c r="K65" s="97"/>
      <c r="L65" s="97"/>
      <c r="M65" s="97"/>
      <c r="N65" s="97"/>
      <c r="O65" s="97"/>
      <c r="P65" s="97"/>
      <c r="Q65" s="100"/>
      <c r="R65" s="101"/>
      <c r="S65" s="99"/>
      <c r="T65" s="99"/>
      <c r="U65" s="97"/>
      <c r="V65" s="20" t="str">
        <f t="shared" si="1"/>
        <v/>
      </c>
      <c r="W65" s="20" t="str">
        <f t="shared" si="2"/>
        <v/>
      </c>
      <c r="X65" s="20" t="str">
        <f t="shared" si="3"/>
        <v/>
      </c>
      <c r="Y65" s="20" t="str">
        <f t="shared" si="4"/>
        <v/>
      </c>
      <c r="Z65" s="20" t="str">
        <f t="shared" si="5"/>
        <v/>
      </c>
      <c r="AA65" s="20" t="str">
        <f t="shared" si="6"/>
        <v/>
      </c>
      <c r="AB65" s="20" t="str">
        <f t="shared" si="7"/>
        <v/>
      </c>
      <c r="AC65" s="20" t="str">
        <f t="shared" si="8"/>
        <v/>
      </c>
      <c r="AD65" s="20" t="str">
        <f t="shared" si="9"/>
        <v/>
      </c>
      <c r="AE65" s="20" t="str">
        <f t="shared" si="10"/>
        <v/>
      </c>
      <c r="AF65" s="20" t="str">
        <f t="shared" si="11"/>
        <v/>
      </c>
      <c r="AG65" s="20" t="str">
        <f t="shared" si="12"/>
        <v/>
      </c>
      <c r="AH65" s="20" t="str">
        <f t="shared" si="13"/>
        <v/>
      </c>
      <c r="AI65" s="20" t="str">
        <f t="shared" si="14"/>
        <v/>
      </c>
      <c r="AJ65" s="20" t="str">
        <f t="shared" si="15"/>
        <v/>
      </c>
      <c r="AK65" s="20" t="str">
        <f t="shared" si="16"/>
        <v/>
      </c>
      <c r="AL65" s="20" t="str">
        <f t="shared" si="17"/>
        <v/>
      </c>
      <c r="AM65" s="20" t="str">
        <f t="shared" si="18"/>
        <v/>
      </c>
      <c r="AN65" s="20" t="str">
        <f t="shared" si="19"/>
        <v/>
      </c>
      <c r="AO65" s="20" t="str">
        <f t="shared" si="20"/>
        <v/>
      </c>
      <c r="AP65" s="20" t="str">
        <f t="shared" si="21"/>
        <v/>
      </c>
      <c r="AQ65" s="20" t="str">
        <f t="shared" si="22"/>
        <v/>
      </c>
      <c r="AR65" s="20" t="str">
        <f t="shared" si="23"/>
        <v/>
      </c>
      <c r="AS65" s="20" t="str">
        <f t="shared" si="24"/>
        <v/>
      </c>
      <c r="AT65" s="20" t="str">
        <f t="shared" si="25"/>
        <v/>
      </c>
      <c r="AU65" s="20" t="str">
        <f t="shared" si="26"/>
        <v/>
      </c>
      <c r="AV65" s="20" t="str">
        <f t="shared" si="27"/>
        <v/>
      </c>
      <c r="AW65" s="20" t="str">
        <f t="shared" si="28"/>
        <v/>
      </c>
      <c r="BD65" s="24" t="s">
        <v>178</v>
      </c>
      <c r="BE65" s="24" t="s">
        <v>828</v>
      </c>
      <c r="BF65" s="24" t="s">
        <v>103</v>
      </c>
      <c r="BG65" s="24" t="s">
        <v>150</v>
      </c>
      <c r="BH65" s="24" t="s">
        <v>58</v>
      </c>
      <c r="BI65" s="24" t="s">
        <v>880</v>
      </c>
      <c r="BJ65" s="94"/>
      <c r="BK65" s="75" t="s">
        <v>699</v>
      </c>
      <c r="BL65" s="75" t="s">
        <v>699</v>
      </c>
      <c r="BM65" s="75" t="s">
        <v>491</v>
      </c>
      <c r="BN65" s="75" t="s">
        <v>256</v>
      </c>
      <c r="BO65" s="24" t="s">
        <v>74</v>
      </c>
      <c r="BP65" s="24" t="s">
        <v>103</v>
      </c>
      <c r="BQ65" s="24" t="s">
        <v>104</v>
      </c>
      <c r="BR65" s="24" t="s">
        <v>1010</v>
      </c>
      <c r="BS65" s="57" t="s">
        <v>52</v>
      </c>
      <c r="BT65" s="24"/>
      <c r="BU65" s="24" t="s">
        <v>70</v>
      </c>
      <c r="BV65" s="24"/>
      <c r="BW65" s="3"/>
      <c r="BX65" s="24">
        <v>733</v>
      </c>
      <c r="BY65" s="24">
        <v>195928</v>
      </c>
      <c r="BZ65" s="24"/>
      <c r="CA65" s="3"/>
      <c r="CB65" s="24" t="s">
        <v>58</v>
      </c>
      <c r="CC65" s="24" t="s">
        <v>568</v>
      </c>
      <c r="CD65" s="24" t="s">
        <v>578</v>
      </c>
      <c r="CE65" s="24" t="s">
        <v>98</v>
      </c>
      <c r="CF65" s="24" t="s">
        <v>1132</v>
      </c>
      <c r="CG65" s="24" t="s">
        <v>828</v>
      </c>
      <c r="CH65" s="24" t="s">
        <v>178</v>
      </c>
      <c r="CI65" s="103">
        <v>5274</v>
      </c>
      <c r="CJ65" s="77" t="b">
        <v>0</v>
      </c>
      <c r="CK65" s="77" t="b">
        <v>0</v>
      </c>
      <c r="CL65" s="77" t="b">
        <v>1</v>
      </c>
      <c r="CM65" s="77" t="b">
        <v>0</v>
      </c>
      <c r="CN65" s="77" t="b">
        <v>0</v>
      </c>
      <c r="CO65" s="77" t="s">
        <v>61</v>
      </c>
      <c r="CQ65" s="17" t="s">
        <v>251</v>
      </c>
      <c r="CR65" s="17" t="s">
        <v>57</v>
      </c>
      <c r="CT65" s="17" t="s">
        <v>251</v>
      </c>
      <c r="CU65" s="17" t="s">
        <v>83</v>
      </c>
      <c r="CW65" s="24" t="s">
        <v>284</v>
      </c>
      <c r="CX65" s="10" t="s">
        <v>144</v>
      </c>
      <c r="CY65" s="10"/>
      <c r="CZ65" s="17" t="s">
        <v>251</v>
      </c>
      <c r="DA65" s="24" t="s">
        <v>301</v>
      </c>
      <c r="DB65" s="24"/>
      <c r="DC65" s="17" t="s">
        <v>251</v>
      </c>
      <c r="DD65" s="17" t="s">
        <v>83</v>
      </c>
      <c r="DE65" s="24"/>
      <c r="DF65" s="24"/>
      <c r="DG65" s="24"/>
      <c r="DH65" s="24"/>
      <c r="DI65" s="24"/>
      <c r="DJ65" s="24"/>
      <c r="DK65" s="24"/>
      <c r="DL65" s="24"/>
      <c r="DM65" s="24"/>
      <c r="DN65" s="24"/>
    </row>
    <row r="66" spans="1:118" ht="16.5" x14ac:dyDescent="0.25">
      <c r="A66" s="97"/>
      <c r="B66" s="97"/>
      <c r="C66" s="97"/>
      <c r="D66" s="97"/>
      <c r="E66" s="97"/>
      <c r="F66" s="97"/>
      <c r="G66" s="98"/>
      <c r="H66" s="97"/>
      <c r="I66" s="97"/>
      <c r="J66" s="97"/>
      <c r="K66" s="97"/>
      <c r="L66" s="97"/>
      <c r="M66" s="97"/>
      <c r="N66" s="97"/>
      <c r="O66" s="97"/>
      <c r="P66" s="97"/>
      <c r="Q66" s="100"/>
      <c r="R66" s="101"/>
      <c r="S66" s="99"/>
      <c r="T66" s="99"/>
      <c r="U66" s="97"/>
      <c r="V66" s="20" t="str">
        <f t="shared" si="1"/>
        <v/>
      </c>
      <c r="W66" s="20" t="str">
        <f t="shared" si="2"/>
        <v/>
      </c>
      <c r="X66" s="20" t="str">
        <f t="shared" si="3"/>
        <v/>
      </c>
      <c r="Y66" s="20" t="str">
        <f t="shared" si="4"/>
        <v/>
      </c>
      <c r="Z66" s="20" t="str">
        <f t="shared" si="5"/>
        <v/>
      </c>
      <c r="AA66" s="20" t="str">
        <f t="shared" si="6"/>
        <v/>
      </c>
      <c r="AB66" s="20" t="str">
        <f t="shared" si="7"/>
        <v/>
      </c>
      <c r="AC66" s="20" t="str">
        <f t="shared" si="8"/>
        <v/>
      </c>
      <c r="AD66" s="20" t="str">
        <f t="shared" si="9"/>
        <v/>
      </c>
      <c r="AE66" s="20" t="str">
        <f t="shared" si="10"/>
        <v/>
      </c>
      <c r="AF66" s="20" t="str">
        <f t="shared" si="11"/>
        <v/>
      </c>
      <c r="AG66" s="20" t="str">
        <f t="shared" si="12"/>
        <v/>
      </c>
      <c r="AH66" s="20" t="str">
        <f t="shared" si="13"/>
        <v/>
      </c>
      <c r="AI66" s="20" t="str">
        <f t="shared" si="14"/>
        <v/>
      </c>
      <c r="AJ66" s="20" t="str">
        <f t="shared" si="15"/>
        <v/>
      </c>
      <c r="AK66" s="20" t="str">
        <f t="shared" si="16"/>
        <v/>
      </c>
      <c r="AL66" s="20" t="str">
        <f t="shared" si="17"/>
        <v/>
      </c>
      <c r="AM66" s="20" t="str">
        <f t="shared" si="18"/>
        <v/>
      </c>
      <c r="AN66" s="20" t="str">
        <f t="shared" si="19"/>
        <v/>
      </c>
      <c r="AO66" s="20" t="str">
        <f t="shared" si="20"/>
        <v/>
      </c>
      <c r="AP66" s="20" t="str">
        <f t="shared" si="21"/>
        <v/>
      </c>
      <c r="AQ66" s="20" t="str">
        <f t="shared" si="22"/>
        <v/>
      </c>
      <c r="AR66" s="20" t="str">
        <f t="shared" si="23"/>
        <v/>
      </c>
      <c r="AS66" s="20" t="str">
        <f t="shared" si="24"/>
        <v/>
      </c>
      <c r="AT66" s="20" t="str">
        <f t="shared" si="25"/>
        <v/>
      </c>
      <c r="AU66" s="20" t="str">
        <f t="shared" si="26"/>
        <v/>
      </c>
      <c r="AV66" s="20" t="str">
        <f t="shared" si="27"/>
        <v/>
      </c>
      <c r="AW66" s="20" t="str">
        <f t="shared" si="28"/>
        <v/>
      </c>
      <c r="BD66" s="24" t="s">
        <v>178</v>
      </c>
      <c r="BE66" s="24" t="s">
        <v>828</v>
      </c>
      <c r="BF66" s="24" t="s">
        <v>103</v>
      </c>
      <c r="BG66" s="24" t="s">
        <v>595</v>
      </c>
      <c r="BH66" s="24" t="s">
        <v>58</v>
      </c>
      <c r="BI66" s="24" t="s">
        <v>881</v>
      </c>
      <c r="BJ66" s="94"/>
      <c r="BK66" s="104" t="s">
        <v>775</v>
      </c>
      <c r="BL66" s="104" t="s">
        <v>775</v>
      </c>
      <c r="BM66" s="75" t="s">
        <v>491</v>
      </c>
      <c r="BN66" s="75" t="s">
        <v>256</v>
      </c>
      <c r="BO66" s="24" t="s">
        <v>74</v>
      </c>
      <c r="BP66" s="24" t="s">
        <v>103</v>
      </c>
      <c r="BQ66" s="24" t="s">
        <v>104</v>
      </c>
      <c r="BR66" s="3" t="s">
        <v>1012</v>
      </c>
      <c r="BS66" s="57" t="s">
        <v>715</v>
      </c>
      <c r="BT66" s="24"/>
      <c r="BU66" s="24" t="s">
        <v>70</v>
      </c>
      <c r="BV66" s="24"/>
      <c r="BW66" s="3"/>
      <c r="BX66" s="24">
        <v>733</v>
      </c>
      <c r="BY66" s="24">
        <v>195928</v>
      </c>
      <c r="BZ66" s="24"/>
      <c r="CA66" s="3"/>
      <c r="CB66" s="24" t="s">
        <v>58</v>
      </c>
      <c r="CC66" s="24" t="s">
        <v>568</v>
      </c>
      <c r="CD66" s="24" t="s">
        <v>578</v>
      </c>
      <c r="CE66" s="24" t="s">
        <v>98</v>
      </c>
      <c r="CF66" s="24" t="s">
        <v>1132</v>
      </c>
      <c r="CG66" s="24" t="s">
        <v>828</v>
      </c>
      <c r="CH66" s="24" t="s">
        <v>178</v>
      </c>
      <c r="CI66" s="103">
        <v>5274</v>
      </c>
      <c r="CJ66" s="77" t="b">
        <v>1</v>
      </c>
      <c r="CK66" s="77" t="b">
        <v>0</v>
      </c>
      <c r="CL66" s="77" t="b">
        <v>0</v>
      </c>
      <c r="CM66" s="77" t="b">
        <v>0</v>
      </c>
      <c r="CN66" s="77" t="b">
        <v>0</v>
      </c>
      <c r="CO66" s="77" t="s">
        <v>61</v>
      </c>
      <c r="CP66" s="49"/>
      <c r="CQ66" s="17" t="s">
        <v>234</v>
      </c>
      <c r="CR66" s="17" t="s">
        <v>57</v>
      </c>
      <c r="CT66" s="17" t="s">
        <v>234</v>
      </c>
      <c r="CU66" s="17" t="s">
        <v>58</v>
      </c>
      <c r="CW66" s="24" t="s">
        <v>286</v>
      </c>
      <c r="CX66" s="10" t="s">
        <v>144</v>
      </c>
      <c r="CZ66" s="17" t="s">
        <v>234</v>
      </c>
      <c r="DA66" s="24" t="s">
        <v>301</v>
      </c>
      <c r="DB66" s="24"/>
      <c r="DC66" s="17" t="s">
        <v>234</v>
      </c>
      <c r="DD66" s="17" t="s">
        <v>58</v>
      </c>
      <c r="DE66" s="24"/>
      <c r="DF66" s="24"/>
      <c r="DG66" s="24"/>
      <c r="DH66" s="24"/>
      <c r="DI66" s="24"/>
      <c r="DJ66" s="24"/>
      <c r="DK66" s="24"/>
      <c r="DL66" s="24"/>
      <c r="DM66" s="24"/>
      <c r="DN66" s="24"/>
    </row>
    <row r="67" spans="1:118" ht="16.5" x14ac:dyDescent="0.25">
      <c r="A67" s="97"/>
      <c r="B67" s="97"/>
      <c r="C67" s="97"/>
      <c r="D67" s="97"/>
      <c r="E67" s="97"/>
      <c r="F67" s="97"/>
      <c r="G67" s="98"/>
      <c r="H67" s="97"/>
      <c r="I67" s="97"/>
      <c r="J67" s="97"/>
      <c r="K67" s="97"/>
      <c r="L67" s="97"/>
      <c r="M67" s="97"/>
      <c r="N67" s="97"/>
      <c r="O67" s="97"/>
      <c r="P67" s="97"/>
      <c r="Q67" s="100"/>
      <c r="R67" s="101"/>
      <c r="S67" s="99"/>
      <c r="T67" s="99"/>
      <c r="U67" s="97"/>
      <c r="V67" s="20" t="str">
        <f t="shared" ref="V67:V130" si="29">IF(ISNA(VLOOKUP(J67&amp;H67&amp;I67&amp;L67&amp;K67,$BI:$CO,3,FALSE)),"",VLOOKUP(J67&amp;H67&amp;I67&amp;L67&amp;K67,$BI:$CO,3,FALSE))</f>
        <v/>
      </c>
      <c r="W67" s="20" t="str">
        <f t="shared" ref="W67:W130" si="30">IF(ISNA(VLOOKUP(J67&amp;H67&amp;I67&amp;L67&amp;K67,$BI:$CO,5,FALSE)),"",VLOOKUP(J67&amp;H67&amp;I67&amp;L67&amp;K67,$BI:$CO,5,FALSE))</f>
        <v/>
      </c>
      <c r="X67" s="20" t="str">
        <f t="shared" ref="X67:X130" si="31">IF(ISNA(VLOOKUP(J67&amp;H67&amp;I67&amp;L67&amp;K67,$BI:$CO,6,FALSE)),"",VLOOKUP(J67&amp;H67&amp;I67&amp;L67&amp;K67,$BI:$CO,6,FALSE))</f>
        <v/>
      </c>
      <c r="Y67" s="20" t="str">
        <f t="shared" ref="Y67:Y130" si="32">IF(ISNA(VLOOKUP(J67&amp;H67&amp;I67&amp;L67&amp;K67,$BI:$CO,10,FALSE)),"",VLOOKUP(J67&amp;H67&amp;I67&amp;L67&amp;K67,$BI:$CO,10,FALSE))</f>
        <v/>
      </c>
      <c r="Z67" s="20" t="str">
        <f t="shared" ref="Z67:Z130" si="33">IF(ISNA(VLOOKUP(J67&amp;H67&amp;I67&amp;L67&amp;K67,$BI:$CO,12,FALSE)),"",VLOOKUP(J67&amp;H67&amp;I67&amp;L67&amp;K67,$BI:$CO,12,FALSE))</f>
        <v/>
      </c>
      <c r="AA67" s="20" t="str">
        <f t="shared" ref="AA67:AA130" si="34">IF(ISNA(VLOOKUP(J67&amp;H67&amp;I67&amp;L67&amp;K67,$BI:$CO,7,FALSE)),"",VLOOKUP(J67&amp;H67&amp;I67&amp;L67&amp;K67,$BI:$CO,7,FALSE))</f>
        <v/>
      </c>
      <c r="AB67" s="20" t="str">
        <f t="shared" ref="AB67:AB130" si="35">IF(ISNA(VLOOKUP(J67&amp;H67&amp;I67&amp;L67&amp;K67,$BI:$CO,8,FALSE)),"",VLOOKUP(J67&amp;H67&amp;I67&amp;L67&amp;K67,$BI:$CO,8,FALSE))</f>
        <v/>
      </c>
      <c r="AC67" s="20" t="str">
        <f t="shared" ref="AC67:AC130" si="36">IF(ISNA(VLOOKUP(J67&amp;H67&amp;I67&amp;L67&amp;K67,$BI:$CO,9,FALSE)),"",VLOOKUP(J67&amp;H67&amp;I67&amp;L67&amp;K67,$BI:$CO,9,FALSE))</f>
        <v/>
      </c>
      <c r="AD67" s="20" t="str">
        <f t="shared" ref="AD67:AD130" si="37">IF(ISNA(VLOOKUP(J67&amp;H67&amp;I67&amp;L67&amp;K67,$BI:$CO,13,FALSE)),"",VLOOKUP(J67&amp;H67&amp;I67&amp;L67&amp;K67,$BI:$CO,13,FALSE))</f>
        <v/>
      </c>
      <c r="AE67" s="20" t="str">
        <f t="shared" ref="AE67:AE130" si="38">IF(ISNA(VLOOKUP(J67&amp;H67&amp;I67&amp;L67&amp;K67,$BI:$CO,11,FALSE)),"",VLOOKUP(J67&amp;H67&amp;I67&amp;L67&amp;K67,$BI:$CO,11,FALSE))</f>
        <v/>
      </c>
      <c r="AF67" s="20" t="str">
        <f t="shared" ref="AF67:AF130" si="39">IF(ISNA(VLOOKUP(J67&amp;H67&amp;I67&amp;L67&amp;K67,$BI:$CO,14,FALSE)),"",VLOOKUP(J67&amp;H67&amp;I67&amp;L67&amp;K67,$BI:$CO,14,FALSE))</f>
        <v/>
      </c>
      <c r="AG67" s="20" t="str">
        <f t="shared" ref="AG67:AG130" si="40">IF(ISNA(VLOOKUP(J67&amp;H67&amp;I67&amp;L67&amp;K67,$BI:$CO,16,FALSE)),"",VLOOKUP(J67&amp;H67&amp;I67&amp;L67&amp;K67,$BI:$CO,16,FALSE))</f>
        <v/>
      </c>
      <c r="AH67" s="20" t="str">
        <f t="shared" ref="AH67:AH130" si="41">IF(ISNA(VLOOKUP(J67&amp;H67&amp;I67&amp;L67&amp;K67,$BI:$CO,17,FALSE)),"",VLOOKUP(J67&amp;H67&amp;I67&amp;L67&amp;K67,$BI:$CO,17,FALSE))</f>
        <v/>
      </c>
      <c r="AI67" s="20" t="str">
        <f t="shared" ref="AI67:AI130" si="42">IF(ISNA(VLOOKUP(J67&amp;H67&amp;I67&amp;L67&amp;K67,$BI:$CO,18,FALSE)),"",VLOOKUP(J67&amp;H67&amp;I67&amp;L67&amp;K67,$BI:$CO,18,FALSE))</f>
        <v/>
      </c>
      <c r="AJ67" s="20" t="str">
        <f t="shared" ref="AJ67:AJ130" si="43">IF(ISNA(VLOOKUP(J67&amp;H67&amp;I67&amp;L67&amp;K67,$BI:$CO,20,FALSE)),"",VLOOKUP(J67&amp;H67&amp;I67&amp;L67&amp;K67,$BI:$CO,20,FALSE))</f>
        <v/>
      </c>
      <c r="AK67" s="20" t="str">
        <f t="shared" ref="AK67:AK130" si="44">IF(ISNA(VLOOKUP(J67&amp;H67&amp;I67&amp;L67&amp;K67,$BI:$CO,21,FALSE)),"",VLOOKUP(J67&amp;H67&amp;I67&amp;L67&amp;K67,$BI:$CO,21,FALSE))</f>
        <v/>
      </c>
      <c r="AL67" s="20" t="str">
        <f t="shared" ref="AL67:AL130" si="45">IF(ISNA(VLOOKUP(J67&amp;H67&amp;I67&amp;L67&amp;K67,$BI:$CO,22,FALSE)),"",VLOOKUP(J67&amp;H67&amp;I67&amp;L67&amp;K67,$BI:$CO,22,FALSE))</f>
        <v/>
      </c>
      <c r="AM67" s="20" t="str">
        <f t="shared" ref="AM67:AM130" si="46">IF(ISNA(VLOOKUP(J67&amp;H67&amp;I67&amp;L67&amp;K67,$BI:$CO,23,FALSE)),"",VLOOKUP(J67&amp;H67&amp;I67&amp;L67&amp;K67,$BI:$CO,23,FALSE))</f>
        <v/>
      </c>
      <c r="AN67" s="20" t="str">
        <f t="shared" ref="AN67:AN130" si="47">IF(ISNA(VLOOKUP(J67&amp;H67&amp;I67&amp;L67&amp;K67,$BI:$CO,24,FALSE)),"",VLOOKUP(J67&amp;H67&amp;I67&amp;L67&amp;K67,$BI:$CO,24,FALSE))</f>
        <v/>
      </c>
      <c r="AO67" s="20" t="str">
        <f t="shared" ref="AO67:AO130" si="48">IF(ISNA(VLOOKUP(J67&amp;H67&amp;I67&amp;L67&amp;K67,$BI:$CO,25,FALSE)),"",VLOOKUP(J67&amp;H67&amp;I67&amp;L67&amp;K67,$BI:$CO,25,FALSE))</f>
        <v/>
      </c>
      <c r="AP67" s="20" t="str">
        <f t="shared" ref="AP67:AP130" si="49">IF(ISNA(VLOOKUP(J67&amp;H67&amp;I67&amp;L67&amp;K67,$BI:$CO,26,FALSE)),"",VLOOKUP(J67&amp;H67&amp;I67&amp;L67&amp;K67,$BI:$CO,26,FALSE))</f>
        <v/>
      </c>
      <c r="AQ67" s="20" t="str">
        <f t="shared" ref="AQ67:AQ130" si="50">IF(ISNA(VLOOKUP(J67&amp;H67&amp;I67&amp;L67&amp;K67,$BI:$CO,28,FALSE)),"",VLOOKUP(J67&amp;H67&amp;I67&amp;L67&amp;K67,$BI:$CO,28,FALSE))</f>
        <v/>
      </c>
      <c r="AR67" s="20" t="str">
        <f t="shared" ref="AR67:AR130" si="51">IF(ISNA(VLOOKUP(J67&amp;H67&amp;I67&amp;L67&amp;K67,$BI:$CO,29,FALSE)),"",VLOOKUP(J67&amp;H67&amp;I67&amp;L67&amp;K67,$BI:$CO,29,FALSE))</f>
        <v/>
      </c>
      <c r="AS67" s="20" t="str">
        <f t="shared" ref="AS67:AS130" si="52">IF(ISNA(VLOOKUP(J67&amp;H67&amp;I67&amp;L67&amp;K67,$BI:$CO,30,FALSE)),"",VLOOKUP(J67&amp;H67&amp;I67&amp;L67&amp;K67,$BI:$CO,30,FALSE))</f>
        <v/>
      </c>
      <c r="AT67" s="20" t="str">
        <f t="shared" ref="AT67:AT130" si="53">IF(ISNA(VLOOKUP(J67&amp;H67&amp;I67&amp;L67&amp;K67,$BI:$CO,31,FALSE)),"",VLOOKUP(J67&amp;H67&amp;I67&amp;L67&amp;K67,$BI:$CO,31,FALSE))</f>
        <v/>
      </c>
      <c r="AU67" s="20" t="str">
        <f t="shared" ref="AU67:AU130" si="54">IF(ISNA(VLOOKUP(J67&amp;H67&amp;I67&amp;L67&amp;K67,$BI:$CO,32,FALSE)),"",VLOOKUP(J67&amp;H67&amp;I67&amp;L67&amp;K67,$BI:$CO,32,FALSE))</f>
        <v/>
      </c>
      <c r="AV67" s="20" t="str">
        <f t="shared" ref="AV67:AV130" si="55">IF(ISNA(VLOOKUP(J67&amp;H67&amp;I67&amp;L67&amp;K67,$BI:$CO,33,FALSE)),"",VLOOKUP(J67&amp;H67&amp;I67&amp;L67&amp;K67,$BI:$CO,33,FALSE))</f>
        <v/>
      </c>
      <c r="AW67" s="20" t="str">
        <f t="shared" ref="AW67:AW130" si="56">TRIM(N67)</f>
        <v/>
      </c>
      <c r="BD67" s="17" t="s">
        <v>204</v>
      </c>
      <c r="BE67" s="17" t="s">
        <v>73</v>
      </c>
      <c r="BF67" s="17" t="s">
        <v>281</v>
      </c>
      <c r="BG67" s="17" t="s">
        <v>596</v>
      </c>
      <c r="BH67" s="17" t="s">
        <v>92</v>
      </c>
      <c r="BI67" s="17" t="s">
        <v>797</v>
      </c>
      <c r="BJ67" s="94"/>
      <c r="BK67" s="79">
        <v>5573337</v>
      </c>
      <c r="BL67" s="79" t="s">
        <v>286</v>
      </c>
      <c r="BM67" s="18">
        <v>82</v>
      </c>
      <c r="BN67" s="18" t="s">
        <v>280</v>
      </c>
      <c r="BO67" s="17" t="s">
        <v>74</v>
      </c>
      <c r="BP67" s="17" t="s">
        <v>74</v>
      </c>
      <c r="BQ67" s="17" t="s">
        <v>281</v>
      </c>
      <c r="BR67" s="17" t="s">
        <v>988</v>
      </c>
      <c r="BS67" s="17" t="s">
        <v>67</v>
      </c>
      <c r="BU67" s="17" t="s">
        <v>56</v>
      </c>
      <c r="BW67" s="94"/>
      <c r="BX67" s="17">
        <v>776</v>
      </c>
      <c r="BY67" s="17">
        <v>108049</v>
      </c>
      <c r="CA67" s="94"/>
      <c r="CB67" s="17" t="s">
        <v>83</v>
      </c>
      <c r="CC67" s="17" t="s">
        <v>568</v>
      </c>
      <c r="CD67" s="17" t="s">
        <v>578</v>
      </c>
      <c r="CE67" s="17" t="s">
        <v>111</v>
      </c>
      <c r="CF67" s="17" t="s">
        <v>1132</v>
      </c>
      <c r="CG67" s="17" t="s">
        <v>73</v>
      </c>
      <c r="CH67" s="17" t="s">
        <v>204</v>
      </c>
      <c r="CI67" s="26">
        <v>5278</v>
      </c>
      <c r="CJ67" s="23" t="b">
        <v>0</v>
      </c>
      <c r="CK67" s="23" t="b">
        <v>0</v>
      </c>
      <c r="CL67" s="23" t="b">
        <v>0</v>
      </c>
      <c r="CM67" s="23" t="b">
        <v>1</v>
      </c>
      <c r="CN67" s="23" t="b">
        <v>0</v>
      </c>
      <c r="CO67" s="23" t="s">
        <v>61</v>
      </c>
      <c r="CP67" s="49"/>
      <c r="CQ67" s="17" t="s">
        <v>238</v>
      </c>
      <c r="CR67" s="17" t="s">
        <v>57</v>
      </c>
      <c r="CT67" s="17" t="s">
        <v>238</v>
      </c>
      <c r="CU67" s="17" t="s">
        <v>83</v>
      </c>
      <c r="CW67" s="24" t="s">
        <v>288</v>
      </c>
      <c r="CX67" s="10" t="s">
        <v>144</v>
      </c>
      <c r="CZ67" s="17" t="s">
        <v>238</v>
      </c>
      <c r="DA67" s="24" t="s">
        <v>301</v>
      </c>
      <c r="DB67" s="24"/>
      <c r="DC67" s="17" t="s">
        <v>238</v>
      </c>
      <c r="DD67" s="17" t="s">
        <v>83</v>
      </c>
      <c r="DE67" s="24"/>
      <c r="DF67" s="24"/>
      <c r="DG67" s="24"/>
      <c r="DH67" s="24"/>
      <c r="DI67" s="24"/>
      <c r="DJ67" s="24"/>
      <c r="DK67" s="24"/>
      <c r="DL67" s="24"/>
      <c r="DM67" s="24"/>
      <c r="DN67" s="24"/>
    </row>
    <row r="68" spans="1:118" ht="16.5" x14ac:dyDescent="0.25">
      <c r="A68" s="97"/>
      <c r="B68" s="97"/>
      <c r="C68" s="97"/>
      <c r="D68" s="97"/>
      <c r="E68" s="97"/>
      <c r="F68" s="97"/>
      <c r="G68" s="98"/>
      <c r="H68" s="97"/>
      <c r="I68" s="97"/>
      <c r="J68" s="97"/>
      <c r="K68" s="97"/>
      <c r="L68" s="97"/>
      <c r="M68" s="97"/>
      <c r="N68" s="97"/>
      <c r="O68" s="97"/>
      <c r="P68" s="97"/>
      <c r="Q68" s="100"/>
      <c r="R68" s="101"/>
      <c r="S68" s="99"/>
      <c r="T68" s="99"/>
      <c r="U68" s="97"/>
      <c r="V68" s="20" t="str">
        <f t="shared" si="29"/>
        <v/>
      </c>
      <c r="W68" s="20" t="str">
        <f t="shared" si="30"/>
        <v/>
      </c>
      <c r="X68" s="20" t="str">
        <f t="shared" si="31"/>
        <v/>
      </c>
      <c r="Y68" s="20" t="str">
        <f t="shared" si="32"/>
        <v/>
      </c>
      <c r="Z68" s="20" t="str">
        <f t="shared" si="33"/>
        <v/>
      </c>
      <c r="AA68" s="20" t="str">
        <f t="shared" si="34"/>
        <v/>
      </c>
      <c r="AB68" s="20" t="str">
        <f t="shared" si="35"/>
        <v/>
      </c>
      <c r="AC68" s="20" t="str">
        <f t="shared" si="36"/>
        <v/>
      </c>
      <c r="AD68" s="20" t="str">
        <f t="shared" si="37"/>
        <v/>
      </c>
      <c r="AE68" s="20" t="str">
        <f t="shared" si="38"/>
        <v/>
      </c>
      <c r="AF68" s="20" t="str">
        <f t="shared" si="39"/>
        <v/>
      </c>
      <c r="AG68" s="20" t="str">
        <f t="shared" si="40"/>
        <v/>
      </c>
      <c r="AH68" s="20" t="str">
        <f t="shared" si="41"/>
        <v/>
      </c>
      <c r="AI68" s="20" t="str">
        <f t="shared" si="42"/>
        <v/>
      </c>
      <c r="AJ68" s="20" t="str">
        <f t="shared" si="43"/>
        <v/>
      </c>
      <c r="AK68" s="20" t="str">
        <f t="shared" si="44"/>
        <v/>
      </c>
      <c r="AL68" s="20" t="str">
        <f t="shared" si="45"/>
        <v/>
      </c>
      <c r="AM68" s="20" t="str">
        <f t="shared" si="46"/>
        <v/>
      </c>
      <c r="AN68" s="20" t="str">
        <f t="shared" si="47"/>
        <v/>
      </c>
      <c r="AO68" s="20" t="str">
        <f t="shared" si="48"/>
        <v/>
      </c>
      <c r="AP68" s="20" t="str">
        <f t="shared" si="49"/>
        <v/>
      </c>
      <c r="AQ68" s="20" t="str">
        <f t="shared" si="50"/>
        <v/>
      </c>
      <c r="AR68" s="20" t="str">
        <f t="shared" si="51"/>
        <v/>
      </c>
      <c r="AS68" s="20" t="str">
        <f t="shared" si="52"/>
        <v/>
      </c>
      <c r="AT68" s="20" t="str">
        <f t="shared" si="53"/>
        <v/>
      </c>
      <c r="AU68" s="20" t="str">
        <f t="shared" si="54"/>
        <v/>
      </c>
      <c r="AV68" s="20" t="str">
        <f t="shared" si="55"/>
        <v/>
      </c>
      <c r="AW68" s="20" t="str">
        <f t="shared" si="56"/>
        <v/>
      </c>
      <c r="BD68" s="17" t="s">
        <v>204</v>
      </c>
      <c r="BE68" s="17" t="s">
        <v>73</v>
      </c>
      <c r="BF68" s="17" t="s">
        <v>281</v>
      </c>
      <c r="BG68" s="17" t="s">
        <v>595</v>
      </c>
      <c r="BH68" s="17" t="s">
        <v>58</v>
      </c>
      <c r="BI68" s="17" t="s">
        <v>798</v>
      </c>
      <c r="BJ68" s="94"/>
      <c r="BK68" s="18">
        <v>5573337</v>
      </c>
      <c r="BL68" s="18" t="s">
        <v>284</v>
      </c>
      <c r="BM68" s="18">
        <v>81</v>
      </c>
      <c r="BN68" s="18" t="s">
        <v>280</v>
      </c>
      <c r="BO68" s="17" t="s">
        <v>74</v>
      </c>
      <c r="BP68" s="17" t="s">
        <v>74</v>
      </c>
      <c r="BQ68" s="17" t="s">
        <v>281</v>
      </c>
      <c r="BR68" s="17" t="s">
        <v>988</v>
      </c>
      <c r="BS68" s="17" t="s">
        <v>67</v>
      </c>
      <c r="BU68" s="17" t="s">
        <v>56</v>
      </c>
      <c r="BW68" s="94"/>
      <c r="BX68" s="17">
        <v>780</v>
      </c>
      <c r="BY68" s="17">
        <v>108049</v>
      </c>
      <c r="CA68" s="94"/>
      <c r="CB68" s="17" t="s">
        <v>58</v>
      </c>
      <c r="CC68" s="17" t="s">
        <v>568</v>
      </c>
      <c r="CD68" s="17" t="s">
        <v>578</v>
      </c>
      <c r="CE68" s="17" t="s">
        <v>111</v>
      </c>
      <c r="CF68" s="17" t="s">
        <v>1132</v>
      </c>
      <c r="CG68" s="17" t="s">
        <v>73</v>
      </c>
      <c r="CH68" s="17" t="s">
        <v>204</v>
      </c>
      <c r="CI68" s="26">
        <v>5278</v>
      </c>
      <c r="CJ68" s="23" t="b">
        <v>1</v>
      </c>
      <c r="CK68" s="23" t="b">
        <v>0</v>
      </c>
      <c r="CL68" s="23" t="b">
        <v>0</v>
      </c>
      <c r="CM68" s="23" t="b">
        <v>0</v>
      </c>
      <c r="CN68" s="23" t="b">
        <v>0</v>
      </c>
      <c r="CO68" s="23" t="s">
        <v>61</v>
      </c>
      <c r="CQ68" s="17" t="s">
        <v>290</v>
      </c>
      <c r="CR68" s="17" t="s">
        <v>57</v>
      </c>
      <c r="CT68" s="17" t="s">
        <v>290</v>
      </c>
      <c r="CU68" s="17" t="s">
        <v>58</v>
      </c>
      <c r="CW68" s="24" t="s">
        <v>289</v>
      </c>
      <c r="CX68" s="10" t="s">
        <v>144</v>
      </c>
      <c r="CZ68" s="17" t="s">
        <v>290</v>
      </c>
      <c r="DA68" s="24" t="s">
        <v>61</v>
      </c>
      <c r="DB68" s="24"/>
      <c r="DC68" s="17" t="s">
        <v>290</v>
      </c>
      <c r="DD68" s="17" t="s">
        <v>58</v>
      </c>
      <c r="DE68" s="24"/>
      <c r="DF68" s="24"/>
      <c r="DG68" s="24"/>
      <c r="DH68" s="24"/>
      <c r="DI68" s="24"/>
      <c r="DJ68" s="24"/>
      <c r="DK68" s="24"/>
      <c r="DL68" s="24"/>
      <c r="DM68" s="24"/>
      <c r="DN68" s="24"/>
    </row>
    <row r="69" spans="1:118" ht="16.5" x14ac:dyDescent="0.25">
      <c r="A69" s="97"/>
      <c r="B69" s="97"/>
      <c r="C69" s="97"/>
      <c r="D69" s="97"/>
      <c r="E69" s="97"/>
      <c r="F69" s="97"/>
      <c r="G69" s="98"/>
      <c r="H69" s="97"/>
      <c r="I69" s="97"/>
      <c r="J69" s="97"/>
      <c r="K69" s="97"/>
      <c r="L69" s="97"/>
      <c r="M69" s="97"/>
      <c r="N69" s="97"/>
      <c r="O69" s="97"/>
      <c r="P69" s="97"/>
      <c r="Q69" s="100"/>
      <c r="R69" s="101"/>
      <c r="S69" s="99"/>
      <c r="T69" s="99"/>
      <c r="U69" s="97"/>
      <c r="V69" s="20" t="str">
        <f t="shared" si="29"/>
        <v/>
      </c>
      <c r="W69" s="20" t="str">
        <f t="shared" si="30"/>
        <v/>
      </c>
      <c r="X69" s="20" t="str">
        <f t="shared" si="31"/>
        <v/>
      </c>
      <c r="Y69" s="20" t="str">
        <f t="shared" si="32"/>
        <v/>
      </c>
      <c r="Z69" s="20" t="str">
        <f t="shared" si="33"/>
        <v/>
      </c>
      <c r="AA69" s="20" t="str">
        <f t="shared" si="34"/>
        <v/>
      </c>
      <c r="AB69" s="20" t="str">
        <f t="shared" si="35"/>
        <v/>
      </c>
      <c r="AC69" s="20" t="str">
        <f t="shared" si="36"/>
        <v/>
      </c>
      <c r="AD69" s="20" t="str">
        <f t="shared" si="37"/>
        <v/>
      </c>
      <c r="AE69" s="20" t="str">
        <f t="shared" si="38"/>
        <v/>
      </c>
      <c r="AF69" s="20" t="str">
        <f t="shared" si="39"/>
        <v/>
      </c>
      <c r="AG69" s="20" t="str">
        <f t="shared" si="40"/>
        <v/>
      </c>
      <c r="AH69" s="20" t="str">
        <f t="shared" si="41"/>
        <v/>
      </c>
      <c r="AI69" s="20" t="str">
        <f t="shared" si="42"/>
        <v/>
      </c>
      <c r="AJ69" s="20" t="str">
        <f t="shared" si="43"/>
        <v/>
      </c>
      <c r="AK69" s="20" t="str">
        <f t="shared" si="44"/>
        <v/>
      </c>
      <c r="AL69" s="20" t="str">
        <f t="shared" si="45"/>
        <v/>
      </c>
      <c r="AM69" s="20" t="str">
        <f t="shared" si="46"/>
        <v/>
      </c>
      <c r="AN69" s="20" t="str">
        <f t="shared" si="47"/>
        <v/>
      </c>
      <c r="AO69" s="20" t="str">
        <f t="shared" si="48"/>
        <v/>
      </c>
      <c r="AP69" s="20" t="str">
        <f t="shared" si="49"/>
        <v/>
      </c>
      <c r="AQ69" s="20" t="str">
        <f t="shared" si="50"/>
        <v/>
      </c>
      <c r="AR69" s="20" t="str">
        <f t="shared" si="51"/>
        <v/>
      </c>
      <c r="AS69" s="20" t="str">
        <f t="shared" si="52"/>
        <v/>
      </c>
      <c r="AT69" s="20" t="str">
        <f t="shared" si="53"/>
        <v/>
      </c>
      <c r="AU69" s="20" t="str">
        <f t="shared" si="54"/>
        <v/>
      </c>
      <c r="AV69" s="20" t="str">
        <f t="shared" si="55"/>
        <v/>
      </c>
      <c r="AW69" s="20" t="str">
        <f t="shared" si="56"/>
        <v/>
      </c>
      <c r="BD69" s="17" t="s">
        <v>204</v>
      </c>
      <c r="BE69" s="17" t="s">
        <v>828</v>
      </c>
      <c r="BF69" s="17" t="s">
        <v>684</v>
      </c>
      <c r="BG69" s="17" t="s">
        <v>596</v>
      </c>
      <c r="BH69" s="17" t="s">
        <v>147</v>
      </c>
      <c r="BI69" s="17" t="s">
        <v>882</v>
      </c>
      <c r="BJ69" s="94"/>
      <c r="BK69" s="18" t="s">
        <v>686</v>
      </c>
      <c r="BL69" s="18" t="s">
        <v>686</v>
      </c>
      <c r="BM69" s="18" t="s">
        <v>687</v>
      </c>
      <c r="BN69" t="s">
        <v>688</v>
      </c>
      <c r="BO69" s="17" t="s">
        <v>74</v>
      </c>
      <c r="BP69" s="18" t="s">
        <v>684</v>
      </c>
      <c r="BQ69" s="18" t="s">
        <v>684</v>
      </c>
      <c r="BR69" s="18"/>
      <c r="BS69" s="22" t="s">
        <v>715</v>
      </c>
      <c r="BT69" s="18"/>
      <c r="BU69" s="17" t="s">
        <v>70</v>
      </c>
      <c r="BV69" s="18"/>
      <c r="BW69" s="94"/>
      <c r="BX69" s="72">
        <v>124</v>
      </c>
      <c r="BY69" s="72">
        <v>203094</v>
      </c>
      <c r="BZ69" s="18"/>
      <c r="CA69" s="94"/>
      <c r="CB69" s="17" t="s">
        <v>83</v>
      </c>
      <c r="CC69" s="17" t="s">
        <v>568</v>
      </c>
      <c r="CD69" s="17" t="s">
        <v>689</v>
      </c>
      <c r="CE69" s="17" t="s">
        <v>111</v>
      </c>
      <c r="CF69" s="17" t="s">
        <v>1132</v>
      </c>
      <c r="CG69" s="17" t="s">
        <v>828</v>
      </c>
      <c r="CH69" s="17" t="s">
        <v>204</v>
      </c>
      <c r="CI69" s="26">
        <v>5278</v>
      </c>
      <c r="CJ69" s="23" t="b">
        <v>0</v>
      </c>
      <c r="CK69" s="23" t="b">
        <v>0</v>
      </c>
      <c r="CL69" s="23" t="b">
        <v>0</v>
      </c>
      <c r="CM69" s="17" t="b">
        <v>1</v>
      </c>
      <c r="CN69" s="23" t="b">
        <v>0</v>
      </c>
      <c r="CO69" s="23" t="s">
        <v>61</v>
      </c>
      <c r="CP69" s="50"/>
      <c r="CQ69" s="24" t="s">
        <v>291</v>
      </c>
      <c r="CR69" s="17" t="s">
        <v>57</v>
      </c>
      <c r="CT69" s="24" t="s">
        <v>291</v>
      </c>
      <c r="CU69" s="17" t="s">
        <v>83</v>
      </c>
      <c r="CW69" s="17" t="s">
        <v>292</v>
      </c>
      <c r="CX69" s="10" t="s">
        <v>144</v>
      </c>
      <c r="CZ69" s="24" t="s">
        <v>291</v>
      </c>
      <c r="DA69" s="24" t="s">
        <v>61</v>
      </c>
      <c r="DB69" s="24"/>
      <c r="DC69" s="24" t="s">
        <v>291</v>
      </c>
      <c r="DD69" s="17" t="s">
        <v>83</v>
      </c>
      <c r="DE69" s="24"/>
      <c r="DF69" s="24"/>
      <c r="DG69" s="24"/>
      <c r="DH69" s="24"/>
      <c r="DI69" s="24"/>
      <c r="DJ69" s="24"/>
      <c r="DK69" s="24"/>
      <c r="DL69" s="24"/>
      <c r="DM69" s="24"/>
      <c r="DN69" s="24"/>
    </row>
    <row r="70" spans="1:118" ht="16.5" x14ac:dyDescent="0.25">
      <c r="A70" s="97"/>
      <c r="B70" s="97"/>
      <c r="C70" s="97"/>
      <c r="D70" s="97"/>
      <c r="E70" s="97"/>
      <c r="F70" s="97"/>
      <c r="G70" s="98"/>
      <c r="H70" s="97"/>
      <c r="I70" s="97"/>
      <c r="J70" s="97"/>
      <c r="K70" s="97"/>
      <c r="L70" s="97"/>
      <c r="M70" s="97"/>
      <c r="N70" s="97"/>
      <c r="O70" s="97"/>
      <c r="P70" s="97"/>
      <c r="Q70" s="100"/>
      <c r="R70" s="101"/>
      <c r="S70" s="99"/>
      <c r="T70" s="99"/>
      <c r="U70" s="97"/>
      <c r="V70" s="20" t="str">
        <f t="shared" si="29"/>
        <v/>
      </c>
      <c r="W70" s="20" t="str">
        <f t="shared" si="30"/>
        <v/>
      </c>
      <c r="X70" s="20" t="str">
        <f t="shared" si="31"/>
        <v/>
      </c>
      <c r="Y70" s="20" t="str">
        <f t="shared" si="32"/>
        <v/>
      </c>
      <c r="Z70" s="20" t="str">
        <f t="shared" si="33"/>
        <v/>
      </c>
      <c r="AA70" s="20" t="str">
        <f t="shared" si="34"/>
        <v/>
      </c>
      <c r="AB70" s="20" t="str">
        <f t="shared" si="35"/>
        <v/>
      </c>
      <c r="AC70" s="20" t="str">
        <f t="shared" si="36"/>
        <v/>
      </c>
      <c r="AD70" s="20" t="str">
        <f t="shared" si="37"/>
        <v/>
      </c>
      <c r="AE70" s="20" t="str">
        <f t="shared" si="38"/>
        <v/>
      </c>
      <c r="AF70" s="20" t="str">
        <f t="shared" si="39"/>
        <v/>
      </c>
      <c r="AG70" s="20" t="str">
        <f t="shared" si="40"/>
        <v/>
      </c>
      <c r="AH70" s="20" t="str">
        <f t="shared" si="41"/>
        <v/>
      </c>
      <c r="AI70" s="20" t="str">
        <f t="shared" si="42"/>
        <v/>
      </c>
      <c r="AJ70" s="20" t="str">
        <f t="shared" si="43"/>
        <v/>
      </c>
      <c r="AK70" s="20" t="str">
        <f t="shared" si="44"/>
        <v/>
      </c>
      <c r="AL70" s="20" t="str">
        <f t="shared" si="45"/>
        <v/>
      </c>
      <c r="AM70" s="20" t="str">
        <f t="shared" si="46"/>
        <v/>
      </c>
      <c r="AN70" s="20" t="str">
        <f t="shared" si="47"/>
        <v/>
      </c>
      <c r="AO70" s="20" t="str">
        <f t="shared" si="48"/>
        <v/>
      </c>
      <c r="AP70" s="20" t="str">
        <f t="shared" si="49"/>
        <v/>
      </c>
      <c r="AQ70" s="20" t="str">
        <f t="shared" si="50"/>
        <v/>
      </c>
      <c r="AR70" s="20" t="str">
        <f t="shared" si="51"/>
        <v/>
      </c>
      <c r="AS70" s="20" t="str">
        <f t="shared" si="52"/>
        <v/>
      </c>
      <c r="AT70" s="20" t="str">
        <f t="shared" si="53"/>
        <v/>
      </c>
      <c r="AU70" s="20" t="str">
        <f t="shared" si="54"/>
        <v/>
      </c>
      <c r="AV70" s="20" t="str">
        <f t="shared" si="55"/>
        <v/>
      </c>
      <c r="AW70" s="20" t="str">
        <f t="shared" si="56"/>
        <v/>
      </c>
      <c r="BD70" s="17" t="s">
        <v>204</v>
      </c>
      <c r="BE70" s="17" t="s">
        <v>828</v>
      </c>
      <c r="BF70" s="17" t="s">
        <v>684</v>
      </c>
      <c r="BG70" s="17" t="s">
        <v>596</v>
      </c>
      <c r="BH70" s="17" t="s">
        <v>92</v>
      </c>
      <c r="BI70" s="17" t="s">
        <v>883</v>
      </c>
      <c r="BJ70" s="94"/>
      <c r="BK70" s="18" t="s">
        <v>685</v>
      </c>
      <c r="BL70" s="18" t="s">
        <v>685</v>
      </c>
      <c r="BM70" s="18" t="s">
        <v>494</v>
      </c>
      <c r="BN70" t="s">
        <v>688</v>
      </c>
      <c r="BO70" s="17" t="s">
        <v>74</v>
      </c>
      <c r="BP70" s="18" t="s">
        <v>684</v>
      </c>
      <c r="BQ70" s="18" t="s">
        <v>684</v>
      </c>
      <c r="BR70" s="18" t="s">
        <v>1013</v>
      </c>
      <c r="BS70" s="22" t="s">
        <v>715</v>
      </c>
      <c r="BT70" s="18"/>
      <c r="BU70" s="17" t="s">
        <v>70</v>
      </c>
      <c r="BV70" s="18"/>
      <c r="BW70" s="94"/>
      <c r="BX70" s="72">
        <v>124</v>
      </c>
      <c r="BY70" s="72">
        <v>203094</v>
      </c>
      <c r="BZ70" s="18"/>
      <c r="CA70" s="94"/>
      <c r="CB70" s="17" t="s">
        <v>83</v>
      </c>
      <c r="CC70" s="17" t="s">
        <v>568</v>
      </c>
      <c r="CD70" s="17" t="s">
        <v>689</v>
      </c>
      <c r="CE70" s="17" t="s">
        <v>111</v>
      </c>
      <c r="CF70" s="17" t="s">
        <v>1132</v>
      </c>
      <c r="CG70" s="17" t="s">
        <v>828</v>
      </c>
      <c r="CH70" s="17" t="s">
        <v>204</v>
      </c>
      <c r="CI70" s="26">
        <v>5278</v>
      </c>
      <c r="CJ70" s="23" t="b">
        <v>0</v>
      </c>
      <c r="CK70" s="23" t="b">
        <v>0</v>
      </c>
      <c r="CL70" s="23" t="b">
        <v>0</v>
      </c>
      <c r="CM70" s="17" t="b">
        <v>1</v>
      </c>
      <c r="CN70" s="23" t="b">
        <v>0</v>
      </c>
      <c r="CO70" s="23" t="s">
        <v>61</v>
      </c>
      <c r="CP70" s="50"/>
      <c r="CQ70" s="24" t="s">
        <v>296</v>
      </c>
      <c r="CR70" s="17" t="s">
        <v>150</v>
      </c>
      <c r="CT70" s="24" t="s">
        <v>296</v>
      </c>
      <c r="CU70" s="17" t="s">
        <v>58</v>
      </c>
      <c r="CW70" s="17" t="s">
        <v>294</v>
      </c>
      <c r="CX70" s="10" t="s">
        <v>144</v>
      </c>
      <c r="CZ70" s="24" t="s">
        <v>296</v>
      </c>
      <c r="DA70" s="24" t="s">
        <v>61</v>
      </c>
      <c r="DB70" s="24"/>
      <c r="DC70" s="24" t="s">
        <v>296</v>
      </c>
      <c r="DD70" s="17" t="s">
        <v>58</v>
      </c>
      <c r="DE70" s="24"/>
      <c r="DF70" s="24"/>
      <c r="DG70" s="24"/>
      <c r="DH70" s="24"/>
      <c r="DI70" s="24"/>
      <c r="DJ70" s="24"/>
      <c r="DK70" s="24"/>
      <c r="DL70" s="24"/>
      <c r="DM70" s="24"/>
      <c r="DN70" s="24"/>
    </row>
    <row r="71" spans="1:118" ht="16.5" x14ac:dyDescent="0.25">
      <c r="A71" s="97"/>
      <c r="B71" s="97"/>
      <c r="C71" s="97"/>
      <c r="D71" s="97"/>
      <c r="E71" s="97"/>
      <c r="F71" s="97"/>
      <c r="G71" s="98"/>
      <c r="H71" s="97"/>
      <c r="I71" s="97"/>
      <c r="J71" s="97"/>
      <c r="K71" s="97"/>
      <c r="L71" s="97"/>
      <c r="M71" s="97"/>
      <c r="N71" s="97"/>
      <c r="O71" s="97"/>
      <c r="P71" s="97"/>
      <c r="Q71" s="100"/>
      <c r="R71" s="101"/>
      <c r="S71" s="99"/>
      <c r="T71" s="99"/>
      <c r="U71" s="97"/>
      <c r="V71" s="20" t="str">
        <f t="shared" si="29"/>
        <v/>
      </c>
      <c r="W71" s="20" t="str">
        <f t="shared" si="30"/>
        <v/>
      </c>
      <c r="X71" s="20" t="str">
        <f t="shared" si="31"/>
        <v/>
      </c>
      <c r="Y71" s="20" t="str">
        <f t="shared" si="32"/>
        <v/>
      </c>
      <c r="Z71" s="20" t="str">
        <f t="shared" si="33"/>
        <v/>
      </c>
      <c r="AA71" s="20" t="str">
        <f t="shared" si="34"/>
        <v/>
      </c>
      <c r="AB71" s="20" t="str">
        <f t="shared" si="35"/>
        <v/>
      </c>
      <c r="AC71" s="20" t="str">
        <f t="shared" si="36"/>
        <v/>
      </c>
      <c r="AD71" s="20" t="str">
        <f t="shared" si="37"/>
        <v/>
      </c>
      <c r="AE71" s="20" t="str">
        <f t="shared" si="38"/>
        <v/>
      </c>
      <c r="AF71" s="20" t="str">
        <f t="shared" si="39"/>
        <v/>
      </c>
      <c r="AG71" s="20" t="str">
        <f t="shared" si="40"/>
        <v/>
      </c>
      <c r="AH71" s="20" t="str">
        <f t="shared" si="41"/>
        <v/>
      </c>
      <c r="AI71" s="20" t="str">
        <f t="shared" si="42"/>
        <v/>
      </c>
      <c r="AJ71" s="20" t="str">
        <f t="shared" si="43"/>
        <v/>
      </c>
      <c r="AK71" s="20" t="str">
        <f t="shared" si="44"/>
        <v/>
      </c>
      <c r="AL71" s="20" t="str">
        <f t="shared" si="45"/>
        <v/>
      </c>
      <c r="AM71" s="20" t="str">
        <f t="shared" si="46"/>
        <v/>
      </c>
      <c r="AN71" s="20" t="str">
        <f t="shared" si="47"/>
        <v/>
      </c>
      <c r="AO71" s="20" t="str">
        <f t="shared" si="48"/>
        <v/>
      </c>
      <c r="AP71" s="20" t="str">
        <f t="shared" si="49"/>
        <v/>
      </c>
      <c r="AQ71" s="20" t="str">
        <f t="shared" si="50"/>
        <v/>
      </c>
      <c r="AR71" s="20" t="str">
        <f t="shared" si="51"/>
        <v/>
      </c>
      <c r="AS71" s="20" t="str">
        <f t="shared" si="52"/>
        <v/>
      </c>
      <c r="AT71" s="20" t="str">
        <f t="shared" si="53"/>
        <v/>
      </c>
      <c r="AU71" s="20" t="str">
        <f t="shared" si="54"/>
        <v/>
      </c>
      <c r="AV71" s="20" t="str">
        <f t="shared" si="55"/>
        <v/>
      </c>
      <c r="AW71" s="20" t="str">
        <f t="shared" si="56"/>
        <v/>
      </c>
      <c r="BD71" s="17" t="s">
        <v>204</v>
      </c>
      <c r="BE71" s="17" t="s">
        <v>828</v>
      </c>
      <c r="BF71" s="17" t="s">
        <v>684</v>
      </c>
      <c r="BG71" s="17" t="s">
        <v>595</v>
      </c>
      <c r="BH71" s="17" t="s">
        <v>58</v>
      </c>
      <c r="BI71" s="17" t="s">
        <v>884</v>
      </c>
      <c r="BJ71" s="94"/>
      <c r="BK71" s="80" t="s">
        <v>779</v>
      </c>
      <c r="BL71" s="80" t="s">
        <v>779</v>
      </c>
      <c r="BM71" s="18" t="s">
        <v>493</v>
      </c>
      <c r="BN71" t="s">
        <v>688</v>
      </c>
      <c r="BO71" s="17" t="s">
        <v>74</v>
      </c>
      <c r="BP71" s="18" t="s">
        <v>684</v>
      </c>
      <c r="BQ71" s="18" t="s">
        <v>684</v>
      </c>
      <c r="BR71" t="s">
        <v>1014</v>
      </c>
      <c r="BS71" s="22" t="s">
        <v>715</v>
      </c>
      <c r="BT71" s="18"/>
      <c r="BU71" s="17" t="s">
        <v>70</v>
      </c>
      <c r="BV71" s="18"/>
      <c r="BW71" s="94"/>
      <c r="BX71" s="72">
        <v>815</v>
      </c>
      <c r="BY71" s="72">
        <v>203094</v>
      </c>
      <c r="BZ71" s="18"/>
      <c r="CA71" s="94"/>
      <c r="CB71" s="17" t="s">
        <v>58</v>
      </c>
      <c r="CC71" s="17" t="s">
        <v>568</v>
      </c>
      <c r="CD71" s="17" t="s">
        <v>689</v>
      </c>
      <c r="CE71" s="17" t="s">
        <v>111</v>
      </c>
      <c r="CF71" s="17" t="s">
        <v>1132</v>
      </c>
      <c r="CG71" s="17" t="s">
        <v>828</v>
      </c>
      <c r="CH71" s="17" t="s">
        <v>204</v>
      </c>
      <c r="CI71" s="26">
        <v>5278</v>
      </c>
      <c r="CJ71" s="23" t="b">
        <v>1</v>
      </c>
      <c r="CK71" s="23" t="b">
        <v>0</v>
      </c>
      <c r="CL71" s="23" t="b">
        <v>0</v>
      </c>
      <c r="CM71" s="23" t="b">
        <v>0</v>
      </c>
      <c r="CN71" s="23" t="b">
        <v>0</v>
      </c>
      <c r="CO71" s="23" t="s">
        <v>61</v>
      </c>
      <c r="CP71" s="50"/>
      <c r="CQ71" s="24" t="s">
        <v>293</v>
      </c>
      <c r="CR71" s="17" t="s">
        <v>150</v>
      </c>
      <c r="CT71" s="24" t="s">
        <v>293</v>
      </c>
      <c r="CU71" s="17" t="s">
        <v>58</v>
      </c>
      <c r="CW71" s="17" t="s">
        <v>100</v>
      </c>
      <c r="CX71" s="10" t="s">
        <v>144</v>
      </c>
      <c r="CZ71" s="24" t="s">
        <v>293</v>
      </c>
      <c r="DA71" s="24" t="s">
        <v>61</v>
      </c>
      <c r="DB71" s="24"/>
      <c r="DC71" s="24" t="s">
        <v>293</v>
      </c>
      <c r="DD71" s="17" t="s">
        <v>58</v>
      </c>
      <c r="DE71" s="24"/>
      <c r="DF71" s="24"/>
      <c r="DG71" s="24"/>
      <c r="DH71" s="24"/>
      <c r="DI71" s="24"/>
      <c r="DJ71" s="24"/>
      <c r="DK71" s="24"/>
      <c r="DL71" s="24"/>
      <c r="DM71" s="24"/>
      <c r="DN71" s="24"/>
    </row>
    <row r="72" spans="1:118" ht="16.5" x14ac:dyDescent="0.25">
      <c r="A72" s="97"/>
      <c r="B72" s="97"/>
      <c r="C72" s="97"/>
      <c r="D72" s="97"/>
      <c r="E72" s="97"/>
      <c r="F72" s="97"/>
      <c r="G72" s="98"/>
      <c r="H72" s="97"/>
      <c r="I72" s="97"/>
      <c r="J72" s="97"/>
      <c r="K72" s="97"/>
      <c r="L72" s="97"/>
      <c r="M72" s="97"/>
      <c r="N72" s="97"/>
      <c r="O72" s="97"/>
      <c r="P72" s="97"/>
      <c r="Q72" s="100"/>
      <c r="R72" s="101"/>
      <c r="S72" s="99"/>
      <c r="T72" s="99"/>
      <c r="U72" s="97"/>
      <c r="V72" s="20" t="str">
        <f t="shared" si="29"/>
        <v/>
      </c>
      <c r="W72" s="20" t="str">
        <f t="shared" si="30"/>
        <v/>
      </c>
      <c r="X72" s="20" t="str">
        <f t="shared" si="31"/>
        <v/>
      </c>
      <c r="Y72" s="20" t="str">
        <f t="shared" si="32"/>
        <v/>
      </c>
      <c r="Z72" s="20" t="str">
        <f t="shared" si="33"/>
        <v/>
      </c>
      <c r="AA72" s="20" t="str">
        <f t="shared" si="34"/>
        <v/>
      </c>
      <c r="AB72" s="20" t="str">
        <f t="shared" si="35"/>
        <v/>
      </c>
      <c r="AC72" s="20" t="str">
        <f t="shared" si="36"/>
        <v/>
      </c>
      <c r="AD72" s="20" t="str">
        <f t="shared" si="37"/>
        <v/>
      </c>
      <c r="AE72" s="20" t="str">
        <f t="shared" si="38"/>
        <v/>
      </c>
      <c r="AF72" s="20" t="str">
        <f t="shared" si="39"/>
        <v/>
      </c>
      <c r="AG72" s="20" t="str">
        <f t="shared" si="40"/>
        <v/>
      </c>
      <c r="AH72" s="20" t="str">
        <f t="shared" si="41"/>
        <v/>
      </c>
      <c r="AI72" s="20" t="str">
        <f t="shared" si="42"/>
        <v/>
      </c>
      <c r="AJ72" s="20" t="str">
        <f t="shared" si="43"/>
        <v/>
      </c>
      <c r="AK72" s="20" t="str">
        <f t="shared" si="44"/>
        <v/>
      </c>
      <c r="AL72" s="20" t="str">
        <f t="shared" si="45"/>
        <v/>
      </c>
      <c r="AM72" s="20" t="str">
        <f t="shared" si="46"/>
        <v/>
      </c>
      <c r="AN72" s="20" t="str">
        <f t="shared" si="47"/>
        <v/>
      </c>
      <c r="AO72" s="20" t="str">
        <f t="shared" si="48"/>
        <v/>
      </c>
      <c r="AP72" s="20" t="str">
        <f t="shared" si="49"/>
        <v/>
      </c>
      <c r="AQ72" s="20" t="str">
        <f t="shared" si="50"/>
        <v/>
      </c>
      <c r="AR72" s="20" t="str">
        <f t="shared" si="51"/>
        <v/>
      </c>
      <c r="AS72" s="20" t="str">
        <f t="shared" si="52"/>
        <v/>
      </c>
      <c r="AT72" s="20" t="str">
        <f t="shared" si="53"/>
        <v/>
      </c>
      <c r="AU72" s="20" t="str">
        <f t="shared" si="54"/>
        <v/>
      </c>
      <c r="AV72" s="20" t="str">
        <f t="shared" si="55"/>
        <v/>
      </c>
      <c r="AW72" s="20" t="str">
        <f t="shared" si="56"/>
        <v/>
      </c>
      <c r="BD72" s="17" t="s">
        <v>204</v>
      </c>
      <c r="BE72" s="17" t="s">
        <v>828</v>
      </c>
      <c r="BF72" s="17" t="s">
        <v>684</v>
      </c>
      <c r="BG72" s="17" t="s">
        <v>127</v>
      </c>
      <c r="BH72" s="17" t="s">
        <v>58</v>
      </c>
      <c r="BI72" s="17" t="s">
        <v>885</v>
      </c>
      <c r="BJ72" s="94"/>
      <c r="BK72" s="79" t="s">
        <v>824</v>
      </c>
      <c r="BL72" s="79" t="s">
        <v>824</v>
      </c>
      <c r="BM72" s="82" t="s">
        <v>493</v>
      </c>
      <c r="BN72" s="18" t="s">
        <v>688</v>
      </c>
      <c r="BO72" s="17" t="s">
        <v>74</v>
      </c>
      <c r="BP72" s="17" t="s">
        <v>684</v>
      </c>
      <c r="BQ72" s="17" t="s">
        <v>684</v>
      </c>
      <c r="BR72" s="17" t="s">
        <v>1015</v>
      </c>
      <c r="BS72" s="22" t="s">
        <v>52</v>
      </c>
      <c r="BT72" s="22"/>
      <c r="BU72" s="17" t="s">
        <v>70</v>
      </c>
      <c r="BW72" s="94"/>
      <c r="BX72" s="17">
        <v>815</v>
      </c>
      <c r="BY72" s="17">
        <v>203094</v>
      </c>
      <c r="CA72" s="94"/>
      <c r="CB72" s="17" t="s">
        <v>58</v>
      </c>
      <c r="CC72" s="17" t="s">
        <v>568</v>
      </c>
      <c r="CD72" s="17" t="s">
        <v>689</v>
      </c>
      <c r="CE72" s="17" t="s">
        <v>111</v>
      </c>
      <c r="CF72" s="17" t="s">
        <v>1132</v>
      </c>
      <c r="CG72" s="17" t="s">
        <v>828</v>
      </c>
      <c r="CH72" s="17" t="s">
        <v>204</v>
      </c>
      <c r="CI72" s="26">
        <v>5278</v>
      </c>
      <c r="CJ72" s="23" t="b">
        <v>0</v>
      </c>
      <c r="CK72" s="23" t="b">
        <v>1</v>
      </c>
      <c r="CL72" s="23" t="b">
        <v>0</v>
      </c>
      <c r="CM72" s="23" t="b">
        <v>0</v>
      </c>
      <c r="CN72" s="23" t="b">
        <v>0</v>
      </c>
      <c r="CO72" s="23" t="s">
        <v>61</v>
      </c>
      <c r="CQ72" s="24" t="s">
        <v>295</v>
      </c>
      <c r="CR72" s="17" t="s">
        <v>150</v>
      </c>
      <c r="CT72" s="24" t="s">
        <v>295</v>
      </c>
      <c r="CU72" s="17" t="s">
        <v>83</v>
      </c>
      <c r="CW72" s="17" t="s">
        <v>113</v>
      </c>
      <c r="CX72" s="10" t="s">
        <v>144</v>
      </c>
      <c r="CY72" s="10"/>
      <c r="CZ72" s="24" t="s">
        <v>295</v>
      </c>
      <c r="DA72" s="24" t="s">
        <v>61</v>
      </c>
      <c r="DB72" s="10"/>
      <c r="DC72" s="24" t="s">
        <v>295</v>
      </c>
      <c r="DD72" s="17" t="s">
        <v>83</v>
      </c>
    </row>
    <row r="73" spans="1:118" ht="16.5" x14ac:dyDescent="0.25">
      <c r="A73" s="97"/>
      <c r="B73" s="97"/>
      <c r="C73" s="97"/>
      <c r="D73" s="97"/>
      <c r="E73" s="97"/>
      <c r="F73" s="97"/>
      <c r="G73" s="98"/>
      <c r="H73" s="97"/>
      <c r="I73" s="97"/>
      <c r="J73" s="97"/>
      <c r="K73" s="97"/>
      <c r="L73" s="97"/>
      <c r="M73" s="97"/>
      <c r="N73" s="97"/>
      <c r="O73" s="97"/>
      <c r="P73" s="97"/>
      <c r="Q73" s="100"/>
      <c r="R73" s="101"/>
      <c r="S73" s="99"/>
      <c r="T73" s="99"/>
      <c r="U73" s="97"/>
      <c r="V73" s="20" t="str">
        <f t="shared" si="29"/>
        <v/>
      </c>
      <c r="W73" s="20" t="str">
        <f t="shared" si="30"/>
        <v/>
      </c>
      <c r="X73" s="20" t="str">
        <f t="shared" si="31"/>
        <v/>
      </c>
      <c r="Y73" s="20" t="str">
        <f t="shared" si="32"/>
        <v/>
      </c>
      <c r="Z73" s="20" t="str">
        <f t="shared" si="33"/>
        <v/>
      </c>
      <c r="AA73" s="20" t="str">
        <f t="shared" si="34"/>
        <v/>
      </c>
      <c r="AB73" s="20" t="str">
        <f t="shared" si="35"/>
        <v/>
      </c>
      <c r="AC73" s="20" t="str">
        <f t="shared" si="36"/>
        <v/>
      </c>
      <c r="AD73" s="20" t="str">
        <f t="shared" si="37"/>
        <v/>
      </c>
      <c r="AE73" s="20" t="str">
        <f t="shared" si="38"/>
        <v/>
      </c>
      <c r="AF73" s="20" t="str">
        <f t="shared" si="39"/>
        <v/>
      </c>
      <c r="AG73" s="20" t="str">
        <f t="shared" si="40"/>
        <v/>
      </c>
      <c r="AH73" s="20" t="str">
        <f t="shared" si="41"/>
        <v/>
      </c>
      <c r="AI73" s="20" t="str">
        <f t="shared" si="42"/>
        <v/>
      </c>
      <c r="AJ73" s="20" t="str">
        <f t="shared" si="43"/>
        <v/>
      </c>
      <c r="AK73" s="20" t="str">
        <f t="shared" si="44"/>
        <v/>
      </c>
      <c r="AL73" s="20" t="str">
        <f t="shared" si="45"/>
        <v/>
      </c>
      <c r="AM73" s="20" t="str">
        <f t="shared" si="46"/>
        <v/>
      </c>
      <c r="AN73" s="20" t="str">
        <f t="shared" si="47"/>
        <v/>
      </c>
      <c r="AO73" s="20" t="str">
        <f t="shared" si="48"/>
        <v/>
      </c>
      <c r="AP73" s="20" t="str">
        <f t="shared" si="49"/>
        <v/>
      </c>
      <c r="AQ73" s="20" t="str">
        <f t="shared" si="50"/>
        <v/>
      </c>
      <c r="AR73" s="20" t="str">
        <f t="shared" si="51"/>
        <v/>
      </c>
      <c r="AS73" s="20" t="str">
        <f t="shared" si="52"/>
        <v/>
      </c>
      <c r="AT73" s="20" t="str">
        <f t="shared" si="53"/>
        <v/>
      </c>
      <c r="AU73" s="20" t="str">
        <f t="shared" si="54"/>
        <v/>
      </c>
      <c r="AV73" s="20" t="str">
        <f t="shared" si="55"/>
        <v/>
      </c>
      <c r="AW73" s="20" t="str">
        <f t="shared" si="56"/>
        <v/>
      </c>
      <c r="BD73" s="17" t="s">
        <v>204</v>
      </c>
      <c r="BE73" s="17" t="s">
        <v>828</v>
      </c>
      <c r="BF73" s="17" t="s">
        <v>281</v>
      </c>
      <c r="BG73" s="17" t="s">
        <v>596</v>
      </c>
      <c r="BH73" s="17" t="s">
        <v>147</v>
      </c>
      <c r="BI73" s="17" t="s">
        <v>886</v>
      </c>
      <c r="BK73" s="79" t="s">
        <v>683</v>
      </c>
      <c r="BL73" s="79" t="s">
        <v>683</v>
      </c>
      <c r="BM73" s="18" t="s">
        <v>335</v>
      </c>
      <c r="BN73" s="18" t="s">
        <v>280</v>
      </c>
      <c r="BO73" s="17" t="s">
        <v>74</v>
      </c>
      <c r="BP73" s="17" t="s">
        <v>74</v>
      </c>
      <c r="BQ73" s="17" t="s">
        <v>281</v>
      </c>
      <c r="BS73" s="22" t="s">
        <v>52</v>
      </c>
      <c r="BU73" s="17" t="s">
        <v>70</v>
      </c>
      <c r="BX73" s="17">
        <v>124</v>
      </c>
      <c r="BY73" s="17">
        <v>108049</v>
      </c>
      <c r="CB73" s="17" t="s">
        <v>83</v>
      </c>
      <c r="CC73" s="17" t="s">
        <v>568</v>
      </c>
      <c r="CD73" s="17" t="s">
        <v>578</v>
      </c>
      <c r="CE73" s="17" t="s">
        <v>111</v>
      </c>
      <c r="CF73" s="17" t="s">
        <v>1132</v>
      </c>
      <c r="CG73" s="17" t="s">
        <v>828</v>
      </c>
      <c r="CH73" s="17" t="s">
        <v>204</v>
      </c>
      <c r="CI73" s="26">
        <v>5278</v>
      </c>
      <c r="CJ73" s="23" t="b">
        <v>0</v>
      </c>
      <c r="CK73" s="23" t="b">
        <v>0</v>
      </c>
      <c r="CL73" s="23" t="b">
        <v>0</v>
      </c>
      <c r="CM73" s="23" t="b">
        <v>1</v>
      </c>
      <c r="CN73" s="23" t="b">
        <v>0</v>
      </c>
      <c r="CO73" s="23" t="s">
        <v>61</v>
      </c>
      <c r="CP73" s="49"/>
      <c r="CQ73" s="24" t="s">
        <v>302</v>
      </c>
      <c r="CR73" s="17" t="s">
        <v>57</v>
      </c>
      <c r="CT73" s="24" t="s">
        <v>302</v>
      </c>
      <c r="CU73" s="17" t="s">
        <v>58</v>
      </c>
      <c r="CW73" s="17" t="s">
        <v>297</v>
      </c>
      <c r="CX73" s="10" t="s">
        <v>136</v>
      </c>
      <c r="CY73" s="10"/>
      <c r="CZ73" s="24" t="s">
        <v>302</v>
      </c>
      <c r="DA73" s="24" t="s">
        <v>73</v>
      </c>
      <c r="DB73" s="10"/>
      <c r="DC73" s="24" t="s">
        <v>302</v>
      </c>
      <c r="DD73" s="17" t="s">
        <v>58</v>
      </c>
    </row>
    <row r="74" spans="1:118" ht="16.5" x14ac:dyDescent="0.25">
      <c r="A74" s="97"/>
      <c r="B74" s="97"/>
      <c r="C74" s="97"/>
      <c r="D74" s="97"/>
      <c r="E74" s="97"/>
      <c r="F74" s="97"/>
      <c r="G74" s="98"/>
      <c r="H74" s="97"/>
      <c r="I74" s="97"/>
      <c r="J74" s="97"/>
      <c r="K74" s="97"/>
      <c r="L74" s="97"/>
      <c r="M74" s="97"/>
      <c r="N74" s="97"/>
      <c r="O74" s="97"/>
      <c r="P74" s="97"/>
      <c r="Q74" s="100"/>
      <c r="R74" s="101"/>
      <c r="S74" s="99"/>
      <c r="T74" s="99"/>
      <c r="U74" s="97"/>
      <c r="V74" s="20" t="str">
        <f t="shared" si="29"/>
        <v/>
      </c>
      <c r="W74" s="20" t="str">
        <f t="shared" si="30"/>
        <v/>
      </c>
      <c r="X74" s="20" t="str">
        <f t="shared" si="31"/>
        <v/>
      </c>
      <c r="Y74" s="20" t="str">
        <f t="shared" si="32"/>
        <v/>
      </c>
      <c r="Z74" s="20" t="str">
        <f t="shared" si="33"/>
        <v/>
      </c>
      <c r="AA74" s="20" t="str">
        <f t="shared" si="34"/>
        <v/>
      </c>
      <c r="AB74" s="20" t="str">
        <f t="shared" si="35"/>
        <v/>
      </c>
      <c r="AC74" s="20" t="str">
        <f t="shared" si="36"/>
        <v/>
      </c>
      <c r="AD74" s="20" t="str">
        <f t="shared" si="37"/>
        <v/>
      </c>
      <c r="AE74" s="20" t="str">
        <f t="shared" si="38"/>
        <v/>
      </c>
      <c r="AF74" s="20" t="str">
        <f t="shared" si="39"/>
        <v/>
      </c>
      <c r="AG74" s="20" t="str">
        <f t="shared" si="40"/>
        <v/>
      </c>
      <c r="AH74" s="20" t="str">
        <f t="shared" si="41"/>
        <v/>
      </c>
      <c r="AI74" s="20" t="str">
        <f t="shared" si="42"/>
        <v/>
      </c>
      <c r="AJ74" s="20" t="str">
        <f t="shared" si="43"/>
        <v/>
      </c>
      <c r="AK74" s="20" t="str">
        <f t="shared" si="44"/>
        <v/>
      </c>
      <c r="AL74" s="20" t="str">
        <f t="shared" si="45"/>
        <v/>
      </c>
      <c r="AM74" s="20" t="str">
        <f t="shared" si="46"/>
        <v/>
      </c>
      <c r="AN74" s="20" t="str">
        <f t="shared" si="47"/>
        <v/>
      </c>
      <c r="AO74" s="20" t="str">
        <f t="shared" si="48"/>
        <v/>
      </c>
      <c r="AP74" s="20" t="str">
        <f t="shared" si="49"/>
        <v/>
      </c>
      <c r="AQ74" s="20" t="str">
        <f t="shared" si="50"/>
        <v/>
      </c>
      <c r="AR74" s="20" t="str">
        <f t="shared" si="51"/>
        <v/>
      </c>
      <c r="AS74" s="20" t="str">
        <f t="shared" si="52"/>
        <v/>
      </c>
      <c r="AT74" s="20" t="str">
        <f t="shared" si="53"/>
        <v/>
      </c>
      <c r="AU74" s="20" t="str">
        <f t="shared" si="54"/>
        <v/>
      </c>
      <c r="AV74" s="20" t="str">
        <f t="shared" si="55"/>
        <v/>
      </c>
      <c r="AW74" s="20" t="str">
        <f t="shared" si="56"/>
        <v/>
      </c>
      <c r="BD74" s="17" t="s">
        <v>204</v>
      </c>
      <c r="BE74" s="17" t="s">
        <v>828</v>
      </c>
      <c r="BF74" s="17" t="s">
        <v>281</v>
      </c>
      <c r="BG74" s="17" t="s">
        <v>596</v>
      </c>
      <c r="BH74" s="17" t="s">
        <v>92</v>
      </c>
      <c r="BI74" s="17" t="s">
        <v>887</v>
      </c>
      <c r="BJ74" s="94"/>
      <c r="BK74" s="80" t="s">
        <v>682</v>
      </c>
      <c r="BL74" s="80" t="s">
        <v>682</v>
      </c>
      <c r="BM74" s="18" t="s">
        <v>494</v>
      </c>
      <c r="BN74" s="18" t="s">
        <v>280</v>
      </c>
      <c r="BO74" s="17" t="s">
        <v>74</v>
      </c>
      <c r="BP74" s="17" t="s">
        <v>74</v>
      </c>
      <c r="BQ74" s="17" t="s">
        <v>281</v>
      </c>
      <c r="BR74" s="17" t="s">
        <v>1016</v>
      </c>
      <c r="BS74" s="22" t="s">
        <v>52</v>
      </c>
      <c r="BU74" s="17" t="s">
        <v>70</v>
      </c>
      <c r="BW74" s="94"/>
      <c r="BX74" s="17">
        <v>124</v>
      </c>
      <c r="BY74" s="17">
        <v>108049</v>
      </c>
      <c r="CA74" s="94"/>
      <c r="CB74" s="17" t="s">
        <v>83</v>
      </c>
      <c r="CC74" s="17" t="s">
        <v>568</v>
      </c>
      <c r="CD74" s="17" t="s">
        <v>578</v>
      </c>
      <c r="CE74" s="17" t="s">
        <v>111</v>
      </c>
      <c r="CF74" s="17" t="s">
        <v>1132</v>
      </c>
      <c r="CG74" s="17" t="s">
        <v>828</v>
      </c>
      <c r="CH74" s="17" t="s">
        <v>204</v>
      </c>
      <c r="CI74" s="26">
        <v>5278</v>
      </c>
      <c r="CJ74" s="23" t="b">
        <v>0</v>
      </c>
      <c r="CK74" s="23" t="b">
        <v>0</v>
      </c>
      <c r="CL74" s="23" t="b">
        <v>0</v>
      </c>
      <c r="CM74" s="23" t="b">
        <v>1</v>
      </c>
      <c r="CN74" s="23" t="b">
        <v>0</v>
      </c>
      <c r="CO74" s="23" t="s">
        <v>61</v>
      </c>
      <c r="CP74" s="49"/>
      <c r="CQ74" s="24" t="s">
        <v>303</v>
      </c>
      <c r="CR74" s="17" t="s">
        <v>57</v>
      </c>
      <c r="CT74" s="24" t="s">
        <v>303</v>
      </c>
      <c r="CU74" s="17" t="s">
        <v>83</v>
      </c>
      <c r="CW74" s="17" t="s">
        <v>241</v>
      </c>
      <c r="CX74" s="10" t="s">
        <v>144</v>
      </c>
      <c r="CY74" s="10"/>
      <c r="CZ74" s="24" t="s">
        <v>303</v>
      </c>
      <c r="DA74" s="24" t="s">
        <v>73</v>
      </c>
      <c r="DB74" s="10"/>
      <c r="DC74" s="24" t="s">
        <v>303</v>
      </c>
      <c r="DD74" s="17" t="s">
        <v>83</v>
      </c>
    </row>
    <row r="75" spans="1:118" ht="16.5" x14ac:dyDescent="0.25">
      <c r="A75" s="97"/>
      <c r="B75" s="97"/>
      <c r="C75" s="97"/>
      <c r="D75" s="97"/>
      <c r="E75" s="97"/>
      <c r="F75" s="97"/>
      <c r="G75" s="98"/>
      <c r="H75" s="97"/>
      <c r="I75" s="97"/>
      <c r="J75" s="97"/>
      <c r="K75" s="97"/>
      <c r="L75" s="97"/>
      <c r="M75" s="97"/>
      <c r="N75" s="97"/>
      <c r="O75" s="97"/>
      <c r="P75" s="97"/>
      <c r="Q75" s="100"/>
      <c r="R75" s="101"/>
      <c r="S75" s="99"/>
      <c r="T75" s="99"/>
      <c r="U75" s="97"/>
      <c r="V75" s="20" t="str">
        <f t="shared" si="29"/>
        <v/>
      </c>
      <c r="W75" s="20" t="str">
        <f t="shared" si="30"/>
        <v/>
      </c>
      <c r="X75" s="20" t="str">
        <f t="shared" si="31"/>
        <v/>
      </c>
      <c r="Y75" s="20" t="str">
        <f t="shared" si="32"/>
        <v/>
      </c>
      <c r="Z75" s="20" t="str">
        <f t="shared" si="33"/>
        <v/>
      </c>
      <c r="AA75" s="20" t="str">
        <f t="shared" si="34"/>
        <v/>
      </c>
      <c r="AB75" s="20" t="str">
        <f t="shared" si="35"/>
        <v/>
      </c>
      <c r="AC75" s="20" t="str">
        <f t="shared" si="36"/>
        <v/>
      </c>
      <c r="AD75" s="20" t="str">
        <f t="shared" si="37"/>
        <v/>
      </c>
      <c r="AE75" s="20" t="str">
        <f t="shared" si="38"/>
        <v/>
      </c>
      <c r="AF75" s="20" t="str">
        <f t="shared" si="39"/>
        <v/>
      </c>
      <c r="AG75" s="20" t="str">
        <f t="shared" si="40"/>
        <v/>
      </c>
      <c r="AH75" s="20" t="str">
        <f t="shared" si="41"/>
        <v/>
      </c>
      <c r="AI75" s="20" t="str">
        <f t="shared" si="42"/>
        <v/>
      </c>
      <c r="AJ75" s="20" t="str">
        <f t="shared" si="43"/>
        <v/>
      </c>
      <c r="AK75" s="20" t="str">
        <f t="shared" si="44"/>
        <v/>
      </c>
      <c r="AL75" s="20" t="str">
        <f t="shared" si="45"/>
        <v/>
      </c>
      <c r="AM75" s="20" t="str">
        <f t="shared" si="46"/>
        <v/>
      </c>
      <c r="AN75" s="20" t="str">
        <f t="shared" si="47"/>
        <v/>
      </c>
      <c r="AO75" s="20" t="str">
        <f t="shared" si="48"/>
        <v/>
      </c>
      <c r="AP75" s="20" t="str">
        <f t="shared" si="49"/>
        <v/>
      </c>
      <c r="AQ75" s="20" t="str">
        <f t="shared" si="50"/>
        <v/>
      </c>
      <c r="AR75" s="20" t="str">
        <f t="shared" si="51"/>
        <v/>
      </c>
      <c r="AS75" s="20" t="str">
        <f t="shared" si="52"/>
        <v/>
      </c>
      <c r="AT75" s="20" t="str">
        <f t="shared" si="53"/>
        <v/>
      </c>
      <c r="AU75" s="20" t="str">
        <f t="shared" si="54"/>
        <v/>
      </c>
      <c r="AV75" s="20" t="str">
        <f t="shared" si="55"/>
        <v/>
      </c>
      <c r="AW75" s="20" t="str">
        <f t="shared" si="56"/>
        <v/>
      </c>
      <c r="BD75" s="17" t="s">
        <v>204</v>
      </c>
      <c r="BE75" s="17" t="s">
        <v>828</v>
      </c>
      <c r="BF75" s="17" t="s">
        <v>281</v>
      </c>
      <c r="BG75" s="17" t="s">
        <v>127</v>
      </c>
      <c r="BH75" s="17" t="s">
        <v>58</v>
      </c>
      <c r="BI75" s="17" t="s">
        <v>888</v>
      </c>
      <c r="BJ75" s="94"/>
      <c r="BK75" s="18" t="s">
        <v>778</v>
      </c>
      <c r="BL75" s="18" t="s">
        <v>778</v>
      </c>
      <c r="BM75" s="18" t="s">
        <v>493</v>
      </c>
      <c r="BN75" s="18" t="s">
        <v>280</v>
      </c>
      <c r="BO75" s="17" t="s">
        <v>74</v>
      </c>
      <c r="BP75" s="17" t="s">
        <v>74</v>
      </c>
      <c r="BQ75" s="17" t="s">
        <v>281</v>
      </c>
      <c r="BR75" s="17" t="s">
        <v>1017</v>
      </c>
      <c r="BS75" s="22" t="s">
        <v>52</v>
      </c>
      <c r="BU75" s="17" t="s">
        <v>70</v>
      </c>
      <c r="BW75" s="94"/>
      <c r="BX75" s="17">
        <v>547</v>
      </c>
      <c r="BY75" s="17">
        <v>108049</v>
      </c>
      <c r="CA75" s="94"/>
      <c r="CB75" s="17" t="s">
        <v>58</v>
      </c>
      <c r="CC75" s="17" t="s">
        <v>568</v>
      </c>
      <c r="CD75" s="17" t="s">
        <v>578</v>
      </c>
      <c r="CE75" s="17" t="s">
        <v>111</v>
      </c>
      <c r="CF75" s="17" t="s">
        <v>1132</v>
      </c>
      <c r="CG75" s="17" t="s">
        <v>828</v>
      </c>
      <c r="CH75" s="17" t="s">
        <v>204</v>
      </c>
      <c r="CI75" s="26">
        <v>5278</v>
      </c>
      <c r="CJ75" s="23" t="b">
        <v>0</v>
      </c>
      <c r="CK75" s="23" t="b">
        <v>1</v>
      </c>
      <c r="CL75" s="23" t="b">
        <v>0</v>
      </c>
      <c r="CM75" s="23" t="b">
        <v>0</v>
      </c>
      <c r="CN75" s="23" t="b">
        <v>0</v>
      </c>
      <c r="CO75" s="23" t="s">
        <v>61</v>
      </c>
      <c r="CP75" s="49"/>
      <c r="CQ75" s="24" t="s">
        <v>122</v>
      </c>
      <c r="CR75" s="17" t="s">
        <v>57</v>
      </c>
      <c r="CT75" s="24" t="s">
        <v>122</v>
      </c>
      <c r="CU75" s="17" t="s">
        <v>58</v>
      </c>
      <c r="CW75" s="17" t="s">
        <v>251</v>
      </c>
      <c r="CX75" s="10" t="s">
        <v>144</v>
      </c>
      <c r="CY75" s="10"/>
      <c r="CZ75" s="24" t="s">
        <v>122</v>
      </c>
      <c r="DA75" s="24" t="s">
        <v>61</v>
      </c>
      <c r="DB75" s="10"/>
      <c r="DC75" s="24" t="s">
        <v>122</v>
      </c>
      <c r="DD75" s="17" t="s">
        <v>58</v>
      </c>
    </row>
    <row r="76" spans="1:118" ht="16.5" x14ac:dyDescent="0.25">
      <c r="A76" s="97"/>
      <c r="B76" s="97"/>
      <c r="C76" s="97"/>
      <c r="D76" s="97"/>
      <c r="E76" s="97"/>
      <c r="F76" s="97"/>
      <c r="G76" s="98"/>
      <c r="H76" s="97"/>
      <c r="I76" s="97"/>
      <c r="J76" s="97"/>
      <c r="K76" s="97"/>
      <c r="L76" s="97"/>
      <c r="M76" s="97"/>
      <c r="N76" s="97"/>
      <c r="O76" s="97"/>
      <c r="P76" s="97"/>
      <c r="Q76" s="100"/>
      <c r="R76" s="101"/>
      <c r="S76" s="99"/>
      <c r="T76" s="99"/>
      <c r="U76" s="97"/>
      <c r="V76" s="20" t="str">
        <f t="shared" si="29"/>
        <v/>
      </c>
      <c r="W76" s="20" t="str">
        <f t="shared" si="30"/>
        <v/>
      </c>
      <c r="X76" s="20" t="str">
        <f t="shared" si="31"/>
        <v/>
      </c>
      <c r="Y76" s="20" t="str">
        <f t="shared" si="32"/>
        <v/>
      </c>
      <c r="Z76" s="20" t="str">
        <f t="shared" si="33"/>
        <v/>
      </c>
      <c r="AA76" s="20" t="str">
        <f t="shared" si="34"/>
        <v/>
      </c>
      <c r="AB76" s="20" t="str">
        <f t="shared" si="35"/>
        <v/>
      </c>
      <c r="AC76" s="20" t="str">
        <f t="shared" si="36"/>
        <v/>
      </c>
      <c r="AD76" s="20" t="str">
        <f t="shared" si="37"/>
        <v/>
      </c>
      <c r="AE76" s="20" t="str">
        <f t="shared" si="38"/>
        <v/>
      </c>
      <c r="AF76" s="20" t="str">
        <f t="shared" si="39"/>
        <v/>
      </c>
      <c r="AG76" s="20" t="str">
        <f t="shared" si="40"/>
        <v/>
      </c>
      <c r="AH76" s="20" t="str">
        <f t="shared" si="41"/>
        <v/>
      </c>
      <c r="AI76" s="20" t="str">
        <f t="shared" si="42"/>
        <v/>
      </c>
      <c r="AJ76" s="20" t="str">
        <f t="shared" si="43"/>
        <v/>
      </c>
      <c r="AK76" s="20" t="str">
        <f t="shared" si="44"/>
        <v/>
      </c>
      <c r="AL76" s="20" t="str">
        <f t="shared" si="45"/>
        <v/>
      </c>
      <c r="AM76" s="20" t="str">
        <f t="shared" si="46"/>
        <v/>
      </c>
      <c r="AN76" s="20" t="str">
        <f t="shared" si="47"/>
        <v/>
      </c>
      <c r="AO76" s="20" t="str">
        <f t="shared" si="48"/>
        <v/>
      </c>
      <c r="AP76" s="20" t="str">
        <f t="shared" si="49"/>
        <v/>
      </c>
      <c r="AQ76" s="20" t="str">
        <f t="shared" si="50"/>
        <v/>
      </c>
      <c r="AR76" s="20" t="str">
        <f t="shared" si="51"/>
        <v/>
      </c>
      <c r="AS76" s="20" t="str">
        <f t="shared" si="52"/>
        <v/>
      </c>
      <c r="AT76" s="20" t="str">
        <f t="shared" si="53"/>
        <v/>
      </c>
      <c r="AU76" s="20" t="str">
        <f t="shared" si="54"/>
        <v/>
      </c>
      <c r="AV76" s="20" t="str">
        <f t="shared" si="55"/>
        <v/>
      </c>
      <c r="AW76" s="20" t="str">
        <f t="shared" si="56"/>
        <v/>
      </c>
      <c r="BD76" s="17" t="s">
        <v>204</v>
      </c>
      <c r="BE76" s="17" t="s">
        <v>828</v>
      </c>
      <c r="BF76" s="17" t="s">
        <v>281</v>
      </c>
      <c r="BG76" s="17" t="s">
        <v>150</v>
      </c>
      <c r="BH76" s="17" t="s">
        <v>58</v>
      </c>
      <c r="BI76" s="17" t="s">
        <v>889</v>
      </c>
      <c r="BJ76" s="94"/>
      <c r="BK76" s="80" t="s">
        <v>681</v>
      </c>
      <c r="BL76" s="80" t="s">
        <v>681</v>
      </c>
      <c r="BM76" s="18" t="s">
        <v>493</v>
      </c>
      <c r="BN76" s="18" t="s">
        <v>280</v>
      </c>
      <c r="BO76" s="17" t="s">
        <v>74</v>
      </c>
      <c r="BP76" s="17" t="s">
        <v>74</v>
      </c>
      <c r="BQ76" s="17" t="s">
        <v>281</v>
      </c>
      <c r="BR76" t="s">
        <v>1016</v>
      </c>
      <c r="BS76" s="22" t="s">
        <v>52</v>
      </c>
      <c r="BU76" s="17" t="s">
        <v>70</v>
      </c>
      <c r="BW76" s="94"/>
      <c r="BX76" s="17">
        <v>547</v>
      </c>
      <c r="BY76" s="17">
        <v>108049</v>
      </c>
      <c r="CA76" s="94"/>
      <c r="CB76" s="17" t="s">
        <v>58</v>
      </c>
      <c r="CC76" s="17" t="s">
        <v>568</v>
      </c>
      <c r="CD76" s="17" t="s">
        <v>578</v>
      </c>
      <c r="CE76" s="17" t="s">
        <v>111</v>
      </c>
      <c r="CF76" s="17" t="s">
        <v>1132</v>
      </c>
      <c r="CG76" s="17" t="s">
        <v>828</v>
      </c>
      <c r="CH76" s="17" t="s">
        <v>204</v>
      </c>
      <c r="CI76" s="26">
        <v>5278</v>
      </c>
      <c r="CJ76" s="23" t="b">
        <v>0</v>
      </c>
      <c r="CK76" s="23" t="b">
        <v>0</v>
      </c>
      <c r="CL76" s="23" t="b">
        <v>1</v>
      </c>
      <c r="CM76" s="23" t="b">
        <v>0</v>
      </c>
      <c r="CN76" s="23" t="b">
        <v>0</v>
      </c>
      <c r="CO76" s="23" t="s">
        <v>61</v>
      </c>
      <c r="CP76" s="49"/>
      <c r="CQ76" s="24" t="s">
        <v>131</v>
      </c>
      <c r="CR76" s="17" t="s">
        <v>57</v>
      </c>
      <c r="CT76" s="24" t="s">
        <v>131</v>
      </c>
      <c r="CU76" s="17" t="s">
        <v>83</v>
      </c>
      <c r="CW76" s="17" t="s">
        <v>234</v>
      </c>
      <c r="CX76" s="10" t="s">
        <v>144</v>
      </c>
      <c r="CY76" s="10"/>
      <c r="CZ76" s="24" t="s">
        <v>131</v>
      </c>
      <c r="DA76" s="24" t="s">
        <v>61</v>
      </c>
      <c r="DB76" s="10"/>
      <c r="DC76" s="24" t="s">
        <v>131</v>
      </c>
      <c r="DD76" s="17" t="s">
        <v>83</v>
      </c>
    </row>
    <row r="77" spans="1:118" ht="16.5" x14ac:dyDescent="0.25">
      <c r="A77" s="97"/>
      <c r="B77" s="97"/>
      <c r="C77" s="97"/>
      <c r="D77" s="97"/>
      <c r="E77" s="97"/>
      <c r="F77" s="97"/>
      <c r="G77" s="98"/>
      <c r="H77" s="97"/>
      <c r="I77" s="97"/>
      <c r="J77" s="97"/>
      <c r="K77" s="97"/>
      <c r="L77" s="97"/>
      <c r="M77" s="97"/>
      <c r="N77" s="97"/>
      <c r="O77" s="97"/>
      <c r="P77" s="97"/>
      <c r="Q77" s="100"/>
      <c r="R77" s="101"/>
      <c r="S77" s="99"/>
      <c r="T77" s="99"/>
      <c r="U77" s="97"/>
      <c r="V77" s="20" t="str">
        <f t="shared" si="29"/>
        <v/>
      </c>
      <c r="W77" s="20" t="str">
        <f t="shared" si="30"/>
        <v/>
      </c>
      <c r="X77" s="20" t="str">
        <f t="shared" si="31"/>
        <v/>
      </c>
      <c r="Y77" s="20" t="str">
        <f t="shared" si="32"/>
        <v/>
      </c>
      <c r="Z77" s="20" t="str">
        <f t="shared" si="33"/>
        <v/>
      </c>
      <c r="AA77" s="20" t="str">
        <f t="shared" si="34"/>
        <v/>
      </c>
      <c r="AB77" s="20" t="str">
        <f t="shared" si="35"/>
        <v/>
      </c>
      <c r="AC77" s="20" t="str">
        <f t="shared" si="36"/>
        <v/>
      </c>
      <c r="AD77" s="20" t="str">
        <f t="shared" si="37"/>
        <v/>
      </c>
      <c r="AE77" s="20" t="str">
        <f t="shared" si="38"/>
        <v/>
      </c>
      <c r="AF77" s="20" t="str">
        <f t="shared" si="39"/>
        <v/>
      </c>
      <c r="AG77" s="20" t="str">
        <f t="shared" si="40"/>
        <v/>
      </c>
      <c r="AH77" s="20" t="str">
        <f t="shared" si="41"/>
        <v/>
      </c>
      <c r="AI77" s="20" t="str">
        <f t="shared" si="42"/>
        <v/>
      </c>
      <c r="AJ77" s="20" t="str">
        <f t="shared" si="43"/>
        <v/>
      </c>
      <c r="AK77" s="20" t="str">
        <f t="shared" si="44"/>
        <v/>
      </c>
      <c r="AL77" s="20" t="str">
        <f t="shared" si="45"/>
        <v/>
      </c>
      <c r="AM77" s="20" t="str">
        <f t="shared" si="46"/>
        <v/>
      </c>
      <c r="AN77" s="20" t="str">
        <f t="shared" si="47"/>
        <v/>
      </c>
      <c r="AO77" s="20" t="str">
        <f t="shared" si="48"/>
        <v/>
      </c>
      <c r="AP77" s="20" t="str">
        <f t="shared" si="49"/>
        <v/>
      </c>
      <c r="AQ77" s="20" t="str">
        <f t="shared" si="50"/>
        <v/>
      </c>
      <c r="AR77" s="20" t="str">
        <f t="shared" si="51"/>
        <v/>
      </c>
      <c r="AS77" s="20" t="str">
        <f t="shared" si="52"/>
        <v/>
      </c>
      <c r="AT77" s="20" t="str">
        <f t="shared" si="53"/>
        <v/>
      </c>
      <c r="AU77" s="20" t="str">
        <f t="shared" si="54"/>
        <v/>
      </c>
      <c r="AV77" s="20" t="str">
        <f t="shared" si="55"/>
        <v/>
      </c>
      <c r="AW77" s="20" t="str">
        <f t="shared" si="56"/>
        <v/>
      </c>
      <c r="BD77" s="17" t="s">
        <v>204</v>
      </c>
      <c r="BE77" s="17" t="s">
        <v>828</v>
      </c>
      <c r="BF77" s="17" t="s">
        <v>281</v>
      </c>
      <c r="BG77" s="17" t="s">
        <v>595</v>
      </c>
      <c r="BH77" s="17" t="s">
        <v>58</v>
      </c>
      <c r="BI77" s="17" t="s">
        <v>890</v>
      </c>
      <c r="BK77" s="18" t="s">
        <v>777</v>
      </c>
      <c r="BL77" s="18" t="s">
        <v>777</v>
      </c>
      <c r="BM77" s="18" t="s">
        <v>493</v>
      </c>
      <c r="BN77" t="s">
        <v>280</v>
      </c>
      <c r="BO77" s="17" t="s">
        <v>74</v>
      </c>
      <c r="BP77" s="17" t="s">
        <v>74</v>
      </c>
      <c r="BQ77" s="17" t="s">
        <v>281</v>
      </c>
      <c r="BR77" s="17" t="s">
        <v>1018</v>
      </c>
      <c r="BS77" s="22" t="s">
        <v>715</v>
      </c>
      <c r="BU77" s="17" t="s">
        <v>70</v>
      </c>
      <c r="BX77" s="17">
        <v>547</v>
      </c>
      <c r="BY77" s="17">
        <v>108049</v>
      </c>
      <c r="CB77" s="17" t="s">
        <v>58</v>
      </c>
      <c r="CC77" s="17" t="s">
        <v>568</v>
      </c>
      <c r="CD77" s="17" t="s">
        <v>578</v>
      </c>
      <c r="CE77" s="17" t="s">
        <v>111</v>
      </c>
      <c r="CF77" s="17" t="s">
        <v>1132</v>
      </c>
      <c r="CG77" s="17" t="s">
        <v>828</v>
      </c>
      <c r="CH77" s="17" t="s">
        <v>204</v>
      </c>
      <c r="CI77" s="17">
        <v>5278</v>
      </c>
      <c r="CJ77" s="23" t="b">
        <v>1</v>
      </c>
      <c r="CK77" s="23" t="b">
        <v>0</v>
      </c>
      <c r="CL77" s="23" t="b">
        <v>0</v>
      </c>
      <c r="CM77" s="23" t="b">
        <v>0</v>
      </c>
      <c r="CN77" s="23" t="b">
        <v>0</v>
      </c>
      <c r="CO77" s="23" t="s">
        <v>61</v>
      </c>
      <c r="CP77" s="49"/>
      <c r="CQ77" s="24" t="s">
        <v>170</v>
      </c>
      <c r="CR77" s="17" t="s">
        <v>57</v>
      </c>
      <c r="CT77" s="24" t="s">
        <v>170</v>
      </c>
      <c r="CU77" s="17" t="s">
        <v>58</v>
      </c>
      <c r="CW77" s="17" t="s">
        <v>238</v>
      </c>
      <c r="CX77" s="10" t="s">
        <v>144</v>
      </c>
      <c r="CY77" s="10"/>
      <c r="CZ77" s="24" t="s">
        <v>170</v>
      </c>
      <c r="DA77" s="24" t="s">
        <v>61</v>
      </c>
      <c r="DB77" s="10"/>
      <c r="DC77" s="24" t="s">
        <v>170</v>
      </c>
      <c r="DD77" s="17" t="s">
        <v>58</v>
      </c>
    </row>
    <row r="78" spans="1:118" ht="16.5" x14ac:dyDescent="0.25">
      <c r="A78" s="97"/>
      <c r="B78" s="97"/>
      <c r="C78" s="97"/>
      <c r="D78" s="97"/>
      <c r="E78" s="97"/>
      <c r="F78" s="97"/>
      <c r="G78" s="98"/>
      <c r="H78" s="97"/>
      <c r="I78" s="97"/>
      <c r="J78" s="97"/>
      <c r="K78" s="97"/>
      <c r="L78" s="97"/>
      <c r="M78" s="97"/>
      <c r="N78" s="97"/>
      <c r="O78" s="97"/>
      <c r="P78" s="97"/>
      <c r="Q78" s="100"/>
      <c r="R78" s="101"/>
      <c r="S78" s="99"/>
      <c r="T78" s="99"/>
      <c r="U78" s="97"/>
      <c r="V78" s="20" t="str">
        <f t="shared" si="29"/>
        <v/>
      </c>
      <c r="W78" s="20" t="str">
        <f t="shared" si="30"/>
        <v/>
      </c>
      <c r="X78" s="20" t="str">
        <f t="shared" si="31"/>
        <v/>
      </c>
      <c r="Y78" s="20" t="str">
        <f t="shared" si="32"/>
        <v/>
      </c>
      <c r="Z78" s="20" t="str">
        <f t="shared" si="33"/>
        <v/>
      </c>
      <c r="AA78" s="20" t="str">
        <f t="shared" si="34"/>
        <v/>
      </c>
      <c r="AB78" s="20" t="str">
        <f t="shared" si="35"/>
        <v/>
      </c>
      <c r="AC78" s="20" t="str">
        <f t="shared" si="36"/>
        <v/>
      </c>
      <c r="AD78" s="20" t="str">
        <f t="shared" si="37"/>
        <v/>
      </c>
      <c r="AE78" s="20" t="str">
        <f t="shared" si="38"/>
        <v/>
      </c>
      <c r="AF78" s="20" t="str">
        <f t="shared" si="39"/>
        <v/>
      </c>
      <c r="AG78" s="20" t="str">
        <f t="shared" si="40"/>
        <v/>
      </c>
      <c r="AH78" s="20" t="str">
        <f t="shared" si="41"/>
        <v/>
      </c>
      <c r="AI78" s="20" t="str">
        <f t="shared" si="42"/>
        <v/>
      </c>
      <c r="AJ78" s="20" t="str">
        <f t="shared" si="43"/>
        <v/>
      </c>
      <c r="AK78" s="20" t="str">
        <f t="shared" si="44"/>
        <v/>
      </c>
      <c r="AL78" s="20" t="str">
        <f t="shared" si="45"/>
        <v/>
      </c>
      <c r="AM78" s="20" t="str">
        <f t="shared" si="46"/>
        <v/>
      </c>
      <c r="AN78" s="20" t="str">
        <f t="shared" si="47"/>
        <v/>
      </c>
      <c r="AO78" s="20" t="str">
        <f t="shared" si="48"/>
        <v/>
      </c>
      <c r="AP78" s="20" t="str">
        <f t="shared" si="49"/>
        <v/>
      </c>
      <c r="AQ78" s="20" t="str">
        <f t="shared" si="50"/>
        <v/>
      </c>
      <c r="AR78" s="20" t="str">
        <f t="shared" si="51"/>
        <v/>
      </c>
      <c r="AS78" s="20" t="str">
        <f t="shared" si="52"/>
        <v/>
      </c>
      <c r="AT78" s="20" t="str">
        <f t="shared" si="53"/>
        <v/>
      </c>
      <c r="AU78" s="20" t="str">
        <f t="shared" si="54"/>
        <v/>
      </c>
      <c r="AV78" s="20" t="str">
        <f t="shared" si="55"/>
        <v/>
      </c>
      <c r="AW78" s="20" t="str">
        <f t="shared" si="56"/>
        <v/>
      </c>
      <c r="BD78" s="17" t="s">
        <v>712</v>
      </c>
      <c r="BE78" s="17" t="s">
        <v>828</v>
      </c>
      <c r="BF78" s="17" t="s">
        <v>973</v>
      </c>
      <c r="BG78" s="17" t="s">
        <v>596</v>
      </c>
      <c r="BH78" s="17" t="s">
        <v>147</v>
      </c>
      <c r="BI78" s="78" t="str">
        <f t="shared" ref="BI78:BI80" si="57">BE78&amp;BD78&amp;BF78&amp;BG78&amp;BH78</f>
        <v>WMCOMiTelJAM_KINBackofficeReporting</v>
      </c>
      <c r="BK78" s="18" t="s">
        <v>719</v>
      </c>
      <c r="BL78" s="18" t="s">
        <v>719</v>
      </c>
      <c r="BM78" s="18" t="s">
        <v>723</v>
      </c>
      <c r="BN78" t="s">
        <v>735</v>
      </c>
      <c r="BO78" s="17" t="s">
        <v>184</v>
      </c>
      <c r="BP78" s="17" t="s">
        <v>636</v>
      </c>
      <c r="BQ78" s="17" t="s">
        <v>597</v>
      </c>
      <c r="BS78" s="22" t="s">
        <v>715</v>
      </c>
      <c r="BU78" s="17" t="s">
        <v>70</v>
      </c>
      <c r="BX78" s="17">
        <v>124</v>
      </c>
      <c r="BY78" s="17">
        <v>203581</v>
      </c>
      <c r="CB78" s="17" t="s">
        <v>83</v>
      </c>
      <c r="CC78" s="17" t="s">
        <v>572</v>
      </c>
      <c r="CD78" s="17" t="s">
        <v>583</v>
      </c>
      <c r="CE78" s="17" t="s">
        <v>98</v>
      </c>
      <c r="CF78" s="17" t="s">
        <v>1132</v>
      </c>
      <c r="CG78" s="17" t="s">
        <v>828</v>
      </c>
      <c r="CH78" s="17" t="s">
        <v>712</v>
      </c>
      <c r="CI78" s="17">
        <v>9999</v>
      </c>
      <c r="CJ78" s="23" t="b">
        <v>0</v>
      </c>
      <c r="CK78" s="23" t="b">
        <v>0</v>
      </c>
      <c r="CL78" s="23" t="b">
        <v>0</v>
      </c>
      <c r="CM78" s="23" t="b">
        <v>1</v>
      </c>
      <c r="CN78" s="23" t="b">
        <v>0</v>
      </c>
      <c r="CO78" s="23" t="s">
        <v>61</v>
      </c>
      <c r="CP78" s="49"/>
      <c r="CQ78" s="24" t="s">
        <v>165</v>
      </c>
      <c r="CR78" s="17" t="s">
        <v>57</v>
      </c>
      <c r="CT78" s="24" t="s">
        <v>165</v>
      </c>
      <c r="CU78" s="17" t="s">
        <v>83</v>
      </c>
      <c r="CW78" s="17" t="s">
        <v>290</v>
      </c>
      <c r="CX78" s="10" t="s">
        <v>144</v>
      </c>
      <c r="CY78" s="10"/>
      <c r="CZ78" s="24" t="s">
        <v>165</v>
      </c>
      <c r="DA78" s="24" t="s">
        <v>61</v>
      </c>
      <c r="DB78" s="10"/>
      <c r="DC78" s="24" t="s">
        <v>165</v>
      </c>
      <c r="DD78" s="17" t="s">
        <v>83</v>
      </c>
    </row>
    <row r="79" spans="1:118" ht="16.5" x14ac:dyDescent="0.25">
      <c r="A79" s="97"/>
      <c r="B79" s="97"/>
      <c r="C79" s="97"/>
      <c r="D79" s="97"/>
      <c r="E79" s="97"/>
      <c r="F79" s="97"/>
      <c r="G79" s="98"/>
      <c r="H79" s="97"/>
      <c r="I79" s="97"/>
      <c r="J79" s="97"/>
      <c r="K79" s="97"/>
      <c r="L79" s="97"/>
      <c r="M79" s="97"/>
      <c r="N79" s="97"/>
      <c r="O79" s="97"/>
      <c r="P79" s="97"/>
      <c r="Q79" s="100"/>
      <c r="R79" s="101"/>
      <c r="S79" s="99"/>
      <c r="T79" s="99"/>
      <c r="U79" s="97"/>
      <c r="V79" s="20" t="str">
        <f t="shared" si="29"/>
        <v/>
      </c>
      <c r="W79" s="20" t="str">
        <f t="shared" si="30"/>
        <v/>
      </c>
      <c r="X79" s="20" t="str">
        <f t="shared" si="31"/>
        <v/>
      </c>
      <c r="Y79" s="20" t="str">
        <f t="shared" si="32"/>
        <v/>
      </c>
      <c r="Z79" s="20" t="str">
        <f t="shared" si="33"/>
        <v/>
      </c>
      <c r="AA79" s="20" t="str">
        <f t="shared" si="34"/>
        <v/>
      </c>
      <c r="AB79" s="20" t="str">
        <f t="shared" si="35"/>
        <v/>
      </c>
      <c r="AC79" s="20" t="str">
        <f t="shared" si="36"/>
        <v/>
      </c>
      <c r="AD79" s="20" t="str">
        <f t="shared" si="37"/>
        <v/>
      </c>
      <c r="AE79" s="20" t="str">
        <f t="shared" si="38"/>
        <v/>
      </c>
      <c r="AF79" s="20" t="str">
        <f t="shared" si="39"/>
        <v/>
      </c>
      <c r="AG79" s="20" t="str">
        <f t="shared" si="40"/>
        <v/>
      </c>
      <c r="AH79" s="20" t="str">
        <f t="shared" si="41"/>
        <v/>
      </c>
      <c r="AI79" s="20" t="str">
        <f t="shared" si="42"/>
        <v/>
      </c>
      <c r="AJ79" s="20" t="str">
        <f t="shared" si="43"/>
        <v/>
      </c>
      <c r="AK79" s="20" t="str">
        <f t="shared" si="44"/>
        <v/>
      </c>
      <c r="AL79" s="20" t="str">
        <f t="shared" si="45"/>
        <v/>
      </c>
      <c r="AM79" s="20" t="str">
        <f t="shared" si="46"/>
        <v/>
      </c>
      <c r="AN79" s="20" t="str">
        <f t="shared" si="47"/>
        <v/>
      </c>
      <c r="AO79" s="20" t="str">
        <f t="shared" si="48"/>
        <v/>
      </c>
      <c r="AP79" s="20" t="str">
        <f t="shared" si="49"/>
        <v/>
      </c>
      <c r="AQ79" s="20" t="str">
        <f t="shared" si="50"/>
        <v/>
      </c>
      <c r="AR79" s="20" t="str">
        <f t="shared" si="51"/>
        <v/>
      </c>
      <c r="AS79" s="20" t="str">
        <f t="shared" si="52"/>
        <v/>
      </c>
      <c r="AT79" s="20" t="str">
        <f t="shared" si="53"/>
        <v/>
      </c>
      <c r="AU79" s="20" t="str">
        <f t="shared" si="54"/>
        <v/>
      </c>
      <c r="AV79" s="20" t="str">
        <f t="shared" si="55"/>
        <v/>
      </c>
      <c r="AW79" s="20" t="str">
        <f t="shared" si="56"/>
        <v/>
      </c>
      <c r="BD79" s="17" t="s">
        <v>712</v>
      </c>
      <c r="BE79" s="17" t="s">
        <v>828</v>
      </c>
      <c r="BF79" s="17" t="s">
        <v>973</v>
      </c>
      <c r="BG79" s="17" t="s">
        <v>596</v>
      </c>
      <c r="BH79" s="17" t="s">
        <v>92</v>
      </c>
      <c r="BI79" s="78" t="str">
        <f t="shared" si="57"/>
        <v>WMCOMiTelJAM_KINBackofficeSupervisor/Team Lead</v>
      </c>
      <c r="BK79" s="18" t="s">
        <v>716</v>
      </c>
      <c r="BL79" s="18" t="s">
        <v>716</v>
      </c>
      <c r="BM79" s="18" t="s">
        <v>721</v>
      </c>
      <c r="BN79" t="s">
        <v>735</v>
      </c>
      <c r="BO79" s="17" t="s">
        <v>184</v>
      </c>
      <c r="BP79" s="17" t="s">
        <v>636</v>
      </c>
      <c r="BQ79" s="17" t="s">
        <v>597</v>
      </c>
      <c r="BR79" s="17" t="s">
        <v>1019</v>
      </c>
      <c r="BS79" s="22" t="s">
        <v>715</v>
      </c>
      <c r="BU79" s="17" t="s">
        <v>70</v>
      </c>
      <c r="BX79" s="17">
        <v>124</v>
      </c>
      <c r="BY79" s="17">
        <v>203581</v>
      </c>
      <c r="CB79" s="17" t="s">
        <v>83</v>
      </c>
      <c r="CC79" s="17" t="s">
        <v>572</v>
      </c>
      <c r="CD79" s="17" t="s">
        <v>583</v>
      </c>
      <c r="CE79" s="17" t="s">
        <v>98</v>
      </c>
      <c r="CF79" s="17" t="s">
        <v>1132</v>
      </c>
      <c r="CG79" s="17" t="s">
        <v>828</v>
      </c>
      <c r="CH79" s="17" t="s">
        <v>712</v>
      </c>
      <c r="CI79" s="17">
        <v>9999</v>
      </c>
      <c r="CJ79" s="17" t="b">
        <v>0</v>
      </c>
      <c r="CK79" s="23" t="b">
        <v>0</v>
      </c>
      <c r="CL79" s="23" t="b">
        <v>0</v>
      </c>
      <c r="CM79" s="23" t="b">
        <v>1</v>
      </c>
      <c r="CN79" s="23" t="b">
        <v>0</v>
      </c>
      <c r="CO79" s="23" t="s">
        <v>61</v>
      </c>
      <c r="CP79" s="49"/>
      <c r="CQ79" s="24" t="s">
        <v>306</v>
      </c>
      <c r="CR79" s="17" t="s">
        <v>57</v>
      </c>
      <c r="CT79" s="24" t="s">
        <v>306</v>
      </c>
      <c r="CU79" s="17" t="s">
        <v>58</v>
      </c>
      <c r="CW79" s="24" t="s">
        <v>291</v>
      </c>
      <c r="CX79" s="10" t="s">
        <v>144</v>
      </c>
      <c r="CY79" s="10"/>
      <c r="CZ79" s="24" t="s">
        <v>306</v>
      </c>
      <c r="DA79" s="24" t="s">
        <v>73</v>
      </c>
      <c r="DB79" s="10"/>
      <c r="DC79" s="24" t="s">
        <v>306</v>
      </c>
      <c r="DD79" s="17" t="s">
        <v>58</v>
      </c>
    </row>
    <row r="80" spans="1:118" ht="16.5" x14ac:dyDescent="0.25">
      <c r="A80" s="97"/>
      <c r="B80" s="97"/>
      <c r="C80" s="97"/>
      <c r="D80" s="97"/>
      <c r="E80" s="97"/>
      <c r="F80" s="97"/>
      <c r="G80" s="98"/>
      <c r="H80" s="97"/>
      <c r="I80" s="97"/>
      <c r="J80" s="97"/>
      <c r="K80" s="97"/>
      <c r="L80" s="97"/>
      <c r="M80" s="97"/>
      <c r="N80" s="97"/>
      <c r="O80" s="97"/>
      <c r="P80" s="97"/>
      <c r="Q80" s="100"/>
      <c r="R80" s="101"/>
      <c r="S80" s="99"/>
      <c r="T80" s="99"/>
      <c r="U80" s="97"/>
      <c r="V80" s="20" t="str">
        <f t="shared" si="29"/>
        <v/>
      </c>
      <c r="W80" s="20" t="str">
        <f t="shared" si="30"/>
        <v/>
      </c>
      <c r="X80" s="20" t="str">
        <f t="shared" si="31"/>
        <v/>
      </c>
      <c r="Y80" s="20" t="str">
        <f t="shared" si="32"/>
        <v/>
      </c>
      <c r="Z80" s="20" t="str">
        <f t="shared" si="33"/>
        <v/>
      </c>
      <c r="AA80" s="20" t="str">
        <f t="shared" si="34"/>
        <v/>
      </c>
      <c r="AB80" s="20" t="str">
        <f t="shared" si="35"/>
        <v/>
      </c>
      <c r="AC80" s="20" t="str">
        <f t="shared" si="36"/>
        <v/>
      </c>
      <c r="AD80" s="20" t="str">
        <f t="shared" si="37"/>
        <v/>
      </c>
      <c r="AE80" s="20" t="str">
        <f t="shared" si="38"/>
        <v/>
      </c>
      <c r="AF80" s="20" t="str">
        <f t="shared" si="39"/>
        <v/>
      </c>
      <c r="AG80" s="20" t="str">
        <f t="shared" si="40"/>
        <v/>
      </c>
      <c r="AH80" s="20" t="str">
        <f t="shared" si="41"/>
        <v/>
      </c>
      <c r="AI80" s="20" t="str">
        <f t="shared" si="42"/>
        <v/>
      </c>
      <c r="AJ80" s="20" t="str">
        <f t="shared" si="43"/>
        <v/>
      </c>
      <c r="AK80" s="20" t="str">
        <f t="shared" si="44"/>
        <v/>
      </c>
      <c r="AL80" s="20" t="str">
        <f t="shared" si="45"/>
        <v/>
      </c>
      <c r="AM80" s="20" t="str">
        <f t="shared" si="46"/>
        <v/>
      </c>
      <c r="AN80" s="20" t="str">
        <f t="shared" si="47"/>
        <v/>
      </c>
      <c r="AO80" s="20" t="str">
        <f t="shared" si="48"/>
        <v/>
      </c>
      <c r="AP80" s="20" t="str">
        <f t="shared" si="49"/>
        <v/>
      </c>
      <c r="AQ80" s="20" t="str">
        <f t="shared" si="50"/>
        <v/>
      </c>
      <c r="AR80" s="20" t="str">
        <f t="shared" si="51"/>
        <v/>
      </c>
      <c r="AS80" s="20" t="str">
        <f t="shared" si="52"/>
        <v/>
      </c>
      <c r="AT80" s="20" t="str">
        <f t="shared" si="53"/>
        <v/>
      </c>
      <c r="AU80" s="20" t="str">
        <f t="shared" si="54"/>
        <v/>
      </c>
      <c r="AV80" s="20" t="str">
        <f t="shared" si="55"/>
        <v/>
      </c>
      <c r="AW80" s="20" t="str">
        <f t="shared" si="56"/>
        <v/>
      </c>
      <c r="BD80" s="17" t="s">
        <v>712</v>
      </c>
      <c r="BE80" s="17" t="s">
        <v>828</v>
      </c>
      <c r="BF80" s="17" t="s">
        <v>973</v>
      </c>
      <c r="BG80" s="17" t="s">
        <v>595</v>
      </c>
      <c r="BH80" s="17" t="s">
        <v>58</v>
      </c>
      <c r="BI80" s="78" t="str">
        <f t="shared" si="57"/>
        <v>WMCOMiTelJAM_KINPhoneAgent</v>
      </c>
      <c r="BK80" s="18" t="s">
        <v>725</v>
      </c>
      <c r="BL80" s="18" t="s">
        <v>725</v>
      </c>
      <c r="BM80" s="18" t="s">
        <v>722</v>
      </c>
      <c r="BN80" t="s">
        <v>735</v>
      </c>
      <c r="BO80" s="17" t="s">
        <v>184</v>
      </c>
      <c r="BP80" s="17" t="s">
        <v>636</v>
      </c>
      <c r="BQ80" s="17" t="s">
        <v>597</v>
      </c>
      <c r="BR80" s="17" t="s">
        <v>1019</v>
      </c>
      <c r="BS80" s="22" t="s">
        <v>715</v>
      </c>
      <c r="BU80" s="17" t="s">
        <v>70</v>
      </c>
      <c r="BX80" s="17">
        <v>820</v>
      </c>
      <c r="BY80" s="17">
        <v>203581</v>
      </c>
      <c r="CB80" s="17" t="s">
        <v>58</v>
      </c>
      <c r="CC80" s="17" t="s">
        <v>572</v>
      </c>
      <c r="CD80" s="17" t="s">
        <v>583</v>
      </c>
      <c r="CE80" s="17" t="s">
        <v>98</v>
      </c>
      <c r="CF80" s="17" t="s">
        <v>1132</v>
      </c>
      <c r="CG80" s="17" t="s">
        <v>828</v>
      </c>
      <c r="CH80" s="17" t="s">
        <v>712</v>
      </c>
      <c r="CI80" s="17">
        <v>9999</v>
      </c>
      <c r="CJ80" s="23" t="b">
        <v>1</v>
      </c>
      <c r="CK80" s="23" t="b">
        <v>0</v>
      </c>
      <c r="CL80" s="23" t="b">
        <v>0</v>
      </c>
      <c r="CM80" s="23" t="b">
        <v>0</v>
      </c>
      <c r="CN80" s="23" t="b">
        <v>0</v>
      </c>
      <c r="CO80" s="23" t="s">
        <v>61</v>
      </c>
      <c r="CP80" s="49"/>
      <c r="CQ80" s="24" t="s">
        <v>307</v>
      </c>
      <c r="CR80" s="17" t="s">
        <v>57</v>
      </c>
      <c r="CT80" s="24" t="s">
        <v>307</v>
      </c>
      <c r="CU80" s="17" t="s">
        <v>83</v>
      </c>
      <c r="CW80" s="24" t="s">
        <v>296</v>
      </c>
      <c r="CX80" s="10" t="s">
        <v>136</v>
      </c>
      <c r="CY80" s="10"/>
      <c r="CZ80" s="24" t="s">
        <v>307</v>
      </c>
      <c r="DA80" s="24" t="s">
        <v>73</v>
      </c>
      <c r="DB80" s="10"/>
      <c r="DC80" s="24" t="s">
        <v>307</v>
      </c>
      <c r="DD80" s="17" t="s">
        <v>83</v>
      </c>
    </row>
    <row r="81" spans="1:108" ht="16.5" x14ac:dyDescent="0.25">
      <c r="A81" s="97"/>
      <c r="B81" s="97"/>
      <c r="C81" s="97"/>
      <c r="D81" s="97"/>
      <c r="E81" s="97"/>
      <c r="F81" s="97"/>
      <c r="G81" s="98"/>
      <c r="H81" s="97"/>
      <c r="I81" s="97"/>
      <c r="J81" s="97"/>
      <c r="K81" s="97"/>
      <c r="L81" s="97"/>
      <c r="M81" s="97"/>
      <c r="N81" s="97"/>
      <c r="O81" s="97"/>
      <c r="P81" s="97"/>
      <c r="Q81" s="100"/>
      <c r="R81" s="101"/>
      <c r="S81" s="99"/>
      <c r="T81" s="99"/>
      <c r="U81" s="97"/>
      <c r="V81" s="20" t="str">
        <f t="shared" si="29"/>
        <v/>
      </c>
      <c r="W81" s="20" t="str">
        <f t="shared" si="30"/>
        <v/>
      </c>
      <c r="X81" s="20" t="str">
        <f t="shared" si="31"/>
        <v/>
      </c>
      <c r="Y81" s="20" t="str">
        <f t="shared" si="32"/>
        <v/>
      </c>
      <c r="Z81" s="20" t="str">
        <f t="shared" si="33"/>
        <v/>
      </c>
      <c r="AA81" s="20" t="str">
        <f t="shared" si="34"/>
        <v/>
      </c>
      <c r="AB81" s="20" t="str">
        <f t="shared" si="35"/>
        <v/>
      </c>
      <c r="AC81" s="20" t="str">
        <f t="shared" si="36"/>
        <v/>
      </c>
      <c r="AD81" s="20" t="str">
        <f t="shared" si="37"/>
        <v/>
      </c>
      <c r="AE81" s="20" t="str">
        <f t="shared" si="38"/>
        <v/>
      </c>
      <c r="AF81" s="20" t="str">
        <f t="shared" si="39"/>
        <v/>
      </c>
      <c r="AG81" s="20" t="str">
        <f t="shared" si="40"/>
        <v/>
      </c>
      <c r="AH81" s="20" t="str">
        <f t="shared" si="41"/>
        <v/>
      </c>
      <c r="AI81" s="20" t="str">
        <f t="shared" si="42"/>
        <v/>
      </c>
      <c r="AJ81" s="20" t="str">
        <f t="shared" si="43"/>
        <v/>
      </c>
      <c r="AK81" s="20" t="str">
        <f t="shared" si="44"/>
        <v/>
      </c>
      <c r="AL81" s="20" t="str">
        <f t="shared" si="45"/>
        <v/>
      </c>
      <c r="AM81" s="20" t="str">
        <f t="shared" si="46"/>
        <v/>
      </c>
      <c r="AN81" s="20" t="str">
        <f t="shared" si="47"/>
        <v/>
      </c>
      <c r="AO81" s="20" t="str">
        <f t="shared" si="48"/>
        <v/>
      </c>
      <c r="AP81" s="20" t="str">
        <f t="shared" si="49"/>
        <v/>
      </c>
      <c r="AQ81" s="20" t="str">
        <f t="shared" si="50"/>
        <v/>
      </c>
      <c r="AR81" s="20" t="str">
        <f t="shared" si="51"/>
        <v/>
      </c>
      <c r="AS81" s="20" t="str">
        <f t="shared" si="52"/>
        <v/>
      </c>
      <c r="AT81" s="20" t="str">
        <f t="shared" si="53"/>
        <v/>
      </c>
      <c r="AU81" s="20" t="str">
        <f t="shared" si="54"/>
        <v/>
      </c>
      <c r="AV81" s="20" t="str">
        <f t="shared" si="55"/>
        <v/>
      </c>
      <c r="AW81" s="20" t="str">
        <f t="shared" si="56"/>
        <v/>
      </c>
      <c r="BD81" s="17" t="s">
        <v>712</v>
      </c>
      <c r="BE81" s="17" t="s">
        <v>828</v>
      </c>
      <c r="BF81" s="17" t="s">
        <v>713</v>
      </c>
      <c r="BG81" s="17" t="s">
        <v>596</v>
      </c>
      <c r="BH81" s="17" t="s">
        <v>147</v>
      </c>
      <c r="BI81" s="17" t="s">
        <v>891</v>
      </c>
      <c r="BK81" s="18" t="s">
        <v>718</v>
      </c>
      <c r="BL81" s="18" t="s">
        <v>718</v>
      </c>
      <c r="BM81" s="18" t="s">
        <v>723</v>
      </c>
      <c r="BN81" t="s">
        <v>736</v>
      </c>
      <c r="BO81" s="17" t="s">
        <v>120</v>
      </c>
      <c r="BP81" s="17" t="s">
        <v>636</v>
      </c>
      <c r="BQ81" s="17" t="s">
        <v>713</v>
      </c>
      <c r="BS81" s="22" t="s">
        <v>715</v>
      </c>
      <c r="BU81" s="17" t="s">
        <v>70</v>
      </c>
      <c r="BX81" s="17">
        <v>124</v>
      </c>
      <c r="BY81" s="17">
        <v>203582</v>
      </c>
      <c r="CB81" s="17" t="s">
        <v>83</v>
      </c>
      <c r="CC81" s="17" t="s">
        <v>574</v>
      </c>
      <c r="CD81" s="17" t="s">
        <v>714</v>
      </c>
      <c r="CE81" s="17" t="s">
        <v>98</v>
      </c>
      <c r="CF81" s="17" t="s">
        <v>1132</v>
      </c>
      <c r="CG81" s="17" t="s">
        <v>828</v>
      </c>
      <c r="CH81" s="17" t="s">
        <v>712</v>
      </c>
      <c r="CI81" s="17">
        <v>9999</v>
      </c>
      <c r="CJ81" s="23" t="b">
        <v>0</v>
      </c>
      <c r="CK81" s="23" t="b">
        <v>0</v>
      </c>
      <c r="CL81" s="23" t="b">
        <v>0</v>
      </c>
      <c r="CM81" s="23" t="b">
        <v>1</v>
      </c>
      <c r="CN81" s="23" t="b">
        <v>0</v>
      </c>
      <c r="CO81" s="23" t="s">
        <v>61</v>
      </c>
      <c r="CP81" s="49"/>
      <c r="CQ81" s="24" t="s">
        <v>225</v>
      </c>
      <c r="CR81" s="17" t="s">
        <v>57</v>
      </c>
      <c r="CT81" s="24" t="s">
        <v>225</v>
      </c>
      <c r="CU81" s="17" t="s">
        <v>58</v>
      </c>
      <c r="CW81" s="24" t="s">
        <v>293</v>
      </c>
      <c r="CX81" s="10" t="s">
        <v>136</v>
      </c>
      <c r="CY81" s="10"/>
      <c r="CZ81" s="24" t="s">
        <v>225</v>
      </c>
      <c r="DA81" s="24" t="s">
        <v>61</v>
      </c>
      <c r="DB81" s="10"/>
      <c r="DC81" s="24" t="s">
        <v>225</v>
      </c>
      <c r="DD81" s="17" t="s">
        <v>58</v>
      </c>
    </row>
    <row r="82" spans="1:108" ht="16.5" x14ac:dyDescent="0.25">
      <c r="A82" s="97"/>
      <c r="B82" s="97"/>
      <c r="C82" s="97"/>
      <c r="D82" s="97"/>
      <c r="E82" s="97"/>
      <c r="F82" s="97"/>
      <c r="G82" s="98"/>
      <c r="H82" s="97"/>
      <c r="I82" s="97"/>
      <c r="J82" s="97"/>
      <c r="K82" s="97"/>
      <c r="L82" s="97"/>
      <c r="M82" s="97"/>
      <c r="N82" s="97"/>
      <c r="O82" s="97"/>
      <c r="P82" s="97"/>
      <c r="Q82" s="100"/>
      <c r="R82" s="101"/>
      <c r="S82" s="99"/>
      <c r="T82" s="99"/>
      <c r="U82" s="97"/>
      <c r="V82" s="20" t="str">
        <f t="shared" si="29"/>
        <v/>
      </c>
      <c r="W82" s="20" t="str">
        <f t="shared" si="30"/>
        <v/>
      </c>
      <c r="X82" s="20" t="str">
        <f t="shared" si="31"/>
        <v/>
      </c>
      <c r="Y82" s="20" t="str">
        <f t="shared" si="32"/>
        <v/>
      </c>
      <c r="Z82" s="20" t="str">
        <f t="shared" si="33"/>
        <v/>
      </c>
      <c r="AA82" s="20" t="str">
        <f t="shared" si="34"/>
        <v/>
      </c>
      <c r="AB82" s="20" t="str">
        <f t="shared" si="35"/>
        <v/>
      </c>
      <c r="AC82" s="20" t="str">
        <f t="shared" si="36"/>
        <v/>
      </c>
      <c r="AD82" s="20" t="str">
        <f t="shared" si="37"/>
        <v/>
      </c>
      <c r="AE82" s="20" t="str">
        <f t="shared" si="38"/>
        <v/>
      </c>
      <c r="AF82" s="20" t="str">
        <f t="shared" si="39"/>
        <v/>
      </c>
      <c r="AG82" s="20" t="str">
        <f t="shared" si="40"/>
        <v/>
      </c>
      <c r="AH82" s="20" t="str">
        <f t="shared" si="41"/>
        <v/>
      </c>
      <c r="AI82" s="20" t="str">
        <f t="shared" si="42"/>
        <v/>
      </c>
      <c r="AJ82" s="20" t="str">
        <f t="shared" si="43"/>
        <v/>
      </c>
      <c r="AK82" s="20" t="str">
        <f t="shared" si="44"/>
        <v/>
      </c>
      <c r="AL82" s="20" t="str">
        <f t="shared" si="45"/>
        <v/>
      </c>
      <c r="AM82" s="20" t="str">
        <f t="shared" si="46"/>
        <v/>
      </c>
      <c r="AN82" s="20" t="str">
        <f t="shared" si="47"/>
        <v/>
      </c>
      <c r="AO82" s="20" t="str">
        <f t="shared" si="48"/>
        <v/>
      </c>
      <c r="AP82" s="20" t="str">
        <f t="shared" si="49"/>
        <v/>
      </c>
      <c r="AQ82" s="20" t="str">
        <f t="shared" si="50"/>
        <v/>
      </c>
      <c r="AR82" s="20" t="str">
        <f t="shared" si="51"/>
        <v/>
      </c>
      <c r="AS82" s="20" t="str">
        <f t="shared" si="52"/>
        <v/>
      </c>
      <c r="AT82" s="20" t="str">
        <f t="shared" si="53"/>
        <v/>
      </c>
      <c r="AU82" s="20" t="str">
        <f t="shared" si="54"/>
        <v/>
      </c>
      <c r="AV82" s="20" t="str">
        <f t="shared" si="55"/>
        <v/>
      </c>
      <c r="AW82" s="20" t="str">
        <f t="shared" si="56"/>
        <v/>
      </c>
      <c r="BD82" s="17" t="s">
        <v>712</v>
      </c>
      <c r="BE82" s="17" t="s">
        <v>828</v>
      </c>
      <c r="BF82" s="17" t="s">
        <v>713</v>
      </c>
      <c r="BG82" s="17" t="s">
        <v>596</v>
      </c>
      <c r="BH82" s="17" t="s">
        <v>92</v>
      </c>
      <c r="BI82" s="17" t="s">
        <v>892</v>
      </c>
      <c r="BK82" s="18" t="s">
        <v>717</v>
      </c>
      <c r="BL82" s="18" t="s">
        <v>717</v>
      </c>
      <c r="BM82" s="18" t="s">
        <v>721</v>
      </c>
      <c r="BN82" t="s">
        <v>736</v>
      </c>
      <c r="BO82" s="17" t="s">
        <v>120</v>
      </c>
      <c r="BP82" s="17" t="s">
        <v>636</v>
      </c>
      <c r="BQ82" s="17" t="s">
        <v>713</v>
      </c>
      <c r="BR82" s="17" t="s">
        <v>1020</v>
      </c>
      <c r="BS82" s="22" t="s">
        <v>715</v>
      </c>
      <c r="BU82" s="17" t="s">
        <v>70</v>
      </c>
      <c r="BX82" s="17">
        <v>124</v>
      </c>
      <c r="BY82" s="17">
        <v>203582</v>
      </c>
      <c r="CB82" s="17" t="s">
        <v>83</v>
      </c>
      <c r="CC82" s="17" t="s">
        <v>574</v>
      </c>
      <c r="CD82" s="17" t="s">
        <v>714</v>
      </c>
      <c r="CE82" s="17" t="s">
        <v>98</v>
      </c>
      <c r="CF82" s="17" t="s">
        <v>1132</v>
      </c>
      <c r="CG82" s="17" t="s">
        <v>828</v>
      </c>
      <c r="CH82" s="17" t="s">
        <v>712</v>
      </c>
      <c r="CI82" s="17">
        <v>9999</v>
      </c>
      <c r="CJ82" s="17" t="b">
        <v>0</v>
      </c>
      <c r="CK82" s="23" t="b">
        <v>0</v>
      </c>
      <c r="CL82" s="23" t="b">
        <v>0</v>
      </c>
      <c r="CM82" s="23" t="b">
        <v>1</v>
      </c>
      <c r="CN82" s="23" t="b">
        <v>0</v>
      </c>
      <c r="CO82" s="23" t="s">
        <v>61</v>
      </c>
      <c r="CP82" s="50"/>
      <c r="CQ82" s="24" t="s">
        <v>229</v>
      </c>
      <c r="CR82" s="17" t="s">
        <v>57</v>
      </c>
      <c r="CT82" s="24" t="s">
        <v>229</v>
      </c>
      <c r="CU82" s="17" t="s">
        <v>83</v>
      </c>
      <c r="CW82" s="24" t="s">
        <v>295</v>
      </c>
      <c r="CX82" s="10" t="s">
        <v>136</v>
      </c>
      <c r="CY82" s="10"/>
      <c r="CZ82" s="24" t="s">
        <v>229</v>
      </c>
      <c r="DA82" s="24" t="s">
        <v>61</v>
      </c>
      <c r="DB82" s="10"/>
      <c r="DC82" s="24" t="s">
        <v>229</v>
      </c>
      <c r="DD82" s="17" t="s">
        <v>83</v>
      </c>
    </row>
    <row r="83" spans="1:108" ht="16.5" x14ac:dyDescent="0.3">
      <c r="A83" s="97"/>
      <c r="B83" s="97"/>
      <c r="C83" s="97"/>
      <c r="D83" s="97"/>
      <c r="E83" s="97"/>
      <c r="F83" s="97"/>
      <c r="G83" s="98"/>
      <c r="H83" s="97"/>
      <c r="I83" s="97"/>
      <c r="J83" s="97"/>
      <c r="K83" s="97"/>
      <c r="L83" s="97"/>
      <c r="M83" s="97"/>
      <c r="N83" s="97"/>
      <c r="O83" s="97"/>
      <c r="P83" s="97"/>
      <c r="Q83" s="100"/>
      <c r="R83" s="101"/>
      <c r="S83" s="99"/>
      <c r="T83" s="99"/>
      <c r="U83" s="97"/>
      <c r="V83" s="20" t="str">
        <f t="shared" si="29"/>
        <v/>
      </c>
      <c r="W83" s="20" t="str">
        <f t="shared" si="30"/>
        <v/>
      </c>
      <c r="X83" s="20" t="str">
        <f t="shared" si="31"/>
        <v/>
      </c>
      <c r="Y83" s="20" t="str">
        <f t="shared" si="32"/>
        <v/>
      </c>
      <c r="Z83" s="20" t="str">
        <f t="shared" si="33"/>
        <v/>
      </c>
      <c r="AA83" s="20" t="str">
        <f t="shared" si="34"/>
        <v/>
      </c>
      <c r="AB83" s="20" t="str">
        <f t="shared" si="35"/>
        <v/>
      </c>
      <c r="AC83" s="20" t="str">
        <f t="shared" si="36"/>
        <v/>
      </c>
      <c r="AD83" s="20" t="str">
        <f t="shared" si="37"/>
        <v/>
      </c>
      <c r="AE83" s="20" t="str">
        <f t="shared" si="38"/>
        <v/>
      </c>
      <c r="AF83" s="20" t="str">
        <f t="shared" si="39"/>
        <v/>
      </c>
      <c r="AG83" s="20" t="str">
        <f t="shared" si="40"/>
        <v/>
      </c>
      <c r="AH83" s="20" t="str">
        <f t="shared" si="41"/>
        <v/>
      </c>
      <c r="AI83" s="20" t="str">
        <f t="shared" si="42"/>
        <v/>
      </c>
      <c r="AJ83" s="20" t="str">
        <f t="shared" si="43"/>
        <v/>
      </c>
      <c r="AK83" s="20" t="str">
        <f t="shared" si="44"/>
        <v/>
      </c>
      <c r="AL83" s="20" t="str">
        <f t="shared" si="45"/>
        <v/>
      </c>
      <c r="AM83" s="20" t="str">
        <f t="shared" si="46"/>
        <v/>
      </c>
      <c r="AN83" s="20" t="str">
        <f t="shared" si="47"/>
        <v/>
      </c>
      <c r="AO83" s="20" t="str">
        <f t="shared" si="48"/>
        <v/>
      </c>
      <c r="AP83" s="20" t="str">
        <f t="shared" si="49"/>
        <v/>
      </c>
      <c r="AQ83" s="20" t="str">
        <f t="shared" si="50"/>
        <v/>
      </c>
      <c r="AR83" s="20" t="str">
        <f t="shared" si="51"/>
        <v/>
      </c>
      <c r="AS83" s="20" t="str">
        <f t="shared" si="52"/>
        <v/>
      </c>
      <c r="AT83" s="20" t="str">
        <f t="shared" si="53"/>
        <v/>
      </c>
      <c r="AU83" s="20" t="str">
        <f t="shared" si="54"/>
        <v/>
      </c>
      <c r="AV83" s="20" t="str">
        <f t="shared" si="55"/>
        <v/>
      </c>
      <c r="AW83" s="20" t="str">
        <f t="shared" si="56"/>
        <v/>
      </c>
      <c r="BD83" s="17" t="s">
        <v>712</v>
      </c>
      <c r="BE83" s="17" t="s">
        <v>828</v>
      </c>
      <c r="BF83" s="17" t="s">
        <v>713</v>
      </c>
      <c r="BG83" s="17" t="s">
        <v>595</v>
      </c>
      <c r="BH83" s="17" t="s">
        <v>58</v>
      </c>
      <c r="BI83" s="17" t="s">
        <v>893</v>
      </c>
      <c r="BK83" s="18" t="s">
        <v>726</v>
      </c>
      <c r="BL83" s="18" t="s">
        <v>726</v>
      </c>
      <c r="BM83" s="18" t="s">
        <v>722</v>
      </c>
      <c r="BN83" s="18" t="s">
        <v>736</v>
      </c>
      <c r="BO83" s="17" t="s">
        <v>120</v>
      </c>
      <c r="BP83" s="17" t="s">
        <v>636</v>
      </c>
      <c r="BQ83" s="17" t="s">
        <v>713</v>
      </c>
      <c r="BR83" s="17" t="s">
        <v>1020</v>
      </c>
      <c r="BS83" s="22" t="s">
        <v>715</v>
      </c>
      <c r="BU83" s="17" t="s">
        <v>70</v>
      </c>
      <c r="BX83" s="17">
        <v>821</v>
      </c>
      <c r="BY83" s="84">
        <v>203582</v>
      </c>
      <c r="CB83" s="17" t="s">
        <v>58</v>
      </c>
      <c r="CC83" s="17" t="s">
        <v>574</v>
      </c>
      <c r="CD83" s="17" t="s">
        <v>714</v>
      </c>
      <c r="CE83" s="17" t="s">
        <v>98</v>
      </c>
      <c r="CF83" s="17" t="s">
        <v>1132</v>
      </c>
      <c r="CG83" s="17" t="s">
        <v>828</v>
      </c>
      <c r="CH83" s="17" t="s">
        <v>712</v>
      </c>
      <c r="CI83" s="17">
        <v>9999</v>
      </c>
      <c r="CJ83" s="23" t="b">
        <v>1</v>
      </c>
      <c r="CK83" s="23" t="b">
        <v>0</v>
      </c>
      <c r="CL83" s="23" t="b">
        <v>0</v>
      </c>
      <c r="CM83" s="23" t="b">
        <v>0</v>
      </c>
      <c r="CN83" s="23" t="b">
        <v>0</v>
      </c>
      <c r="CO83" s="23" t="s">
        <v>61</v>
      </c>
      <c r="CP83" s="50"/>
      <c r="CQ83" s="24" t="s">
        <v>311</v>
      </c>
      <c r="CR83" s="17" t="s">
        <v>57</v>
      </c>
      <c r="CT83" s="24" t="s">
        <v>311</v>
      </c>
      <c r="CU83" s="17" t="s">
        <v>58</v>
      </c>
      <c r="CW83" s="24" t="s">
        <v>302</v>
      </c>
      <c r="CX83" s="10" t="s">
        <v>144</v>
      </c>
      <c r="CY83" s="10"/>
      <c r="CZ83" s="24" t="s">
        <v>311</v>
      </c>
      <c r="DA83" s="24" t="s">
        <v>61</v>
      </c>
      <c r="DB83" s="10"/>
      <c r="DC83" s="24" t="s">
        <v>311</v>
      </c>
      <c r="DD83" s="17" t="s">
        <v>58</v>
      </c>
    </row>
    <row r="84" spans="1:108" ht="16.5" x14ac:dyDescent="0.3">
      <c r="A84" s="97"/>
      <c r="B84" s="97"/>
      <c r="C84" s="97"/>
      <c r="D84" s="97"/>
      <c r="E84" s="97"/>
      <c r="F84" s="97"/>
      <c r="G84" s="98"/>
      <c r="H84" s="97"/>
      <c r="I84" s="97"/>
      <c r="J84" s="97"/>
      <c r="K84" s="97"/>
      <c r="L84" s="97"/>
      <c r="M84" s="97"/>
      <c r="N84" s="97"/>
      <c r="O84" s="97"/>
      <c r="P84" s="97"/>
      <c r="Q84" s="100"/>
      <c r="R84" s="101"/>
      <c r="S84" s="99"/>
      <c r="T84" s="99"/>
      <c r="U84" s="97"/>
      <c r="V84" s="20" t="str">
        <f t="shared" si="29"/>
        <v/>
      </c>
      <c r="W84" s="20" t="str">
        <f t="shared" si="30"/>
        <v/>
      </c>
      <c r="X84" s="20" t="str">
        <f t="shared" si="31"/>
        <v/>
      </c>
      <c r="Y84" s="20" t="str">
        <f t="shared" si="32"/>
        <v/>
      </c>
      <c r="Z84" s="20" t="str">
        <f t="shared" si="33"/>
        <v/>
      </c>
      <c r="AA84" s="20" t="str">
        <f t="shared" si="34"/>
        <v/>
      </c>
      <c r="AB84" s="20" t="str">
        <f t="shared" si="35"/>
        <v/>
      </c>
      <c r="AC84" s="20" t="str">
        <f t="shared" si="36"/>
        <v/>
      </c>
      <c r="AD84" s="20" t="str">
        <f t="shared" si="37"/>
        <v/>
      </c>
      <c r="AE84" s="20" t="str">
        <f t="shared" si="38"/>
        <v/>
      </c>
      <c r="AF84" s="20" t="str">
        <f t="shared" si="39"/>
        <v/>
      </c>
      <c r="AG84" s="20" t="str">
        <f t="shared" si="40"/>
        <v/>
      </c>
      <c r="AH84" s="20" t="str">
        <f t="shared" si="41"/>
        <v/>
      </c>
      <c r="AI84" s="20" t="str">
        <f t="shared" si="42"/>
        <v/>
      </c>
      <c r="AJ84" s="20" t="str">
        <f t="shared" si="43"/>
        <v/>
      </c>
      <c r="AK84" s="20" t="str">
        <f t="shared" si="44"/>
        <v/>
      </c>
      <c r="AL84" s="20" t="str">
        <f t="shared" si="45"/>
        <v/>
      </c>
      <c r="AM84" s="20" t="str">
        <f t="shared" si="46"/>
        <v/>
      </c>
      <c r="AN84" s="20" t="str">
        <f t="shared" si="47"/>
        <v/>
      </c>
      <c r="AO84" s="20" t="str">
        <f t="shared" si="48"/>
        <v/>
      </c>
      <c r="AP84" s="20" t="str">
        <f t="shared" si="49"/>
        <v/>
      </c>
      <c r="AQ84" s="20" t="str">
        <f t="shared" si="50"/>
        <v/>
      </c>
      <c r="AR84" s="20" t="str">
        <f t="shared" si="51"/>
        <v/>
      </c>
      <c r="AS84" s="20" t="str">
        <f t="shared" si="52"/>
        <v/>
      </c>
      <c r="AT84" s="20" t="str">
        <f t="shared" si="53"/>
        <v/>
      </c>
      <c r="AU84" s="20" t="str">
        <f t="shared" si="54"/>
        <v/>
      </c>
      <c r="AV84" s="20" t="str">
        <f t="shared" si="55"/>
        <v/>
      </c>
      <c r="AW84" s="20" t="str">
        <f t="shared" si="56"/>
        <v/>
      </c>
      <c r="BD84" s="17" t="s">
        <v>702</v>
      </c>
      <c r="BE84" s="17" t="s">
        <v>828</v>
      </c>
      <c r="BF84" s="17" t="s">
        <v>703</v>
      </c>
      <c r="BG84" s="17" t="s">
        <v>596</v>
      </c>
      <c r="BH84" s="17" t="s">
        <v>147</v>
      </c>
      <c r="BI84" s="17" t="s">
        <v>894</v>
      </c>
      <c r="BJ84" s="94"/>
      <c r="BK84" s="18" t="s">
        <v>705</v>
      </c>
      <c r="BL84" s="18" t="s">
        <v>705</v>
      </c>
      <c r="BM84" s="18" t="s">
        <v>707</v>
      </c>
      <c r="BN84" s="18" t="s">
        <v>708</v>
      </c>
      <c r="BO84" s="17" t="s">
        <v>709</v>
      </c>
      <c r="BP84" s="17" t="s">
        <v>636</v>
      </c>
      <c r="BQ84" s="17" t="s">
        <v>703</v>
      </c>
      <c r="BS84" s="22" t="s">
        <v>715</v>
      </c>
      <c r="BU84" s="17" t="s">
        <v>70</v>
      </c>
      <c r="BW84" s="94"/>
      <c r="BX84" s="17">
        <v>124</v>
      </c>
      <c r="BY84" s="84">
        <v>203507</v>
      </c>
      <c r="CA84" s="94"/>
      <c r="CB84" s="17" t="s">
        <v>83</v>
      </c>
      <c r="CC84" s="17" t="s">
        <v>710</v>
      </c>
      <c r="CD84" s="17" t="s">
        <v>711</v>
      </c>
      <c r="CE84" s="17" t="s">
        <v>64</v>
      </c>
      <c r="CF84" s="17" t="s">
        <v>1132</v>
      </c>
      <c r="CG84" s="17" t="s">
        <v>828</v>
      </c>
      <c r="CH84" s="17" t="s">
        <v>702</v>
      </c>
      <c r="CI84" s="17">
        <v>2081</v>
      </c>
      <c r="CJ84" s="23" t="b">
        <v>0</v>
      </c>
      <c r="CK84" s="23" t="b">
        <v>0</v>
      </c>
      <c r="CL84" s="23" t="b">
        <v>0</v>
      </c>
      <c r="CM84" s="23" t="b">
        <v>1</v>
      </c>
      <c r="CN84" s="23" t="b">
        <v>0</v>
      </c>
      <c r="CO84" s="23" t="s">
        <v>61</v>
      </c>
      <c r="CP84" s="50"/>
      <c r="CQ84" s="24" t="s">
        <v>312</v>
      </c>
      <c r="CR84" s="17" t="s">
        <v>57</v>
      </c>
      <c r="CT84" s="24" t="s">
        <v>312</v>
      </c>
      <c r="CU84" s="17" t="s">
        <v>83</v>
      </c>
      <c r="CW84" s="24" t="s">
        <v>303</v>
      </c>
      <c r="CX84" s="10" t="s">
        <v>144</v>
      </c>
      <c r="CY84" s="10"/>
      <c r="CZ84" s="24" t="s">
        <v>312</v>
      </c>
      <c r="DA84" s="24" t="s">
        <v>61</v>
      </c>
      <c r="DB84" s="10"/>
      <c r="DC84" s="24" t="s">
        <v>312</v>
      </c>
      <c r="DD84" s="17" t="s">
        <v>83</v>
      </c>
    </row>
    <row r="85" spans="1:108" ht="16.5" x14ac:dyDescent="0.3">
      <c r="A85" s="97"/>
      <c r="B85" s="97"/>
      <c r="C85" s="97"/>
      <c r="D85" s="97"/>
      <c r="E85" s="97"/>
      <c r="F85" s="97"/>
      <c r="G85" s="98"/>
      <c r="H85" s="97"/>
      <c r="I85" s="97"/>
      <c r="J85" s="97"/>
      <c r="K85" s="97"/>
      <c r="L85" s="97"/>
      <c r="M85" s="97"/>
      <c r="N85" s="97"/>
      <c r="O85" s="97"/>
      <c r="P85" s="97"/>
      <c r="Q85" s="100"/>
      <c r="R85" s="101"/>
      <c r="S85" s="99"/>
      <c r="T85" s="99"/>
      <c r="U85" s="97"/>
      <c r="V85" s="20" t="str">
        <f t="shared" si="29"/>
        <v/>
      </c>
      <c r="W85" s="20" t="str">
        <f t="shared" si="30"/>
        <v/>
      </c>
      <c r="X85" s="20" t="str">
        <f t="shared" si="31"/>
        <v/>
      </c>
      <c r="Y85" s="20" t="str">
        <f t="shared" si="32"/>
        <v/>
      </c>
      <c r="Z85" s="20" t="str">
        <f t="shared" si="33"/>
        <v/>
      </c>
      <c r="AA85" s="20" t="str">
        <f t="shared" si="34"/>
        <v/>
      </c>
      <c r="AB85" s="20" t="str">
        <f t="shared" si="35"/>
        <v/>
      </c>
      <c r="AC85" s="20" t="str">
        <f t="shared" si="36"/>
        <v/>
      </c>
      <c r="AD85" s="20" t="str">
        <f t="shared" si="37"/>
        <v/>
      </c>
      <c r="AE85" s="20" t="str">
        <f t="shared" si="38"/>
        <v/>
      </c>
      <c r="AF85" s="20" t="str">
        <f t="shared" si="39"/>
        <v/>
      </c>
      <c r="AG85" s="20" t="str">
        <f t="shared" si="40"/>
        <v/>
      </c>
      <c r="AH85" s="20" t="str">
        <f t="shared" si="41"/>
        <v/>
      </c>
      <c r="AI85" s="20" t="str">
        <f t="shared" si="42"/>
        <v/>
      </c>
      <c r="AJ85" s="20" t="str">
        <f t="shared" si="43"/>
        <v/>
      </c>
      <c r="AK85" s="20" t="str">
        <f t="shared" si="44"/>
        <v/>
      </c>
      <c r="AL85" s="20" t="str">
        <f t="shared" si="45"/>
        <v/>
      </c>
      <c r="AM85" s="20" t="str">
        <f t="shared" si="46"/>
        <v/>
      </c>
      <c r="AN85" s="20" t="str">
        <f t="shared" si="47"/>
        <v/>
      </c>
      <c r="AO85" s="20" t="str">
        <f t="shared" si="48"/>
        <v/>
      </c>
      <c r="AP85" s="20" t="str">
        <f t="shared" si="49"/>
        <v/>
      </c>
      <c r="AQ85" s="20" t="str">
        <f t="shared" si="50"/>
        <v/>
      </c>
      <c r="AR85" s="20" t="str">
        <f t="shared" si="51"/>
        <v/>
      </c>
      <c r="AS85" s="20" t="str">
        <f t="shared" si="52"/>
        <v/>
      </c>
      <c r="AT85" s="20" t="str">
        <f t="shared" si="53"/>
        <v/>
      </c>
      <c r="AU85" s="20" t="str">
        <f t="shared" si="54"/>
        <v/>
      </c>
      <c r="AV85" s="20" t="str">
        <f t="shared" si="55"/>
        <v/>
      </c>
      <c r="AW85" s="20" t="str">
        <f t="shared" si="56"/>
        <v/>
      </c>
      <c r="BD85" s="17" t="s">
        <v>702</v>
      </c>
      <c r="BE85" s="17" t="s">
        <v>828</v>
      </c>
      <c r="BF85" s="17" t="s">
        <v>703</v>
      </c>
      <c r="BG85" s="17" t="s">
        <v>596</v>
      </c>
      <c r="BH85" s="17" t="s">
        <v>92</v>
      </c>
      <c r="BI85" s="17" t="s">
        <v>895</v>
      </c>
      <c r="BJ85" s="94"/>
      <c r="BK85" s="18" t="s">
        <v>704</v>
      </c>
      <c r="BL85" s="18" t="s">
        <v>704</v>
      </c>
      <c r="BM85" s="18" t="s">
        <v>720</v>
      </c>
      <c r="BN85" s="18" t="s">
        <v>708</v>
      </c>
      <c r="BO85" s="17" t="s">
        <v>709</v>
      </c>
      <c r="BP85" s="17" t="s">
        <v>636</v>
      </c>
      <c r="BQ85" s="17" t="s">
        <v>703</v>
      </c>
      <c r="BR85" t="s">
        <v>1021</v>
      </c>
      <c r="BS85" s="22" t="s">
        <v>715</v>
      </c>
      <c r="BU85" s="17" t="s">
        <v>70</v>
      </c>
      <c r="BW85" s="94"/>
      <c r="BX85" s="17">
        <v>124</v>
      </c>
      <c r="BY85" s="84">
        <v>203507</v>
      </c>
      <c r="CA85" s="94"/>
      <c r="CB85" s="17" t="s">
        <v>83</v>
      </c>
      <c r="CC85" s="17" t="s">
        <v>710</v>
      </c>
      <c r="CD85" s="17" t="s">
        <v>711</v>
      </c>
      <c r="CE85" s="17" t="s">
        <v>64</v>
      </c>
      <c r="CF85" s="17" t="s">
        <v>1132</v>
      </c>
      <c r="CG85" s="17" t="s">
        <v>828</v>
      </c>
      <c r="CH85" s="17" t="s">
        <v>702</v>
      </c>
      <c r="CI85" s="17">
        <v>2081</v>
      </c>
      <c r="CJ85" s="17" t="b">
        <v>0</v>
      </c>
      <c r="CK85" s="23" t="b">
        <v>0</v>
      </c>
      <c r="CL85" s="23" t="b">
        <v>0</v>
      </c>
      <c r="CM85" s="23" t="b">
        <v>1</v>
      </c>
      <c r="CN85" s="23" t="b">
        <v>0</v>
      </c>
      <c r="CO85" s="23" t="s">
        <v>61</v>
      </c>
      <c r="CP85" s="52"/>
      <c r="CQ85" s="17" t="s">
        <v>313</v>
      </c>
      <c r="CR85" s="17" t="s">
        <v>57</v>
      </c>
      <c r="CT85" s="17" t="s">
        <v>313</v>
      </c>
      <c r="CU85" s="17" t="s">
        <v>58</v>
      </c>
      <c r="CW85" s="24" t="s">
        <v>122</v>
      </c>
      <c r="CX85" s="10" t="s">
        <v>144</v>
      </c>
      <c r="CY85" s="10"/>
      <c r="CZ85" s="17" t="s">
        <v>313</v>
      </c>
      <c r="DA85" s="24" t="s">
        <v>73</v>
      </c>
      <c r="DB85" s="10"/>
      <c r="DC85" s="17" t="s">
        <v>313</v>
      </c>
      <c r="DD85" s="17" t="s">
        <v>58</v>
      </c>
    </row>
    <row r="86" spans="1:108" ht="16.5" x14ac:dyDescent="0.25">
      <c r="A86" s="97"/>
      <c r="B86" s="97"/>
      <c r="C86" s="97"/>
      <c r="D86" s="97"/>
      <c r="E86" s="97"/>
      <c r="F86" s="97"/>
      <c r="G86" s="98"/>
      <c r="H86" s="97"/>
      <c r="I86" s="97"/>
      <c r="J86" s="97"/>
      <c r="K86" s="97"/>
      <c r="L86" s="97"/>
      <c r="M86" s="97"/>
      <c r="N86" s="97"/>
      <c r="O86" s="97"/>
      <c r="P86" s="97"/>
      <c r="Q86" s="100"/>
      <c r="R86" s="101"/>
      <c r="S86" s="99"/>
      <c r="T86" s="99"/>
      <c r="U86" s="97"/>
      <c r="V86" s="20" t="str">
        <f t="shared" si="29"/>
        <v/>
      </c>
      <c r="W86" s="20" t="str">
        <f t="shared" si="30"/>
        <v/>
      </c>
      <c r="X86" s="20" t="str">
        <f t="shared" si="31"/>
        <v/>
      </c>
      <c r="Y86" s="20" t="str">
        <f t="shared" si="32"/>
        <v/>
      </c>
      <c r="Z86" s="20" t="str">
        <f t="shared" si="33"/>
        <v/>
      </c>
      <c r="AA86" s="20" t="str">
        <f t="shared" si="34"/>
        <v/>
      </c>
      <c r="AB86" s="20" t="str">
        <f t="shared" si="35"/>
        <v/>
      </c>
      <c r="AC86" s="20" t="str">
        <f t="shared" si="36"/>
        <v/>
      </c>
      <c r="AD86" s="20" t="str">
        <f t="shared" si="37"/>
        <v/>
      </c>
      <c r="AE86" s="20" t="str">
        <f t="shared" si="38"/>
        <v/>
      </c>
      <c r="AF86" s="20" t="str">
        <f t="shared" si="39"/>
        <v/>
      </c>
      <c r="AG86" s="20" t="str">
        <f t="shared" si="40"/>
        <v/>
      </c>
      <c r="AH86" s="20" t="str">
        <f t="shared" si="41"/>
        <v/>
      </c>
      <c r="AI86" s="20" t="str">
        <f t="shared" si="42"/>
        <v/>
      </c>
      <c r="AJ86" s="20" t="str">
        <f t="shared" si="43"/>
        <v/>
      </c>
      <c r="AK86" s="20" t="str">
        <f t="shared" si="44"/>
        <v/>
      </c>
      <c r="AL86" s="20" t="str">
        <f t="shared" si="45"/>
        <v/>
      </c>
      <c r="AM86" s="20" t="str">
        <f t="shared" si="46"/>
        <v/>
      </c>
      <c r="AN86" s="20" t="str">
        <f t="shared" si="47"/>
        <v/>
      </c>
      <c r="AO86" s="20" t="str">
        <f t="shared" si="48"/>
        <v/>
      </c>
      <c r="AP86" s="20" t="str">
        <f t="shared" si="49"/>
        <v/>
      </c>
      <c r="AQ86" s="20" t="str">
        <f t="shared" si="50"/>
        <v/>
      </c>
      <c r="AR86" s="20" t="str">
        <f t="shared" si="51"/>
        <v/>
      </c>
      <c r="AS86" s="20" t="str">
        <f t="shared" si="52"/>
        <v/>
      </c>
      <c r="AT86" s="20" t="str">
        <f t="shared" si="53"/>
        <v/>
      </c>
      <c r="AU86" s="20" t="str">
        <f t="shared" si="54"/>
        <v/>
      </c>
      <c r="AV86" s="20" t="str">
        <f t="shared" si="55"/>
        <v/>
      </c>
      <c r="AW86" s="20" t="str">
        <f t="shared" si="56"/>
        <v/>
      </c>
      <c r="BD86" s="17" t="s">
        <v>702</v>
      </c>
      <c r="BE86" s="17" t="s">
        <v>828</v>
      </c>
      <c r="BF86" s="17" t="s">
        <v>703</v>
      </c>
      <c r="BG86" s="17" t="s">
        <v>595</v>
      </c>
      <c r="BH86" s="17" t="s">
        <v>58</v>
      </c>
      <c r="BI86" s="17" t="s">
        <v>896</v>
      </c>
      <c r="BJ86" s="94"/>
      <c r="BK86" s="18" t="s">
        <v>724</v>
      </c>
      <c r="BL86" s="18" t="s">
        <v>724</v>
      </c>
      <c r="BM86" s="18" t="s">
        <v>706</v>
      </c>
      <c r="BN86" s="18" t="s">
        <v>708</v>
      </c>
      <c r="BO86" s="17" t="s">
        <v>709</v>
      </c>
      <c r="BP86" s="17" t="s">
        <v>636</v>
      </c>
      <c r="BQ86" s="17" t="s">
        <v>703</v>
      </c>
      <c r="BR86" s="17" t="s">
        <v>1022</v>
      </c>
      <c r="BS86" s="22" t="s">
        <v>715</v>
      </c>
      <c r="BT86" s="22"/>
      <c r="BU86" s="17" t="s">
        <v>70</v>
      </c>
      <c r="BW86" s="94"/>
      <c r="BX86" s="17">
        <v>818</v>
      </c>
      <c r="BY86" s="17">
        <v>203507</v>
      </c>
      <c r="CA86" s="94"/>
      <c r="CB86" s="17" t="s">
        <v>58</v>
      </c>
      <c r="CC86" s="17" t="s">
        <v>710</v>
      </c>
      <c r="CD86" s="17" t="s">
        <v>711</v>
      </c>
      <c r="CE86" t="s">
        <v>64</v>
      </c>
      <c r="CF86" s="17" t="s">
        <v>1132</v>
      </c>
      <c r="CG86" s="17" t="s">
        <v>828</v>
      </c>
      <c r="CH86" s="17" t="s">
        <v>702</v>
      </c>
      <c r="CI86" s="28">
        <v>2081</v>
      </c>
      <c r="CJ86" s="23" t="b">
        <v>1</v>
      </c>
      <c r="CK86" s="23" t="b">
        <v>0</v>
      </c>
      <c r="CL86" s="23" t="b">
        <v>0</v>
      </c>
      <c r="CM86" s="23" t="b">
        <v>0</v>
      </c>
      <c r="CN86" s="23" t="b">
        <v>0</v>
      </c>
      <c r="CO86" s="23" t="s">
        <v>61</v>
      </c>
      <c r="CP86" s="52"/>
      <c r="CQ86" s="17" t="s">
        <v>314</v>
      </c>
      <c r="CR86" s="17" t="s">
        <v>57</v>
      </c>
      <c r="CT86" s="17" t="s">
        <v>314</v>
      </c>
      <c r="CU86" s="17" t="s">
        <v>83</v>
      </c>
      <c r="CW86" s="24" t="s">
        <v>131</v>
      </c>
      <c r="CX86" s="10" t="s">
        <v>144</v>
      </c>
      <c r="CY86" s="10"/>
      <c r="CZ86" s="17" t="s">
        <v>314</v>
      </c>
      <c r="DA86" s="24" t="s">
        <v>73</v>
      </c>
      <c r="DB86" s="10"/>
      <c r="DC86" s="17" t="s">
        <v>314</v>
      </c>
      <c r="DD86" s="17" t="s">
        <v>83</v>
      </c>
    </row>
    <row r="87" spans="1:108" ht="16.5" x14ac:dyDescent="0.25">
      <c r="A87" s="97"/>
      <c r="B87" s="97"/>
      <c r="C87" s="97"/>
      <c r="D87" s="97"/>
      <c r="E87" s="97"/>
      <c r="F87" s="97"/>
      <c r="G87" s="98"/>
      <c r="H87" s="97"/>
      <c r="I87" s="97"/>
      <c r="J87" s="97"/>
      <c r="K87" s="97"/>
      <c r="L87" s="97"/>
      <c r="M87" s="97"/>
      <c r="N87" s="97"/>
      <c r="O87" s="97"/>
      <c r="P87" s="97"/>
      <c r="Q87" s="100"/>
      <c r="R87" s="101"/>
      <c r="S87" s="99"/>
      <c r="T87" s="99"/>
      <c r="U87" s="97"/>
      <c r="V87" s="20" t="str">
        <f t="shared" si="29"/>
        <v/>
      </c>
      <c r="W87" s="20" t="str">
        <f t="shared" si="30"/>
        <v/>
      </c>
      <c r="X87" s="20" t="str">
        <f t="shared" si="31"/>
        <v/>
      </c>
      <c r="Y87" s="20" t="str">
        <f t="shared" si="32"/>
        <v/>
      </c>
      <c r="Z87" s="20" t="str">
        <f t="shared" si="33"/>
        <v/>
      </c>
      <c r="AA87" s="20" t="str">
        <f t="shared" si="34"/>
        <v/>
      </c>
      <c r="AB87" s="20" t="str">
        <f t="shared" si="35"/>
        <v/>
      </c>
      <c r="AC87" s="20" t="str">
        <f t="shared" si="36"/>
        <v/>
      </c>
      <c r="AD87" s="20" t="str">
        <f t="shared" si="37"/>
        <v/>
      </c>
      <c r="AE87" s="20" t="str">
        <f t="shared" si="38"/>
        <v/>
      </c>
      <c r="AF87" s="20" t="str">
        <f t="shared" si="39"/>
        <v/>
      </c>
      <c r="AG87" s="20" t="str">
        <f t="shared" si="40"/>
        <v/>
      </c>
      <c r="AH87" s="20" t="str">
        <f t="shared" si="41"/>
        <v/>
      </c>
      <c r="AI87" s="20" t="str">
        <f t="shared" si="42"/>
        <v/>
      </c>
      <c r="AJ87" s="20" t="str">
        <f t="shared" si="43"/>
        <v/>
      </c>
      <c r="AK87" s="20" t="str">
        <f t="shared" si="44"/>
        <v/>
      </c>
      <c r="AL87" s="20" t="str">
        <f t="shared" si="45"/>
        <v/>
      </c>
      <c r="AM87" s="20" t="str">
        <f t="shared" si="46"/>
        <v/>
      </c>
      <c r="AN87" s="20" t="str">
        <f t="shared" si="47"/>
        <v/>
      </c>
      <c r="AO87" s="20" t="str">
        <f t="shared" si="48"/>
        <v/>
      </c>
      <c r="AP87" s="20" t="str">
        <f t="shared" si="49"/>
        <v/>
      </c>
      <c r="AQ87" s="20" t="str">
        <f t="shared" si="50"/>
        <v/>
      </c>
      <c r="AR87" s="20" t="str">
        <f t="shared" si="51"/>
        <v/>
      </c>
      <c r="AS87" s="20" t="str">
        <f t="shared" si="52"/>
        <v/>
      </c>
      <c r="AT87" s="20" t="str">
        <f t="shared" si="53"/>
        <v/>
      </c>
      <c r="AU87" s="20" t="str">
        <f t="shared" si="54"/>
        <v/>
      </c>
      <c r="AV87" s="20" t="str">
        <f t="shared" si="55"/>
        <v/>
      </c>
      <c r="AW87" s="20" t="str">
        <f t="shared" si="56"/>
        <v/>
      </c>
      <c r="BD87" s="17" t="s">
        <v>266</v>
      </c>
      <c r="BE87" s="17" t="s">
        <v>828</v>
      </c>
      <c r="BF87" s="17" t="s">
        <v>305</v>
      </c>
      <c r="BG87" s="17" t="s">
        <v>596</v>
      </c>
      <c r="BH87" s="17" t="s">
        <v>147</v>
      </c>
      <c r="BI87" s="17" t="s">
        <v>897</v>
      </c>
      <c r="BJ87" s="94"/>
      <c r="BK87" s="18" t="s">
        <v>660</v>
      </c>
      <c r="BL87" s="18" t="s">
        <v>660</v>
      </c>
      <c r="BM87" s="18" t="s">
        <v>336</v>
      </c>
      <c r="BN87" s="18" t="s">
        <v>304</v>
      </c>
      <c r="BO87" s="17" t="s">
        <v>120</v>
      </c>
      <c r="BP87" s="17" t="s">
        <v>120</v>
      </c>
      <c r="BQ87" s="17" t="s">
        <v>305</v>
      </c>
      <c r="BS87" s="22" t="s">
        <v>715</v>
      </c>
      <c r="BU87" s="17" t="s">
        <v>70</v>
      </c>
      <c r="BW87" s="94"/>
      <c r="BX87" s="17">
        <v>124</v>
      </c>
      <c r="BY87" s="17">
        <v>141962</v>
      </c>
      <c r="CA87" s="94"/>
      <c r="CB87" s="17" t="s">
        <v>83</v>
      </c>
      <c r="CC87" s="17" t="s">
        <v>574</v>
      </c>
      <c r="CD87" s="17" t="s">
        <v>584</v>
      </c>
      <c r="CE87" t="s">
        <v>64</v>
      </c>
      <c r="CF87" s="17" t="s">
        <v>1132</v>
      </c>
      <c r="CG87" s="17" t="s">
        <v>828</v>
      </c>
      <c r="CH87" s="17" t="s">
        <v>217</v>
      </c>
      <c r="CI87" s="28">
        <v>5300</v>
      </c>
      <c r="CJ87" s="23" t="b">
        <v>0</v>
      </c>
      <c r="CK87" s="23" t="b">
        <v>0</v>
      </c>
      <c r="CL87" s="23" t="b">
        <v>0</v>
      </c>
      <c r="CM87" s="23" t="b">
        <v>1</v>
      </c>
      <c r="CN87" s="23" t="b">
        <v>0</v>
      </c>
      <c r="CO87" s="23" t="s">
        <v>61</v>
      </c>
      <c r="CQ87" s="17" t="s">
        <v>315</v>
      </c>
      <c r="CR87" s="17" t="s">
        <v>57</v>
      </c>
      <c r="CT87" s="17" t="s">
        <v>315</v>
      </c>
      <c r="CU87" s="17" t="s">
        <v>58</v>
      </c>
      <c r="CW87" s="24" t="s">
        <v>170</v>
      </c>
      <c r="CX87" s="10" t="s">
        <v>144</v>
      </c>
      <c r="CY87" s="10"/>
      <c r="CZ87" s="17" t="s">
        <v>315</v>
      </c>
      <c r="DA87" s="24" t="s">
        <v>73</v>
      </c>
      <c r="DB87" s="10"/>
      <c r="DC87" s="17" t="s">
        <v>315</v>
      </c>
      <c r="DD87" s="17" t="s">
        <v>58</v>
      </c>
    </row>
    <row r="88" spans="1:108" ht="16.5" x14ac:dyDescent="0.25">
      <c r="A88" s="97"/>
      <c r="B88" s="97"/>
      <c r="C88" s="97"/>
      <c r="D88" s="97"/>
      <c r="E88" s="97"/>
      <c r="F88" s="97"/>
      <c r="G88" s="98"/>
      <c r="H88" s="97"/>
      <c r="I88" s="97"/>
      <c r="J88" s="97"/>
      <c r="K88" s="97"/>
      <c r="L88" s="97"/>
      <c r="M88" s="97"/>
      <c r="N88" s="97"/>
      <c r="O88" s="97"/>
      <c r="P88" s="97"/>
      <c r="Q88" s="100"/>
      <c r="R88" s="101"/>
      <c r="S88" s="99"/>
      <c r="T88" s="99"/>
      <c r="U88" s="97"/>
      <c r="V88" s="20" t="str">
        <f t="shared" si="29"/>
        <v/>
      </c>
      <c r="W88" s="20" t="str">
        <f t="shared" si="30"/>
        <v/>
      </c>
      <c r="X88" s="20" t="str">
        <f t="shared" si="31"/>
        <v/>
      </c>
      <c r="Y88" s="20" t="str">
        <f t="shared" si="32"/>
        <v/>
      </c>
      <c r="Z88" s="20" t="str">
        <f t="shared" si="33"/>
        <v/>
      </c>
      <c r="AA88" s="20" t="str">
        <f t="shared" si="34"/>
        <v/>
      </c>
      <c r="AB88" s="20" t="str">
        <f t="shared" si="35"/>
        <v/>
      </c>
      <c r="AC88" s="20" t="str">
        <f t="shared" si="36"/>
        <v/>
      </c>
      <c r="AD88" s="20" t="str">
        <f t="shared" si="37"/>
        <v/>
      </c>
      <c r="AE88" s="20" t="str">
        <f t="shared" si="38"/>
        <v/>
      </c>
      <c r="AF88" s="20" t="str">
        <f t="shared" si="39"/>
        <v/>
      </c>
      <c r="AG88" s="20" t="str">
        <f t="shared" si="40"/>
        <v/>
      </c>
      <c r="AH88" s="20" t="str">
        <f t="shared" si="41"/>
        <v/>
      </c>
      <c r="AI88" s="20" t="str">
        <f t="shared" si="42"/>
        <v/>
      </c>
      <c r="AJ88" s="20" t="str">
        <f t="shared" si="43"/>
        <v/>
      </c>
      <c r="AK88" s="20" t="str">
        <f t="shared" si="44"/>
        <v/>
      </c>
      <c r="AL88" s="20" t="str">
        <f t="shared" si="45"/>
        <v/>
      </c>
      <c r="AM88" s="20" t="str">
        <f t="shared" si="46"/>
        <v/>
      </c>
      <c r="AN88" s="20" t="str">
        <f t="shared" si="47"/>
        <v/>
      </c>
      <c r="AO88" s="20" t="str">
        <f t="shared" si="48"/>
        <v/>
      </c>
      <c r="AP88" s="20" t="str">
        <f t="shared" si="49"/>
        <v/>
      </c>
      <c r="AQ88" s="20" t="str">
        <f t="shared" si="50"/>
        <v/>
      </c>
      <c r="AR88" s="20" t="str">
        <f t="shared" si="51"/>
        <v/>
      </c>
      <c r="AS88" s="20" t="str">
        <f t="shared" si="52"/>
        <v/>
      </c>
      <c r="AT88" s="20" t="str">
        <f t="shared" si="53"/>
        <v/>
      </c>
      <c r="AU88" s="20" t="str">
        <f t="shared" si="54"/>
        <v/>
      </c>
      <c r="AV88" s="20" t="str">
        <f t="shared" si="55"/>
        <v/>
      </c>
      <c r="AW88" s="20" t="str">
        <f t="shared" si="56"/>
        <v/>
      </c>
      <c r="BD88" s="17" t="s">
        <v>266</v>
      </c>
      <c r="BE88" s="17" t="s">
        <v>828</v>
      </c>
      <c r="BF88" s="17" t="s">
        <v>305</v>
      </c>
      <c r="BG88" s="17" t="s">
        <v>596</v>
      </c>
      <c r="BH88" s="17" t="s">
        <v>92</v>
      </c>
      <c r="BI88" s="17" t="s">
        <v>898</v>
      </c>
      <c r="BJ88" s="94"/>
      <c r="BK88" s="79" t="s">
        <v>662</v>
      </c>
      <c r="BL88" s="79" t="s">
        <v>662</v>
      </c>
      <c r="BM88" s="18" t="s">
        <v>496</v>
      </c>
      <c r="BN88" s="18" t="s">
        <v>304</v>
      </c>
      <c r="BO88" s="17" t="s">
        <v>120</v>
      </c>
      <c r="BP88" s="17" t="s">
        <v>120</v>
      </c>
      <c r="BQ88" s="17" t="s">
        <v>305</v>
      </c>
      <c r="BR88" s="17" t="s">
        <v>1023</v>
      </c>
      <c r="BS88" s="22" t="s">
        <v>715</v>
      </c>
      <c r="BU88" s="17" t="s">
        <v>70</v>
      </c>
      <c r="BW88" s="94"/>
      <c r="BX88" s="17">
        <v>124</v>
      </c>
      <c r="BY88" s="17">
        <v>141962</v>
      </c>
      <c r="CA88" s="94"/>
      <c r="CB88" s="17" t="s">
        <v>83</v>
      </c>
      <c r="CC88" s="17" t="s">
        <v>574</v>
      </c>
      <c r="CD88" s="17" t="s">
        <v>584</v>
      </c>
      <c r="CE88" t="s">
        <v>64</v>
      </c>
      <c r="CF88" s="17" t="s">
        <v>1132</v>
      </c>
      <c r="CG88" s="17" t="s">
        <v>828</v>
      </c>
      <c r="CH88" s="17" t="s">
        <v>217</v>
      </c>
      <c r="CI88" s="28">
        <v>5300</v>
      </c>
      <c r="CJ88" s="23" t="b">
        <v>0</v>
      </c>
      <c r="CK88" s="23" t="b">
        <v>0</v>
      </c>
      <c r="CL88" s="23" t="b">
        <v>0</v>
      </c>
      <c r="CM88" s="23" t="b">
        <v>1</v>
      </c>
      <c r="CN88" s="23" t="b">
        <v>0</v>
      </c>
      <c r="CO88" s="23" t="s">
        <v>61</v>
      </c>
      <c r="CP88" s="50"/>
      <c r="CQ88" s="17" t="s">
        <v>317</v>
      </c>
      <c r="CR88" s="17" t="s">
        <v>57</v>
      </c>
      <c r="CT88" s="17" t="s">
        <v>317</v>
      </c>
      <c r="CU88" s="17" t="s">
        <v>83</v>
      </c>
      <c r="CW88" s="24" t="s">
        <v>165</v>
      </c>
      <c r="CX88" s="10" t="s">
        <v>144</v>
      </c>
      <c r="CZ88" s="17" t="s">
        <v>317</v>
      </c>
      <c r="DA88" s="24" t="s">
        <v>73</v>
      </c>
      <c r="DC88" s="17" t="s">
        <v>317</v>
      </c>
      <c r="DD88" s="17" t="s">
        <v>83</v>
      </c>
    </row>
    <row r="89" spans="1:108" ht="16.5" x14ac:dyDescent="0.25">
      <c r="A89" s="97"/>
      <c r="B89" s="97"/>
      <c r="C89" s="97"/>
      <c r="D89" s="97"/>
      <c r="E89" s="97"/>
      <c r="F89" s="97"/>
      <c r="G89" s="98"/>
      <c r="H89" s="97"/>
      <c r="I89" s="97"/>
      <c r="J89" s="97"/>
      <c r="K89" s="97"/>
      <c r="L89" s="97"/>
      <c r="M89" s="97"/>
      <c r="N89" s="97"/>
      <c r="O89" s="97"/>
      <c r="P89" s="97"/>
      <c r="Q89" s="100"/>
      <c r="R89" s="101"/>
      <c r="S89" s="99"/>
      <c r="T89" s="99"/>
      <c r="U89" s="97"/>
      <c r="V89" s="20" t="str">
        <f t="shared" si="29"/>
        <v/>
      </c>
      <c r="W89" s="20" t="str">
        <f t="shared" si="30"/>
        <v/>
      </c>
      <c r="X89" s="20" t="str">
        <f t="shared" si="31"/>
        <v/>
      </c>
      <c r="Y89" s="20" t="str">
        <f t="shared" si="32"/>
        <v/>
      </c>
      <c r="Z89" s="20" t="str">
        <f t="shared" si="33"/>
        <v/>
      </c>
      <c r="AA89" s="20" t="str">
        <f t="shared" si="34"/>
        <v/>
      </c>
      <c r="AB89" s="20" t="str">
        <f t="shared" si="35"/>
        <v/>
      </c>
      <c r="AC89" s="20" t="str">
        <f t="shared" si="36"/>
        <v/>
      </c>
      <c r="AD89" s="20" t="str">
        <f t="shared" si="37"/>
        <v/>
      </c>
      <c r="AE89" s="20" t="str">
        <f t="shared" si="38"/>
        <v/>
      </c>
      <c r="AF89" s="20" t="str">
        <f t="shared" si="39"/>
        <v/>
      </c>
      <c r="AG89" s="20" t="str">
        <f t="shared" si="40"/>
        <v/>
      </c>
      <c r="AH89" s="20" t="str">
        <f t="shared" si="41"/>
        <v/>
      </c>
      <c r="AI89" s="20" t="str">
        <f t="shared" si="42"/>
        <v/>
      </c>
      <c r="AJ89" s="20" t="str">
        <f t="shared" si="43"/>
        <v/>
      </c>
      <c r="AK89" s="20" t="str">
        <f t="shared" si="44"/>
        <v/>
      </c>
      <c r="AL89" s="20" t="str">
        <f t="shared" si="45"/>
        <v/>
      </c>
      <c r="AM89" s="20" t="str">
        <f t="shared" si="46"/>
        <v/>
      </c>
      <c r="AN89" s="20" t="str">
        <f t="shared" si="47"/>
        <v/>
      </c>
      <c r="AO89" s="20" t="str">
        <f t="shared" si="48"/>
        <v/>
      </c>
      <c r="AP89" s="20" t="str">
        <f t="shared" si="49"/>
        <v/>
      </c>
      <c r="AQ89" s="20" t="str">
        <f t="shared" si="50"/>
        <v/>
      </c>
      <c r="AR89" s="20" t="str">
        <f t="shared" si="51"/>
        <v/>
      </c>
      <c r="AS89" s="20" t="str">
        <f t="shared" si="52"/>
        <v/>
      </c>
      <c r="AT89" s="20" t="str">
        <f t="shared" si="53"/>
        <v/>
      </c>
      <c r="AU89" s="20" t="str">
        <f t="shared" si="54"/>
        <v/>
      </c>
      <c r="AV89" s="20" t="str">
        <f t="shared" si="55"/>
        <v/>
      </c>
      <c r="AW89" s="20" t="str">
        <f t="shared" si="56"/>
        <v/>
      </c>
      <c r="BD89" s="17" t="s">
        <v>266</v>
      </c>
      <c r="BE89" s="17" t="s">
        <v>828</v>
      </c>
      <c r="BF89" s="17" t="s">
        <v>305</v>
      </c>
      <c r="BG89" s="17" t="s">
        <v>127</v>
      </c>
      <c r="BH89" s="17" t="s">
        <v>58</v>
      </c>
      <c r="BI89" s="17" t="s">
        <v>899</v>
      </c>
      <c r="BJ89" s="94"/>
      <c r="BK89" s="18" t="s">
        <v>661</v>
      </c>
      <c r="BL89" s="18" t="s">
        <v>661</v>
      </c>
      <c r="BM89" s="18" t="s">
        <v>495</v>
      </c>
      <c r="BN89" s="18" t="s">
        <v>304</v>
      </c>
      <c r="BO89" s="17" t="s">
        <v>120</v>
      </c>
      <c r="BP89" s="17" t="s">
        <v>120</v>
      </c>
      <c r="BQ89" s="17" t="s">
        <v>305</v>
      </c>
      <c r="BR89" s="17" t="s">
        <v>1024</v>
      </c>
      <c r="BS89" s="22" t="s">
        <v>52</v>
      </c>
      <c r="BU89" s="17" t="s">
        <v>70</v>
      </c>
      <c r="BW89" s="94"/>
      <c r="BX89" s="17">
        <v>573</v>
      </c>
      <c r="BY89" s="17">
        <v>141962</v>
      </c>
      <c r="CA89" s="94"/>
      <c r="CB89" s="17" t="s">
        <v>58</v>
      </c>
      <c r="CC89" s="17" t="s">
        <v>574</v>
      </c>
      <c r="CD89" s="17" t="s">
        <v>584</v>
      </c>
      <c r="CE89" t="s">
        <v>64</v>
      </c>
      <c r="CF89" s="17" t="s">
        <v>1132</v>
      </c>
      <c r="CG89" s="17" t="s">
        <v>828</v>
      </c>
      <c r="CH89" s="17" t="s">
        <v>217</v>
      </c>
      <c r="CI89" s="28">
        <v>5300</v>
      </c>
      <c r="CJ89" s="23" t="b">
        <v>0</v>
      </c>
      <c r="CK89" s="23" t="b">
        <v>1</v>
      </c>
      <c r="CL89" s="23" t="b">
        <v>0</v>
      </c>
      <c r="CM89" s="23" t="b">
        <v>0</v>
      </c>
      <c r="CN89" s="23" t="b">
        <v>0</v>
      </c>
      <c r="CO89" s="23" t="s">
        <v>61</v>
      </c>
      <c r="CP89" s="50"/>
      <c r="CQ89" s="17" t="s">
        <v>318</v>
      </c>
      <c r="CR89" s="17" t="s">
        <v>57</v>
      </c>
      <c r="CT89" s="17" t="s">
        <v>318</v>
      </c>
      <c r="CU89" s="17" t="s">
        <v>58</v>
      </c>
      <c r="CW89" s="24" t="s">
        <v>306</v>
      </c>
      <c r="CX89" s="10" t="s">
        <v>144</v>
      </c>
      <c r="CZ89" s="17" t="s">
        <v>318</v>
      </c>
      <c r="DA89" s="24" t="s">
        <v>73</v>
      </c>
      <c r="DC89" s="17" t="s">
        <v>318</v>
      </c>
      <c r="DD89" s="17" t="s">
        <v>58</v>
      </c>
    </row>
    <row r="90" spans="1:108" ht="16.5" x14ac:dyDescent="0.25">
      <c r="A90" s="97"/>
      <c r="B90" s="97"/>
      <c r="C90" s="97"/>
      <c r="D90" s="97"/>
      <c r="E90" s="97"/>
      <c r="F90" s="97"/>
      <c r="G90" s="98"/>
      <c r="H90" s="97"/>
      <c r="I90" s="97"/>
      <c r="J90" s="97"/>
      <c r="K90" s="97"/>
      <c r="L90" s="97"/>
      <c r="M90" s="97"/>
      <c r="N90" s="97"/>
      <c r="O90" s="97"/>
      <c r="P90" s="97"/>
      <c r="Q90" s="100"/>
      <c r="R90" s="101"/>
      <c r="S90" s="99"/>
      <c r="T90" s="99"/>
      <c r="U90" s="97"/>
      <c r="V90" s="20" t="str">
        <f t="shared" si="29"/>
        <v/>
      </c>
      <c r="W90" s="20" t="str">
        <f t="shared" si="30"/>
        <v/>
      </c>
      <c r="X90" s="20" t="str">
        <f t="shared" si="31"/>
        <v/>
      </c>
      <c r="Y90" s="20" t="str">
        <f t="shared" si="32"/>
        <v/>
      </c>
      <c r="Z90" s="20" t="str">
        <f t="shared" si="33"/>
        <v/>
      </c>
      <c r="AA90" s="20" t="str">
        <f t="shared" si="34"/>
        <v/>
      </c>
      <c r="AB90" s="20" t="str">
        <f t="shared" si="35"/>
        <v/>
      </c>
      <c r="AC90" s="20" t="str">
        <f t="shared" si="36"/>
        <v/>
      </c>
      <c r="AD90" s="20" t="str">
        <f t="shared" si="37"/>
        <v/>
      </c>
      <c r="AE90" s="20" t="str">
        <f t="shared" si="38"/>
        <v/>
      </c>
      <c r="AF90" s="20" t="str">
        <f t="shared" si="39"/>
        <v/>
      </c>
      <c r="AG90" s="20" t="str">
        <f t="shared" si="40"/>
        <v/>
      </c>
      <c r="AH90" s="20" t="str">
        <f t="shared" si="41"/>
        <v/>
      </c>
      <c r="AI90" s="20" t="str">
        <f t="shared" si="42"/>
        <v/>
      </c>
      <c r="AJ90" s="20" t="str">
        <f t="shared" si="43"/>
        <v/>
      </c>
      <c r="AK90" s="20" t="str">
        <f t="shared" si="44"/>
        <v/>
      </c>
      <c r="AL90" s="20" t="str">
        <f t="shared" si="45"/>
        <v/>
      </c>
      <c r="AM90" s="20" t="str">
        <f t="shared" si="46"/>
        <v/>
      </c>
      <c r="AN90" s="20" t="str">
        <f t="shared" si="47"/>
        <v/>
      </c>
      <c r="AO90" s="20" t="str">
        <f t="shared" si="48"/>
        <v/>
      </c>
      <c r="AP90" s="20" t="str">
        <f t="shared" si="49"/>
        <v/>
      </c>
      <c r="AQ90" s="20" t="str">
        <f t="shared" si="50"/>
        <v/>
      </c>
      <c r="AR90" s="20" t="str">
        <f t="shared" si="51"/>
        <v/>
      </c>
      <c r="AS90" s="20" t="str">
        <f t="shared" si="52"/>
        <v/>
      </c>
      <c r="AT90" s="20" t="str">
        <f t="shared" si="53"/>
        <v/>
      </c>
      <c r="AU90" s="20" t="str">
        <f t="shared" si="54"/>
        <v/>
      </c>
      <c r="AV90" s="20" t="str">
        <f t="shared" si="55"/>
        <v/>
      </c>
      <c r="AW90" s="20" t="str">
        <f t="shared" si="56"/>
        <v/>
      </c>
      <c r="BD90" s="17" t="s">
        <v>266</v>
      </c>
      <c r="BE90" s="17" t="s">
        <v>828</v>
      </c>
      <c r="BF90" s="17" t="s">
        <v>305</v>
      </c>
      <c r="BG90" s="17" t="s">
        <v>150</v>
      </c>
      <c r="BH90" s="17" t="s">
        <v>58</v>
      </c>
      <c r="BI90" s="17" t="s">
        <v>900</v>
      </c>
      <c r="BJ90" s="94"/>
      <c r="BK90" s="80" t="s">
        <v>661</v>
      </c>
      <c r="BL90" s="80" t="s">
        <v>661</v>
      </c>
      <c r="BM90" s="18" t="s">
        <v>495</v>
      </c>
      <c r="BN90" s="18" t="s">
        <v>304</v>
      </c>
      <c r="BO90" s="17" t="s">
        <v>120</v>
      </c>
      <c r="BP90" s="17" t="s">
        <v>120</v>
      </c>
      <c r="BQ90" s="17" t="s">
        <v>305</v>
      </c>
      <c r="BR90" t="s">
        <v>1023</v>
      </c>
      <c r="BS90" s="22" t="s">
        <v>52</v>
      </c>
      <c r="BU90" s="17" t="s">
        <v>70</v>
      </c>
      <c r="BW90" s="94"/>
      <c r="BX90" s="17">
        <v>573</v>
      </c>
      <c r="BY90" s="17">
        <v>141962</v>
      </c>
      <c r="CA90" s="94"/>
      <c r="CB90" s="17" t="s">
        <v>58</v>
      </c>
      <c r="CC90" s="17" t="s">
        <v>574</v>
      </c>
      <c r="CD90" s="17" t="s">
        <v>584</v>
      </c>
      <c r="CE90" t="s">
        <v>64</v>
      </c>
      <c r="CF90" s="17" t="s">
        <v>1132</v>
      </c>
      <c r="CG90" s="17" t="s">
        <v>828</v>
      </c>
      <c r="CH90" s="17" t="s">
        <v>217</v>
      </c>
      <c r="CI90" s="28">
        <v>5300</v>
      </c>
      <c r="CJ90" s="23" t="b">
        <v>0</v>
      </c>
      <c r="CK90" s="23" t="b">
        <v>0</v>
      </c>
      <c r="CL90" s="23" t="b">
        <v>1</v>
      </c>
      <c r="CM90" s="23" t="b">
        <v>0</v>
      </c>
      <c r="CN90" s="23" t="b">
        <v>0</v>
      </c>
      <c r="CO90" s="23" t="s">
        <v>61</v>
      </c>
      <c r="CQ90" s="17" t="s">
        <v>319</v>
      </c>
      <c r="CR90" s="17" t="s">
        <v>57</v>
      </c>
      <c r="CT90" s="17" t="s">
        <v>319</v>
      </c>
      <c r="CU90" s="17" t="s">
        <v>83</v>
      </c>
      <c r="CW90" s="24" t="s">
        <v>307</v>
      </c>
      <c r="CX90" s="10" t="s">
        <v>144</v>
      </c>
      <c r="CZ90" s="17" t="s">
        <v>319</v>
      </c>
      <c r="DA90" s="24" t="s">
        <v>73</v>
      </c>
      <c r="DC90" s="17" t="s">
        <v>319</v>
      </c>
      <c r="DD90" s="17" t="s">
        <v>83</v>
      </c>
    </row>
    <row r="91" spans="1:108" ht="16.5" x14ac:dyDescent="0.25">
      <c r="A91" s="97"/>
      <c r="B91" s="97"/>
      <c r="C91" s="97"/>
      <c r="D91" s="97"/>
      <c r="E91" s="97"/>
      <c r="F91" s="97"/>
      <c r="G91" s="98"/>
      <c r="H91" s="97"/>
      <c r="I91" s="97"/>
      <c r="J91" s="97"/>
      <c r="K91" s="97"/>
      <c r="L91" s="97"/>
      <c r="M91" s="97"/>
      <c r="N91" s="97"/>
      <c r="O91" s="97"/>
      <c r="P91" s="97"/>
      <c r="Q91" s="100"/>
      <c r="R91" s="101"/>
      <c r="S91" s="99"/>
      <c r="T91" s="99"/>
      <c r="U91" s="97"/>
      <c r="V91" s="20" t="str">
        <f t="shared" si="29"/>
        <v/>
      </c>
      <c r="W91" s="20" t="str">
        <f t="shared" si="30"/>
        <v/>
      </c>
      <c r="X91" s="20" t="str">
        <f t="shared" si="31"/>
        <v/>
      </c>
      <c r="Y91" s="20" t="str">
        <f t="shared" si="32"/>
        <v/>
      </c>
      <c r="Z91" s="20" t="str">
        <f t="shared" si="33"/>
        <v/>
      </c>
      <c r="AA91" s="20" t="str">
        <f t="shared" si="34"/>
        <v/>
      </c>
      <c r="AB91" s="20" t="str">
        <f t="shared" si="35"/>
        <v/>
      </c>
      <c r="AC91" s="20" t="str">
        <f t="shared" si="36"/>
        <v/>
      </c>
      <c r="AD91" s="20" t="str">
        <f t="shared" si="37"/>
        <v/>
      </c>
      <c r="AE91" s="20" t="str">
        <f t="shared" si="38"/>
        <v/>
      </c>
      <c r="AF91" s="20" t="str">
        <f t="shared" si="39"/>
        <v/>
      </c>
      <c r="AG91" s="20" t="str">
        <f t="shared" si="40"/>
        <v/>
      </c>
      <c r="AH91" s="20" t="str">
        <f t="shared" si="41"/>
        <v/>
      </c>
      <c r="AI91" s="20" t="str">
        <f t="shared" si="42"/>
        <v/>
      </c>
      <c r="AJ91" s="20" t="str">
        <f t="shared" si="43"/>
        <v/>
      </c>
      <c r="AK91" s="20" t="str">
        <f t="shared" si="44"/>
        <v/>
      </c>
      <c r="AL91" s="20" t="str">
        <f t="shared" si="45"/>
        <v/>
      </c>
      <c r="AM91" s="20" t="str">
        <f t="shared" si="46"/>
        <v/>
      </c>
      <c r="AN91" s="20" t="str">
        <f t="shared" si="47"/>
        <v/>
      </c>
      <c r="AO91" s="20" t="str">
        <f t="shared" si="48"/>
        <v/>
      </c>
      <c r="AP91" s="20" t="str">
        <f t="shared" si="49"/>
        <v/>
      </c>
      <c r="AQ91" s="20" t="str">
        <f t="shared" si="50"/>
        <v/>
      </c>
      <c r="AR91" s="20" t="str">
        <f t="shared" si="51"/>
        <v/>
      </c>
      <c r="AS91" s="20" t="str">
        <f t="shared" si="52"/>
        <v/>
      </c>
      <c r="AT91" s="20" t="str">
        <f t="shared" si="53"/>
        <v/>
      </c>
      <c r="AU91" s="20" t="str">
        <f t="shared" si="54"/>
        <v/>
      </c>
      <c r="AV91" s="20" t="str">
        <f t="shared" si="55"/>
        <v/>
      </c>
      <c r="AW91" s="20" t="str">
        <f t="shared" si="56"/>
        <v/>
      </c>
      <c r="BD91" s="17" t="s">
        <v>266</v>
      </c>
      <c r="BE91" s="17" t="s">
        <v>828</v>
      </c>
      <c r="BF91" s="17" t="s">
        <v>305</v>
      </c>
      <c r="BG91" s="17" t="s">
        <v>595</v>
      </c>
      <c r="BH91" s="17" t="s">
        <v>58</v>
      </c>
      <c r="BI91" s="17" t="s">
        <v>901</v>
      </c>
      <c r="BJ91" s="94"/>
      <c r="BK91" s="79" t="s">
        <v>780</v>
      </c>
      <c r="BL91" s="79" t="s">
        <v>780</v>
      </c>
      <c r="BM91" s="18" t="s">
        <v>495</v>
      </c>
      <c r="BN91" s="18" t="s">
        <v>304</v>
      </c>
      <c r="BO91" s="17" t="s">
        <v>120</v>
      </c>
      <c r="BP91" s="17" t="s">
        <v>120</v>
      </c>
      <c r="BQ91" s="17" t="s">
        <v>305</v>
      </c>
      <c r="BR91" s="18" t="s">
        <v>1025</v>
      </c>
      <c r="BS91" s="22" t="s">
        <v>715</v>
      </c>
      <c r="BU91" s="17" t="s">
        <v>70</v>
      </c>
      <c r="BW91" s="94"/>
      <c r="BX91" s="17">
        <v>573</v>
      </c>
      <c r="BY91" s="17">
        <v>141962</v>
      </c>
      <c r="CA91" s="94"/>
      <c r="CB91" s="17" t="s">
        <v>58</v>
      </c>
      <c r="CC91" s="17" t="s">
        <v>574</v>
      </c>
      <c r="CD91" s="17" t="s">
        <v>584</v>
      </c>
      <c r="CE91" t="s">
        <v>64</v>
      </c>
      <c r="CF91" s="17" t="s">
        <v>1132</v>
      </c>
      <c r="CG91" s="17" t="s">
        <v>828</v>
      </c>
      <c r="CH91" s="17" t="s">
        <v>217</v>
      </c>
      <c r="CI91" s="28">
        <v>5300</v>
      </c>
      <c r="CJ91" s="23" t="b">
        <v>1</v>
      </c>
      <c r="CK91" s="23" t="b">
        <v>0</v>
      </c>
      <c r="CL91" s="23" t="b">
        <v>0</v>
      </c>
      <c r="CM91" s="23" t="b">
        <v>0</v>
      </c>
      <c r="CN91" s="23" t="b">
        <v>0</v>
      </c>
      <c r="CO91" s="17" t="s">
        <v>61</v>
      </c>
      <c r="CQ91" s="17" t="s">
        <v>320</v>
      </c>
      <c r="CR91" s="17" t="s">
        <v>57</v>
      </c>
      <c r="CT91" s="17" t="s">
        <v>320</v>
      </c>
      <c r="CU91" s="17" t="s">
        <v>58</v>
      </c>
      <c r="CW91" s="24" t="s">
        <v>225</v>
      </c>
      <c r="CX91" s="10" t="s">
        <v>144</v>
      </c>
      <c r="CZ91" s="17" t="s">
        <v>320</v>
      </c>
      <c r="DA91" s="24" t="s">
        <v>73</v>
      </c>
      <c r="DC91" s="17" t="s">
        <v>320</v>
      </c>
      <c r="DD91" s="17" t="s">
        <v>58</v>
      </c>
    </row>
    <row r="92" spans="1:108" ht="16.5" x14ac:dyDescent="0.25">
      <c r="A92" s="97"/>
      <c r="B92" s="97"/>
      <c r="C92" s="97"/>
      <c r="D92" s="97"/>
      <c r="E92" s="97"/>
      <c r="F92" s="97"/>
      <c r="G92" s="98"/>
      <c r="H92" s="97"/>
      <c r="I92" s="97"/>
      <c r="J92" s="97"/>
      <c r="K92" s="97"/>
      <c r="L92" s="97"/>
      <c r="M92" s="97"/>
      <c r="N92" s="97"/>
      <c r="O92" s="97"/>
      <c r="P92" s="97"/>
      <c r="Q92" s="100"/>
      <c r="R92" s="101"/>
      <c r="S92" s="99"/>
      <c r="T92" s="99"/>
      <c r="U92" s="97"/>
      <c r="V92" s="20" t="str">
        <f t="shared" si="29"/>
        <v/>
      </c>
      <c r="W92" s="20" t="str">
        <f t="shared" si="30"/>
        <v/>
      </c>
      <c r="X92" s="20" t="str">
        <f t="shared" si="31"/>
        <v/>
      </c>
      <c r="Y92" s="20" t="str">
        <f t="shared" si="32"/>
        <v/>
      </c>
      <c r="Z92" s="20" t="str">
        <f t="shared" si="33"/>
        <v/>
      </c>
      <c r="AA92" s="20" t="str">
        <f t="shared" si="34"/>
        <v/>
      </c>
      <c r="AB92" s="20" t="str">
        <f t="shared" si="35"/>
        <v/>
      </c>
      <c r="AC92" s="20" t="str">
        <f t="shared" si="36"/>
        <v/>
      </c>
      <c r="AD92" s="20" t="str">
        <f t="shared" si="37"/>
        <v/>
      </c>
      <c r="AE92" s="20" t="str">
        <f t="shared" si="38"/>
        <v/>
      </c>
      <c r="AF92" s="20" t="str">
        <f t="shared" si="39"/>
        <v/>
      </c>
      <c r="AG92" s="20" t="str">
        <f t="shared" si="40"/>
        <v/>
      </c>
      <c r="AH92" s="20" t="str">
        <f t="shared" si="41"/>
        <v/>
      </c>
      <c r="AI92" s="20" t="str">
        <f t="shared" si="42"/>
        <v/>
      </c>
      <c r="AJ92" s="20" t="str">
        <f t="shared" si="43"/>
        <v/>
      </c>
      <c r="AK92" s="20" t="str">
        <f t="shared" si="44"/>
        <v/>
      </c>
      <c r="AL92" s="20" t="str">
        <f t="shared" si="45"/>
        <v/>
      </c>
      <c r="AM92" s="20" t="str">
        <f t="shared" si="46"/>
        <v/>
      </c>
      <c r="AN92" s="20" t="str">
        <f t="shared" si="47"/>
        <v/>
      </c>
      <c r="AO92" s="20" t="str">
        <f t="shared" si="48"/>
        <v/>
      </c>
      <c r="AP92" s="20" t="str">
        <f t="shared" si="49"/>
        <v/>
      </c>
      <c r="AQ92" s="20" t="str">
        <f t="shared" si="50"/>
        <v/>
      </c>
      <c r="AR92" s="20" t="str">
        <f t="shared" si="51"/>
        <v/>
      </c>
      <c r="AS92" s="20" t="str">
        <f t="shared" si="52"/>
        <v/>
      </c>
      <c r="AT92" s="20" t="str">
        <f t="shared" si="53"/>
        <v/>
      </c>
      <c r="AU92" s="20" t="str">
        <f t="shared" si="54"/>
        <v/>
      </c>
      <c r="AV92" s="20" t="str">
        <f t="shared" si="55"/>
        <v/>
      </c>
      <c r="AW92" s="20" t="str">
        <f t="shared" si="56"/>
        <v/>
      </c>
      <c r="BD92" s="17" t="s">
        <v>233</v>
      </c>
      <c r="BE92" s="17" t="s">
        <v>593</v>
      </c>
      <c r="BF92" s="17" t="s">
        <v>547</v>
      </c>
      <c r="BG92" s="17" t="s">
        <v>596</v>
      </c>
      <c r="BH92" s="17" t="s">
        <v>92</v>
      </c>
      <c r="BI92" s="17" t="s">
        <v>799</v>
      </c>
      <c r="BJ92" s="94"/>
      <c r="BK92" s="18">
        <v>360449</v>
      </c>
      <c r="BL92" s="18" t="s">
        <v>754</v>
      </c>
      <c r="BM92" s="18">
        <v>3317</v>
      </c>
      <c r="BN92" s="18" t="s">
        <v>308</v>
      </c>
      <c r="BO92" s="17" t="s">
        <v>86</v>
      </c>
      <c r="BP92" s="17" t="s">
        <v>309</v>
      </c>
      <c r="BQ92" s="17" t="s">
        <v>310</v>
      </c>
      <c r="BR92" s="18" t="s">
        <v>1026</v>
      </c>
      <c r="BS92" s="22" t="s">
        <v>517</v>
      </c>
      <c r="BV92" s="17" t="s">
        <v>83</v>
      </c>
      <c r="BW92" s="94"/>
      <c r="BX92" s="17">
        <v>803</v>
      </c>
      <c r="BY92" s="17">
        <v>202302</v>
      </c>
      <c r="BZ92" s="17" t="s">
        <v>970</v>
      </c>
      <c r="CA92" s="94"/>
      <c r="CB92" s="17" t="s">
        <v>83</v>
      </c>
      <c r="CC92" s="17" t="s">
        <v>569</v>
      </c>
      <c r="CD92" s="17" t="s">
        <v>579</v>
      </c>
      <c r="CE92" t="s">
        <v>76</v>
      </c>
      <c r="CF92" s="17" t="s">
        <v>1131</v>
      </c>
      <c r="CG92" s="17" t="s">
        <v>519</v>
      </c>
      <c r="CH92" s="78" t="s">
        <v>233</v>
      </c>
      <c r="CI92" s="28">
        <v>7541</v>
      </c>
      <c r="CJ92" s="23" t="b">
        <v>0</v>
      </c>
      <c r="CK92" s="23" t="b">
        <v>0</v>
      </c>
      <c r="CL92" s="23" t="b">
        <v>0</v>
      </c>
      <c r="CM92" s="23" t="b">
        <v>1</v>
      </c>
      <c r="CN92" s="23" t="b">
        <v>0</v>
      </c>
      <c r="CO92" s="17" t="s">
        <v>1133</v>
      </c>
      <c r="CQ92" s="17" t="s">
        <v>321</v>
      </c>
      <c r="CR92" s="17" t="s">
        <v>57</v>
      </c>
      <c r="CT92" s="17" t="s">
        <v>321</v>
      </c>
      <c r="CU92" s="17" t="s">
        <v>83</v>
      </c>
      <c r="CW92" s="24" t="s">
        <v>229</v>
      </c>
      <c r="CX92" s="10" t="s">
        <v>144</v>
      </c>
      <c r="CZ92" s="17" t="s">
        <v>321</v>
      </c>
      <c r="DA92" s="24" t="s">
        <v>73</v>
      </c>
      <c r="DC92" s="17" t="s">
        <v>321</v>
      </c>
      <c r="DD92" s="17" t="s">
        <v>83</v>
      </c>
    </row>
    <row r="93" spans="1:108" ht="16.5" x14ac:dyDescent="0.25">
      <c r="A93" s="97"/>
      <c r="B93" s="97"/>
      <c r="C93" s="97"/>
      <c r="D93" s="97"/>
      <c r="E93" s="97"/>
      <c r="F93" s="97"/>
      <c r="G93" s="98"/>
      <c r="H93" s="97"/>
      <c r="I93" s="97"/>
      <c r="J93" s="97"/>
      <c r="K93" s="97"/>
      <c r="L93" s="97"/>
      <c r="M93" s="97"/>
      <c r="N93" s="97"/>
      <c r="O93" s="97"/>
      <c r="P93" s="97"/>
      <c r="Q93" s="100"/>
      <c r="R93" s="101"/>
      <c r="S93" s="99"/>
      <c r="T93" s="99"/>
      <c r="U93" s="97"/>
      <c r="V93" s="20" t="str">
        <f t="shared" si="29"/>
        <v/>
      </c>
      <c r="W93" s="20" t="str">
        <f t="shared" si="30"/>
        <v/>
      </c>
      <c r="X93" s="20" t="str">
        <f t="shared" si="31"/>
        <v/>
      </c>
      <c r="Y93" s="20" t="str">
        <f t="shared" si="32"/>
        <v/>
      </c>
      <c r="Z93" s="20" t="str">
        <f t="shared" si="33"/>
        <v/>
      </c>
      <c r="AA93" s="20" t="str">
        <f t="shared" si="34"/>
        <v/>
      </c>
      <c r="AB93" s="20" t="str">
        <f t="shared" si="35"/>
        <v/>
      </c>
      <c r="AC93" s="20" t="str">
        <f t="shared" si="36"/>
        <v/>
      </c>
      <c r="AD93" s="20" t="str">
        <f t="shared" si="37"/>
        <v/>
      </c>
      <c r="AE93" s="20" t="str">
        <f t="shared" si="38"/>
        <v/>
      </c>
      <c r="AF93" s="20" t="str">
        <f t="shared" si="39"/>
        <v/>
      </c>
      <c r="AG93" s="20" t="str">
        <f t="shared" si="40"/>
        <v/>
      </c>
      <c r="AH93" s="20" t="str">
        <f t="shared" si="41"/>
        <v/>
      </c>
      <c r="AI93" s="20" t="str">
        <f t="shared" si="42"/>
        <v/>
      </c>
      <c r="AJ93" s="20" t="str">
        <f t="shared" si="43"/>
        <v/>
      </c>
      <c r="AK93" s="20" t="str">
        <f t="shared" si="44"/>
        <v/>
      </c>
      <c r="AL93" s="20" t="str">
        <f t="shared" si="45"/>
        <v/>
      </c>
      <c r="AM93" s="20" t="str">
        <f t="shared" si="46"/>
        <v/>
      </c>
      <c r="AN93" s="20" t="str">
        <f t="shared" si="47"/>
        <v/>
      </c>
      <c r="AO93" s="20" t="str">
        <f t="shared" si="48"/>
        <v/>
      </c>
      <c r="AP93" s="20" t="str">
        <f t="shared" si="49"/>
        <v/>
      </c>
      <c r="AQ93" s="20" t="str">
        <f t="shared" si="50"/>
        <v/>
      </c>
      <c r="AR93" s="20" t="str">
        <f t="shared" si="51"/>
        <v/>
      </c>
      <c r="AS93" s="20" t="str">
        <f t="shared" si="52"/>
        <v/>
      </c>
      <c r="AT93" s="20" t="str">
        <f t="shared" si="53"/>
        <v/>
      </c>
      <c r="AU93" s="20" t="str">
        <f t="shared" si="54"/>
        <v/>
      </c>
      <c r="AV93" s="20" t="str">
        <f t="shared" si="55"/>
        <v/>
      </c>
      <c r="AW93" s="20" t="str">
        <f t="shared" si="56"/>
        <v/>
      </c>
      <c r="BD93" s="17" t="s">
        <v>233</v>
      </c>
      <c r="BE93" s="17" t="s">
        <v>593</v>
      </c>
      <c r="BF93" s="17" t="s">
        <v>547</v>
      </c>
      <c r="BG93" s="17" t="s">
        <v>595</v>
      </c>
      <c r="BH93" s="17" t="s">
        <v>58</v>
      </c>
      <c r="BI93" s="17" t="s">
        <v>800</v>
      </c>
      <c r="BJ93" s="94"/>
      <c r="BK93" s="18">
        <v>360447</v>
      </c>
      <c r="BL93" s="18" t="s">
        <v>753</v>
      </c>
      <c r="BM93" s="18">
        <v>3318</v>
      </c>
      <c r="BN93" s="18" t="s">
        <v>308</v>
      </c>
      <c r="BO93" s="17" t="s">
        <v>86</v>
      </c>
      <c r="BP93" s="17" t="s">
        <v>309</v>
      </c>
      <c r="BQ93" s="17" t="s">
        <v>310</v>
      </c>
      <c r="BR93" s="18" t="s">
        <v>1026</v>
      </c>
      <c r="BS93" s="22" t="s">
        <v>517</v>
      </c>
      <c r="BV93" s="17" t="s">
        <v>58</v>
      </c>
      <c r="BW93" s="94"/>
      <c r="BX93" s="17">
        <v>802</v>
      </c>
      <c r="BY93" s="17">
        <v>202302</v>
      </c>
      <c r="BZ93" s="17" t="s">
        <v>970</v>
      </c>
      <c r="CA93" s="94"/>
      <c r="CB93" s="17" t="s">
        <v>58</v>
      </c>
      <c r="CC93" s="17" t="s">
        <v>569</v>
      </c>
      <c r="CD93" s="17" t="s">
        <v>579</v>
      </c>
      <c r="CE93" t="s">
        <v>76</v>
      </c>
      <c r="CF93" s="17" t="s">
        <v>1131</v>
      </c>
      <c r="CG93" s="17" t="s">
        <v>519</v>
      </c>
      <c r="CH93" s="78" t="s">
        <v>233</v>
      </c>
      <c r="CI93" s="28">
        <v>7541</v>
      </c>
      <c r="CJ93" s="23" t="b">
        <v>1</v>
      </c>
      <c r="CK93" s="23" t="b">
        <v>0</v>
      </c>
      <c r="CL93" s="23" t="b">
        <v>0</v>
      </c>
      <c r="CM93" s="23" t="b">
        <v>0</v>
      </c>
      <c r="CN93" s="23" t="b">
        <v>0</v>
      </c>
      <c r="CO93" s="17" t="s">
        <v>1133</v>
      </c>
      <c r="CQ93" s="17" t="s">
        <v>322</v>
      </c>
      <c r="CR93" s="17" t="s">
        <v>57</v>
      </c>
      <c r="CT93" s="17" t="s">
        <v>322</v>
      </c>
      <c r="CU93" s="17" t="s">
        <v>58</v>
      </c>
      <c r="CW93" s="24" t="s">
        <v>311</v>
      </c>
      <c r="CX93" s="10" t="s">
        <v>144</v>
      </c>
      <c r="CZ93" s="17" t="s">
        <v>322</v>
      </c>
      <c r="DA93" s="24" t="s">
        <v>73</v>
      </c>
      <c r="DC93" s="17" t="s">
        <v>322</v>
      </c>
      <c r="DD93" s="17" t="s">
        <v>58</v>
      </c>
    </row>
    <row r="94" spans="1:108" ht="16.5" x14ac:dyDescent="0.25">
      <c r="A94" s="97"/>
      <c r="B94" s="97"/>
      <c r="C94" s="97"/>
      <c r="D94" s="97"/>
      <c r="E94" s="97"/>
      <c r="F94" s="97"/>
      <c r="G94" s="98"/>
      <c r="H94" s="97"/>
      <c r="I94" s="97"/>
      <c r="J94" s="97"/>
      <c r="K94" s="97"/>
      <c r="L94" s="97"/>
      <c r="M94" s="97"/>
      <c r="N94" s="97"/>
      <c r="O94" s="97"/>
      <c r="P94" s="97"/>
      <c r="Q94" s="100"/>
      <c r="R94" s="101"/>
      <c r="S94" s="99"/>
      <c r="T94" s="99"/>
      <c r="U94" s="97"/>
      <c r="V94" s="20" t="str">
        <f t="shared" si="29"/>
        <v/>
      </c>
      <c r="W94" s="20" t="str">
        <f t="shared" si="30"/>
        <v/>
      </c>
      <c r="X94" s="20" t="str">
        <f t="shared" si="31"/>
        <v/>
      </c>
      <c r="Y94" s="20" t="str">
        <f t="shared" si="32"/>
        <v/>
      </c>
      <c r="Z94" s="20" t="str">
        <f t="shared" si="33"/>
        <v/>
      </c>
      <c r="AA94" s="20" t="str">
        <f t="shared" si="34"/>
        <v/>
      </c>
      <c r="AB94" s="20" t="str">
        <f t="shared" si="35"/>
        <v/>
      </c>
      <c r="AC94" s="20" t="str">
        <f t="shared" si="36"/>
        <v/>
      </c>
      <c r="AD94" s="20" t="str">
        <f t="shared" si="37"/>
        <v/>
      </c>
      <c r="AE94" s="20" t="str">
        <f t="shared" si="38"/>
        <v/>
      </c>
      <c r="AF94" s="20" t="str">
        <f t="shared" si="39"/>
        <v/>
      </c>
      <c r="AG94" s="20" t="str">
        <f t="shared" si="40"/>
        <v/>
      </c>
      <c r="AH94" s="20" t="str">
        <f t="shared" si="41"/>
        <v/>
      </c>
      <c r="AI94" s="20" t="str">
        <f t="shared" si="42"/>
        <v/>
      </c>
      <c r="AJ94" s="20" t="str">
        <f t="shared" si="43"/>
        <v/>
      </c>
      <c r="AK94" s="20" t="str">
        <f t="shared" si="44"/>
        <v/>
      </c>
      <c r="AL94" s="20" t="str">
        <f t="shared" si="45"/>
        <v/>
      </c>
      <c r="AM94" s="20" t="str">
        <f t="shared" si="46"/>
        <v/>
      </c>
      <c r="AN94" s="20" t="str">
        <f t="shared" si="47"/>
        <v/>
      </c>
      <c r="AO94" s="20" t="str">
        <f t="shared" si="48"/>
        <v/>
      </c>
      <c r="AP94" s="20" t="str">
        <f t="shared" si="49"/>
        <v/>
      </c>
      <c r="AQ94" s="20" t="str">
        <f t="shared" si="50"/>
        <v/>
      </c>
      <c r="AR94" s="20" t="str">
        <f t="shared" si="51"/>
        <v/>
      </c>
      <c r="AS94" s="20" t="str">
        <f t="shared" si="52"/>
        <v/>
      </c>
      <c r="AT94" s="20" t="str">
        <f t="shared" si="53"/>
        <v/>
      </c>
      <c r="AU94" s="20" t="str">
        <f t="shared" si="54"/>
        <v/>
      </c>
      <c r="AV94" s="20" t="str">
        <f t="shared" si="55"/>
        <v/>
      </c>
      <c r="AW94" s="20" t="str">
        <f t="shared" si="56"/>
        <v/>
      </c>
      <c r="BD94" s="17" t="s">
        <v>233</v>
      </c>
      <c r="BE94" s="17" t="s">
        <v>594</v>
      </c>
      <c r="BF94" s="17" t="s">
        <v>547</v>
      </c>
      <c r="BG94" s="17" t="s">
        <v>596</v>
      </c>
      <c r="BH94" s="17" t="s">
        <v>92</v>
      </c>
      <c r="BI94" s="17" t="s">
        <v>801</v>
      </c>
      <c r="BJ94" s="94"/>
      <c r="BK94" s="18"/>
      <c r="BN94" s="18" t="s">
        <v>308</v>
      </c>
      <c r="BO94" s="17" t="s">
        <v>86</v>
      </c>
      <c r="BP94" s="17" t="s">
        <v>309</v>
      </c>
      <c r="BQ94" s="17" t="s">
        <v>310</v>
      </c>
      <c r="BR94" s="18" t="s">
        <v>1026</v>
      </c>
      <c r="BS94" s="22" t="s">
        <v>517</v>
      </c>
      <c r="BW94" s="94"/>
      <c r="BX94" s="17" t="s">
        <v>636</v>
      </c>
      <c r="BY94" s="17" t="s">
        <v>636</v>
      </c>
      <c r="BZ94" s="17" t="s">
        <v>970</v>
      </c>
      <c r="CA94" s="94"/>
      <c r="CB94" s="17" t="s">
        <v>83</v>
      </c>
      <c r="CC94" s="17" t="s">
        <v>569</v>
      </c>
      <c r="CD94" s="17" t="s">
        <v>579</v>
      </c>
      <c r="CE94" t="s">
        <v>76</v>
      </c>
      <c r="CF94" s="17" t="s">
        <v>1131</v>
      </c>
      <c r="CG94" s="17" t="s">
        <v>518</v>
      </c>
      <c r="CH94" s="78" t="s">
        <v>233</v>
      </c>
      <c r="CI94" s="28">
        <v>7541</v>
      </c>
      <c r="CJ94" s="23" t="b">
        <v>0</v>
      </c>
      <c r="CK94" s="23" t="b">
        <v>0</v>
      </c>
      <c r="CL94" s="23" t="b">
        <v>0</v>
      </c>
      <c r="CM94" s="23" t="b">
        <v>1</v>
      </c>
      <c r="CN94" s="23" t="b">
        <v>0</v>
      </c>
      <c r="CO94" s="17" t="s">
        <v>562</v>
      </c>
      <c r="CQ94" s="17" t="s">
        <v>324</v>
      </c>
      <c r="CR94" s="17" t="s">
        <v>57</v>
      </c>
      <c r="CT94" s="17" t="s">
        <v>324</v>
      </c>
      <c r="CU94" s="17" t="s">
        <v>83</v>
      </c>
      <c r="CW94" s="24" t="s">
        <v>312</v>
      </c>
      <c r="CX94" s="10" t="s">
        <v>144</v>
      </c>
      <c r="CZ94" s="17" t="s">
        <v>324</v>
      </c>
      <c r="DA94" s="24" t="s">
        <v>73</v>
      </c>
      <c r="DC94" s="17" t="s">
        <v>324</v>
      </c>
      <c r="DD94" s="17" t="s">
        <v>83</v>
      </c>
    </row>
    <row r="95" spans="1:108" ht="16.5" x14ac:dyDescent="0.25">
      <c r="A95" s="97"/>
      <c r="B95" s="97"/>
      <c r="C95" s="97"/>
      <c r="D95" s="97"/>
      <c r="E95" s="97"/>
      <c r="F95" s="97"/>
      <c r="G95" s="98"/>
      <c r="H95" s="97"/>
      <c r="I95" s="97"/>
      <c r="J95" s="97"/>
      <c r="K95" s="97"/>
      <c r="L95" s="97"/>
      <c r="M95" s="97"/>
      <c r="N95" s="97"/>
      <c r="O95" s="97"/>
      <c r="P95" s="97"/>
      <c r="Q95" s="100"/>
      <c r="R95" s="101"/>
      <c r="S95" s="99"/>
      <c r="T95" s="99"/>
      <c r="U95" s="97"/>
      <c r="V95" s="20" t="str">
        <f t="shared" si="29"/>
        <v/>
      </c>
      <c r="W95" s="20" t="str">
        <f t="shared" si="30"/>
        <v/>
      </c>
      <c r="X95" s="20" t="str">
        <f t="shared" si="31"/>
        <v/>
      </c>
      <c r="Y95" s="20" t="str">
        <f t="shared" si="32"/>
        <v/>
      </c>
      <c r="Z95" s="20" t="str">
        <f t="shared" si="33"/>
        <v/>
      </c>
      <c r="AA95" s="20" t="str">
        <f t="shared" si="34"/>
        <v/>
      </c>
      <c r="AB95" s="20" t="str">
        <f t="shared" si="35"/>
        <v/>
      </c>
      <c r="AC95" s="20" t="str">
        <f t="shared" si="36"/>
        <v/>
      </c>
      <c r="AD95" s="20" t="str">
        <f t="shared" si="37"/>
        <v/>
      </c>
      <c r="AE95" s="20" t="str">
        <f t="shared" si="38"/>
        <v/>
      </c>
      <c r="AF95" s="20" t="str">
        <f t="shared" si="39"/>
        <v/>
      </c>
      <c r="AG95" s="20" t="str">
        <f t="shared" si="40"/>
        <v/>
      </c>
      <c r="AH95" s="20" t="str">
        <f t="shared" si="41"/>
        <v/>
      </c>
      <c r="AI95" s="20" t="str">
        <f t="shared" si="42"/>
        <v/>
      </c>
      <c r="AJ95" s="20" t="str">
        <f t="shared" si="43"/>
        <v/>
      </c>
      <c r="AK95" s="20" t="str">
        <f t="shared" si="44"/>
        <v/>
      </c>
      <c r="AL95" s="20" t="str">
        <f t="shared" si="45"/>
        <v/>
      </c>
      <c r="AM95" s="20" t="str">
        <f t="shared" si="46"/>
        <v/>
      </c>
      <c r="AN95" s="20" t="str">
        <f t="shared" si="47"/>
        <v/>
      </c>
      <c r="AO95" s="20" t="str">
        <f t="shared" si="48"/>
        <v/>
      </c>
      <c r="AP95" s="20" t="str">
        <f t="shared" si="49"/>
        <v/>
      </c>
      <c r="AQ95" s="20" t="str">
        <f t="shared" si="50"/>
        <v/>
      </c>
      <c r="AR95" s="20" t="str">
        <f t="shared" si="51"/>
        <v/>
      </c>
      <c r="AS95" s="20" t="str">
        <f t="shared" si="52"/>
        <v/>
      </c>
      <c r="AT95" s="20" t="str">
        <f t="shared" si="53"/>
        <v/>
      </c>
      <c r="AU95" s="20" t="str">
        <f t="shared" si="54"/>
        <v/>
      </c>
      <c r="AV95" s="20" t="str">
        <f t="shared" si="55"/>
        <v/>
      </c>
      <c r="AW95" s="20" t="str">
        <f t="shared" si="56"/>
        <v/>
      </c>
      <c r="BD95" s="17" t="s">
        <v>233</v>
      </c>
      <c r="BE95" s="17" t="s">
        <v>594</v>
      </c>
      <c r="BF95" s="17" t="s">
        <v>547</v>
      </c>
      <c r="BG95" s="17" t="s">
        <v>595</v>
      </c>
      <c r="BH95" s="17" t="s">
        <v>58</v>
      </c>
      <c r="BI95" s="17" t="s">
        <v>802</v>
      </c>
      <c r="BJ95" s="94"/>
      <c r="BK95" s="18"/>
      <c r="BN95" s="18" t="s">
        <v>308</v>
      </c>
      <c r="BO95" s="17" t="s">
        <v>86</v>
      </c>
      <c r="BP95" s="17" t="s">
        <v>309</v>
      </c>
      <c r="BQ95" s="17" t="s">
        <v>310</v>
      </c>
      <c r="BR95" s="17" t="s">
        <v>1026</v>
      </c>
      <c r="BS95" s="17" t="s">
        <v>517</v>
      </c>
      <c r="BW95" s="94"/>
      <c r="BX95" s="17" t="s">
        <v>636</v>
      </c>
      <c r="BY95" s="17" t="s">
        <v>636</v>
      </c>
      <c r="BZ95" s="17" t="s">
        <v>970</v>
      </c>
      <c r="CA95" s="94"/>
      <c r="CB95" s="17" t="s">
        <v>58</v>
      </c>
      <c r="CC95" s="17" t="s">
        <v>569</v>
      </c>
      <c r="CD95" s="17" t="s">
        <v>579</v>
      </c>
      <c r="CE95" t="s">
        <v>76</v>
      </c>
      <c r="CF95" s="17" t="s">
        <v>1131</v>
      </c>
      <c r="CG95" s="17" t="s">
        <v>518</v>
      </c>
      <c r="CH95" s="78" t="s">
        <v>233</v>
      </c>
      <c r="CI95" s="28">
        <v>7541</v>
      </c>
      <c r="CJ95" s="23" t="b">
        <v>1</v>
      </c>
      <c r="CK95" s="23" t="b">
        <v>0</v>
      </c>
      <c r="CL95" s="23" t="b">
        <v>0</v>
      </c>
      <c r="CM95" s="23" t="b">
        <v>0</v>
      </c>
      <c r="CN95" s="23" t="b">
        <v>0</v>
      </c>
      <c r="CO95" s="23" t="s">
        <v>562</v>
      </c>
      <c r="CQ95" s="24" t="s">
        <v>139</v>
      </c>
      <c r="CR95" s="17" t="s">
        <v>325</v>
      </c>
      <c r="CT95" s="24" t="s">
        <v>139</v>
      </c>
      <c r="CU95" s="17" t="s">
        <v>58</v>
      </c>
      <c r="CW95" s="17" t="s">
        <v>313</v>
      </c>
      <c r="CX95" s="10" t="s">
        <v>144</v>
      </c>
      <c r="CZ95" s="24" t="s">
        <v>139</v>
      </c>
      <c r="DA95" s="24" t="s">
        <v>326</v>
      </c>
      <c r="DC95" s="24" t="s">
        <v>139</v>
      </c>
      <c r="DD95" s="17" t="s">
        <v>58</v>
      </c>
    </row>
    <row r="96" spans="1:108" ht="16.5" x14ac:dyDescent="0.25">
      <c r="A96" s="97"/>
      <c r="B96" s="97"/>
      <c r="C96" s="97"/>
      <c r="D96" s="97"/>
      <c r="E96" s="97"/>
      <c r="F96" s="97"/>
      <c r="G96" s="98"/>
      <c r="H96" s="97"/>
      <c r="I96" s="97"/>
      <c r="J96" s="97"/>
      <c r="K96" s="97"/>
      <c r="L96" s="97"/>
      <c r="M96" s="97"/>
      <c r="N96" s="97"/>
      <c r="O96" s="97"/>
      <c r="P96" s="97"/>
      <c r="Q96" s="100"/>
      <c r="R96" s="101"/>
      <c r="S96" s="99"/>
      <c r="T96" s="99"/>
      <c r="U96" s="97"/>
      <c r="V96" s="20" t="str">
        <f t="shared" si="29"/>
        <v/>
      </c>
      <c r="W96" s="20" t="str">
        <f t="shared" si="30"/>
        <v/>
      </c>
      <c r="X96" s="20" t="str">
        <f t="shared" si="31"/>
        <v/>
      </c>
      <c r="Y96" s="20" t="str">
        <f t="shared" si="32"/>
        <v/>
      </c>
      <c r="Z96" s="20" t="str">
        <f t="shared" si="33"/>
        <v/>
      </c>
      <c r="AA96" s="20" t="str">
        <f t="shared" si="34"/>
        <v/>
      </c>
      <c r="AB96" s="20" t="str">
        <f t="shared" si="35"/>
        <v/>
      </c>
      <c r="AC96" s="20" t="str">
        <f t="shared" si="36"/>
        <v/>
      </c>
      <c r="AD96" s="20" t="str">
        <f t="shared" si="37"/>
        <v/>
      </c>
      <c r="AE96" s="20" t="str">
        <f t="shared" si="38"/>
        <v/>
      </c>
      <c r="AF96" s="20" t="str">
        <f t="shared" si="39"/>
        <v/>
      </c>
      <c r="AG96" s="20" t="str">
        <f t="shared" si="40"/>
        <v/>
      </c>
      <c r="AH96" s="20" t="str">
        <f t="shared" si="41"/>
        <v/>
      </c>
      <c r="AI96" s="20" t="str">
        <f t="shared" si="42"/>
        <v/>
      </c>
      <c r="AJ96" s="20" t="str">
        <f t="shared" si="43"/>
        <v/>
      </c>
      <c r="AK96" s="20" t="str">
        <f t="shared" si="44"/>
        <v/>
      </c>
      <c r="AL96" s="20" t="str">
        <f t="shared" si="45"/>
        <v/>
      </c>
      <c r="AM96" s="20" t="str">
        <f t="shared" si="46"/>
        <v/>
      </c>
      <c r="AN96" s="20" t="str">
        <f t="shared" si="47"/>
        <v/>
      </c>
      <c r="AO96" s="20" t="str">
        <f t="shared" si="48"/>
        <v/>
      </c>
      <c r="AP96" s="20" t="str">
        <f t="shared" si="49"/>
        <v/>
      </c>
      <c r="AQ96" s="20" t="str">
        <f t="shared" si="50"/>
        <v/>
      </c>
      <c r="AR96" s="20" t="str">
        <f t="shared" si="51"/>
        <v/>
      </c>
      <c r="AS96" s="20" t="str">
        <f t="shared" si="52"/>
        <v/>
      </c>
      <c r="AT96" s="20" t="str">
        <f t="shared" si="53"/>
        <v/>
      </c>
      <c r="AU96" s="20" t="str">
        <f t="shared" si="54"/>
        <v/>
      </c>
      <c r="AV96" s="20" t="str">
        <f t="shared" si="55"/>
        <v/>
      </c>
      <c r="AW96" s="20" t="str">
        <f t="shared" si="56"/>
        <v/>
      </c>
      <c r="BD96" s="17" t="s">
        <v>233</v>
      </c>
      <c r="BE96" s="17" t="s">
        <v>73</v>
      </c>
      <c r="BF96" s="17" t="s">
        <v>547</v>
      </c>
      <c r="BG96" s="17" t="s">
        <v>596</v>
      </c>
      <c r="BH96" s="17" t="s">
        <v>92</v>
      </c>
      <c r="BI96" s="17" t="s">
        <v>803</v>
      </c>
      <c r="BJ96" s="94"/>
      <c r="BK96" s="18">
        <v>5573290</v>
      </c>
      <c r="BL96" s="18" t="s">
        <v>314</v>
      </c>
      <c r="BM96" s="18">
        <v>73</v>
      </c>
      <c r="BN96" s="18" t="s">
        <v>308</v>
      </c>
      <c r="BO96" s="17" t="s">
        <v>86</v>
      </c>
      <c r="BP96" s="17" t="s">
        <v>309</v>
      </c>
      <c r="BQ96" s="17" t="s">
        <v>310</v>
      </c>
      <c r="BR96" s="17" t="s">
        <v>988</v>
      </c>
      <c r="BS96" s="17" t="s">
        <v>67</v>
      </c>
      <c r="BU96" s="17" t="s">
        <v>56</v>
      </c>
      <c r="BW96" s="94"/>
      <c r="BX96" s="17">
        <v>776</v>
      </c>
      <c r="BY96" s="17">
        <v>164473</v>
      </c>
      <c r="CA96" s="94"/>
      <c r="CB96" s="17" t="s">
        <v>83</v>
      </c>
      <c r="CC96" s="17" t="s">
        <v>569</v>
      </c>
      <c r="CD96" s="17" t="s">
        <v>579</v>
      </c>
      <c r="CE96" t="s">
        <v>76</v>
      </c>
      <c r="CF96" s="17" t="s">
        <v>1132</v>
      </c>
      <c r="CG96" s="17" t="s">
        <v>73</v>
      </c>
      <c r="CH96" s="78" t="s">
        <v>233</v>
      </c>
      <c r="CI96" s="28">
        <v>5256</v>
      </c>
      <c r="CJ96" s="23" t="b">
        <v>0</v>
      </c>
      <c r="CK96" s="23" t="b">
        <v>0</v>
      </c>
      <c r="CL96" s="23" t="b">
        <v>0</v>
      </c>
      <c r="CM96" s="23" t="b">
        <v>1</v>
      </c>
      <c r="CN96" s="23" t="b">
        <v>0</v>
      </c>
      <c r="CO96" s="23" t="s">
        <v>61</v>
      </c>
      <c r="CQ96" s="24" t="s">
        <v>146</v>
      </c>
      <c r="CR96" s="17" t="s">
        <v>325</v>
      </c>
      <c r="CT96" s="24" t="s">
        <v>146</v>
      </c>
      <c r="CU96" s="17" t="s">
        <v>83</v>
      </c>
      <c r="CW96" s="17" t="s">
        <v>314</v>
      </c>
      <c r="CX96" s="10" t="s">
        <v>144</v>
      </c>
      <c r="CZ96" s="24" t="s">
        <v>146</v>
      </c>
      <c r="DA96" s="24" t="s">
        <v>326</v>
      </c>
      <c r="DC96" s="24" t="s">
        <v>146</v>
      </c>
      <c r="DD96" s="17" t="s">
        <v>83</v>
      </c>
    </row>
    <row r="97" spans="1:108" ht="16.5" x14ac:dyDescent="0.25">
      <c r="A97" s="97"/>
      <c r="B97" s="97"/>
      <c r="C97" s="97"/>
      <c r="D97" s="97"/>
      <c r="E97" s="97"/>
      <c r="F97" s="97"/>
      <c r="G97" s="98"/>
      <c r="H97" s="97"/>
      <c r="I97" s="97"/>
      <c r="J97" s="97"/>
      <c r="K97" s="97"/>
      <c r="L97" s="97"/>
      <c r="M97" s="97"/>
      <c r="N97" s="97"/>
      <c r="O97" s="97"/>
      <c r="P97" s="97"/>
      <c r="Q97" s="100"/>
      <c r="R97" s="101"/>
      <c r="S97" s="99"/>
      <c r="T97" s="99"/>
      <c r="U97" s="97"/>
      <c r="V97" s="20" t="str">
        <f t="shared" si="29"/>
        <v/>
      </c>
      <c r="W97" s="20" t="str">
        <f t="shared" si="30"/>
        <v/>
      </c>
      <c r="X97" s="20" t="str">
        <f t="shared" si="31"/>
        <v/>
      </c>
      <c r="Y97" s="20" t="str">
        <f t="shared" si="32"/>
        <v/>
      </c>
      <c r="Z97" s="20" t="str">
        <f t="shared" si="33"/>
        <v/>
      </c>
      <c r="AA97" s="20" t="str">
        <f t="shared" si="34"/>
        <v/>
      </c>
      <c r="AB97" s="20" t="str">
        <f t="shared" si="35"/>
        <v/>
      </c>
      <c r="AC97" s="20" t="str">
        <f t="shared" si="36"/>
        <v/>
      </c>
      <c r="AD97" s="20" t="str">
        <f t="shared" si="37"/>
        <v/>
      </c>
      <c r="AE97" s="20" t="str">
        <f t="shared" si="38"/>
        <v/>
      </c>
      <c r="AF97" s="20" t="str">
        <f t="shared" si="39"/>
        <v/>
      </c>
      <c r="AG97" s="20" t="str">
        <f t="shared" si="40"/>
        <v/>
      </c>
      <c r="AH97" s="20" t="str">
        <f t="shared" si="41"/>
        <v/>
      </c>
      <c r="AI97" s="20" t="str">
        <f t="shared" si="42"/>
        <v/>
      </c>
      <c r="AJ97" s="20" t="str">
        <f t="shared" si="43"/>
        <v/>
      </c>
      <c r="AK97" s="20" t="str">
        <f t="shared" si="44"/>
        <v/>
      </c>
      <c r="AL97" s="20" t="str">
        <f t="shared" si="45"/>
        <v/>
      </c>
      <c r="AM97" s="20" t="str">
        <f t="shared" si="46"/>
        <v/>
      </c>
      <c r="AN97" s="20" t="str">
        <f t="shared" si="47"/>
        <v/>
      </c>
      <c r="AO97" s="20" t="str">
        <f t="shared" si="48"/>
        <v/>
      </c>
      <c r="AP97" s="20" t="str">
        <f t="shared" si="49"/>
        <v/>
      </c>
      <c r="AQ97" s="20" t="str">
        <f t="shared" si="50"/>
        <v/>
      </c>
      <c r="AR97" s="20" t="str">
        <f t="shared" si="51"/>
        <v/>
      </c>
      <c r="AS97" s="20" t="str">
        <f t="shared" si="52"/>
        <v/>
      </c>
      <c r="AT97" s="20" t="str">
        <f t="shared" si="53"/>
        <v/>
      </c>
      <c r="AU97" s="20" t="str">
        <f t="shared" si="54"/>
        <v/>
      </c>
      <c r="AV97" s="20" t="str">
        <f t="shared" si="55"/>
        <v/>
      </c>
      <c r="AW97" s="20" t="str">
        <f t="shared" si="56"/>
        <v/>
      </c>
      <c r="BD97" s="17" t="s">
        <v>233</v>
      </c>
      <c r="BE97" s="17" t="s">
        <v>73</v>
      </c>
      <c r="BF97" s="17" t="s">
        <v>547</v>
      </c>
      <c r="BG97" s="17" t="s">
        <v>596</v>
      </c>
      <c r="BH97" s="17" t="s">
        <v>92</v>
      </c>
      <c r="BI97" s="17" t="s">
        <v>803</v>
      </c>
      <c r="BJ97" s="94"/>
      <c r="BK97" s="18">
        <v>5573303</v>
      </c>
      <c r="BL97" s="18" t="s">
        <v>324</v>
      </c>
      <c r="BM97" s="18">
        <v>73</v>
      </c>
      <c r="BN97" s="18" t="s">
        <v>308</v>
      </c>
      <c r="BO97" s="17" t="s">
        <v>247</v>
      </c>
      <c r="BP97" s="17" t="s">
        <v>247</v>
      </c>
      <c r="BQ97" s="17" t="s">
        <v>323</v>
      </c>
      <c r="BR97" s="17" t="s">
        <v>988</v>
      </c>
      <c r="BS97" s="17" t="s">
        <v>67</v>
      </c>
      <c r="BU97" s="17" t="s">
        <v>56</v>
      </c>
      <c r="BW97" s="94"/>
      <c r="BX97" s="17">
        <v>776</v>
      </c>
      <c r="BY97" s="17">
        <v>199966</v>
      </c>
      <c r="CA97" s="94"/>
      <c r="CB97" s="17" t="s">
        <v>83</v>
      </c>
      <c r="CC97" s="17" t="s">
        <v>569</v>
      </c>
      <c r="CD97" s="17" t="s">
        <v>579</v>
      </c>
      <c r="CE97" t="s">
        <v>76</v>
      </c>
      <c r="CF97" s="17" t="s">
        <v>1132</v>
      </c>
      <c r="CG97" s="17" t="s">
        <v>73</v>
      </c>
      <c r="CH97" s="78" t="s">
        <v>233</v>
      </c>
      <c r="CI97" s="28">
        <v>5256</v>
      </c>
      <c r="CJ97" s="23" t="b">
        <v>0</v>
      </c>
      <c r="CK97" s="23" t="b">
        <v>0</v>
      </c>
      <c r="CL97" s="23" t="b">
        <v>0</v>
      </c>
      <c r="CM97" s="23" t="b">
        <v>1</v>
      </c>
      <c r="CN97" s="23" t="b">
        <v>0</v>
      </c>
      <c r="CO97" s="23" t="s">
        <v>61</v>
      </c>
      <c r="CQ97" s="15" t="s">
        <v>155</v>
      </c>
      <c r="CR97" s="17" t="s">
        <v>325</v>
      </c>
      <c r="CT97" s="15" t="s">
        <v>155</v>
      </c>
      <c r="CU97" s="17" t="s">
        <v>58</v>
      </c>
      <c r="CW97" s="17" t="s">
        <v>315</v>
      </c>
      <c r="CX97" s="10" t="s">
        <v>144</v>
      </c>
      <c r="CZ97" s="15" t="s">
        <v>155</v>
      </c>
      <c r="DA97" s="24" t="s">
        <v>326</v>
      </c>
      <c r="DC97" s="15" t="s">
        <v>155</v>
      </c>
      <c r="DD97" s="17" t="s">
        <v>58</v>
      </c>
    </row>
    <row r="98" spans="1:108" ht="16.5" x14ac:dyDescent="0.25">
      <c r="A98" s="97"/>
      <c r="B98" s="97"/>
      <c r="C98" s="97"/>
      <c r="D98" s="97"/>
      <c r="E98" s="97"/>
      <c r="F98" s="97"/>
      <c r="G98" s="98"/>
      <c r="H98" s="97"/>
      <c r="I98" s="97"/>
      <c r="J98" s="97"/>
      <c r="K98" s="97"/>
      <c r="L98" s="97"/>
      <c r="M98" s="97"/>
      <c r="N98" s="97"/>
      <c r="O98" s="97"/>
      <c r="P98" s="97"/>
      <c r="Q98" s="100"/>
      <c r="R98" s="101"/>
      <c r="S98" s="99"/>
      <c r="T98" s="99"/>
      <c r="U98" s="97"/>
      <c r="V98" s="20" t="str">
        <f t="shared" si="29"/>
        <v/>
      </c>
      <c r="W98" s="20" t="str">
        <f t="shared" si="30"/>
        <v/>
      </c>
      <c r="X98" s="20" t="str">
        <f t="shared" si="31"/>
        <v/>
      </c>
      <c r="Y98" s="20" t="str">
        <f t="shared" si="32"/>
        <v/>
      </c>
      <c r="Z98" s="20" t="str">
        <f t="shared" si="33"/>
        <v/>
      </c>
      <c r="AA98" s="20" t="str">
        <f t="shared" si="34"/>
        <v/>
      </c>
      <c r="AB98" s="20" t="str">
        <f t="shared" si="35"/>
        <v/>
      </c>
      <c r="AC98" s="20" t="str">
        <f t="shared" si="36"/>
        <v/>
      </c>
      <c r="AD98" s="20" t="str">
        <f t="shared" si="37"/>
        <v/>
      </c>
      <c r="AE98" s="20" t="str">
        <f t="shared" si="38"/>
        <v/>
      </c>
      <c r="AF98" s="20" t="str">
        <f t="shared" si="39"/>
        <v/>
      </c>
      <c r="AG98" s="20" t="str">
        <f t="shared" si="40"/>
        <v/>
      </c>
      <c r="AH98" s="20" t="str">
        <f t="shared" si="41"/>
        <v/>
      </c>
      <c r="AI98" s="20" t="str">
        <f t="shared" si="42"/>
        <v/>
      </c>
      <c r="AJ98" s="20" t="str">
        <f t="shared" si="43"/>
        <v/>
      </c>
      <c r="AK98" s="20" t="str">
        <f t="shared" si="44"/>
        <v/>
      </c>
      <c r="AL98" s="20" t="str">
        <f t="shared" si="45"/>
        <v/>
      </c>
      <c r="AM98" s="20" t="str">
        <f t="shared" si="46"/>
        <v/>
      </c>
      <c r="AN98" s="20" t="str">
        <f t="shared" si="47"/>
        <v/>
      </c>
      <c r="AO98" s="20" t="str">
        <f t="shared" si="48"/>
        <v/>
      </c>
      <c r="AP98" s="20" t="str">
        <f t="shared" si="49"/>
        <v/>
      </c>
      <c r="AQ98" s="20" t="str">
        <f t="shared" si="50"/>
        <v/>
      </c>
      <c r="AR98" s="20" t="str">
        <f t="shared" si="51"/>
        <v/>
      </c>
      <c r="AS98" s="20" t="str">
        <f t="shared" si="52"/>
        <v/>
      </c>
      <c r="AT98" s="20" t="str">
        <f t="shared" si="53"/>
        <v/>
      </c>
      <c r="AU98" s="20" t="str">
        <f t="shared" si="54"/>
        <v/>
      </c>
      <c r="AV98" s="20" t="str">
        <f t="shared" si="55"/>
        <v/>
      </c>
      <c r="AW98" s="20" t="str">
        <f t="shared" si="56"/>
        <v/>
      </c>
      <c r="BD98" s="17" t="s">
        <v>233</v>
      </c>
      <c r="BE98" s="17" t="s">
        <v>73</v>
      </c>
      <c r="BF98" s="17" t="s">
        <v>547</v>
      </c>
      <c r="BG98" s="17" t="s">
        <v>595</v>
      </c>
      <c r="BH98" s="17" t="s">
        <v>58</v>
      </c>
      <c r="BI98" s="17" t="s">
        <v>804</v>
      </c>
      <c r="BJ98" s="94"/>
      <c r="BK98" s="18">
        <v>5573290</v>
      </c>
      <c r="BL98" s="18" t="s">
        <v>313</v>
      </c>
      <c r="BM98" s="18">
        <v>72</v>
      </c>
      <c r="BN98" s="18" t="s">
        <v>308</v>
      </c>
      <c r="BO98" s="17" t="s">
        <v>86</v>
      </c>
      <c r="BP98" s="17" t="s">
        <v>309</v>
      </c>
      <c r="BQ98" s="17" t="s">
        <v>310</v>
      </c>
      <c r="BR98" s="17" t="s">
        <v>988</v>
      </c>
      <c r="BS98" s="17" t="s">
        <v>67</v>
      </c>
      <c r="BU98" s="17" t="s">
        <v>56</v>
      </c>
      <c r="BW98" s="94"/>
      <c r="BX98" s="17">
        <v>771</v>
      </c>
      <c r="BY98" s="17">
        <v>164473</v>
      </c>
      <c r="CA98" s="94"/>
      <c r="CB98" s="17" t="s">
        <v>58</v>
      </c>
      <c r="CC98" s="17" t="s">
        <v>569</v>
      </c>
      <c r="CD98" s="17" t="s">
        <v>579</v>
      </c>
      <c r="CE98" t="s">
        <v>76</v>
      </c>
      <c r="CF98" s="17" t="s">
        <v>1132</v>
      </c>
      <c r="CG98" s="17" t="s">
        <v>73</v>
      </c>
      <c r="CH98" s="78" t="s">
        <v>233</v>
      </c>
      <c r="CI98" s="28">
        <v>5256</v>
      </c>
      <c r="CJ98" s="23" t="b">
        <v>1</v>
      </c>
      <c r="CK98" s="23" t="b">
        <v>0</v>
      </c>
      <c r="CL98" s="23" t="b">
        <v>0</v>
      </c>
      <c r="CM98" s="23" t="b">
        <v>0</v>
      </c>
      <c r="CN98" s="23" t="b">
        <v>0</v>
      </c>
      <c r="CO98" s="23" t="s">
        <v>61</v>
      </c>
      <c r="CQ98" s="15" t="s">
        <v>160</v>
      </c>
      <c r="CR98" s="17" t="s">
        <v>325</v>
      </c>
      <c r="CT98" s="15" t="s">
        <v>160</v>
      </c>
      <c r="CU98" s="17" t="s">
        <v>83</v>
      </c>
      <c r="CW98" s="17" t="s">
        <v>317</v>
      </c>
      <c r="CX98" s="10" t="s">
        <v>144</v>
      </c>
      <c r="CZ98" s="15" t="s">
        <v>160</v>
      </c>
      <c r="DA98" s="24" t="s">
        <v>326</v>
      </c>
      <c r="DC98" s="15" t="s">
        <v>160</v>
      </c>
      <c r="DD98" s="17" t="s">
        <v>83</v>
      </c>
    </row>
    <row r="99" spans="1:108" ht="16.5" x14ac:dyDescent="0.25">
      <c r="A99" s="97"/>
      <c r="B99" s="97"/>
      <c r="C99" s="97"/>
      <c r="D99" s="97"/>
      <c r="E99" s="97"/>
      <c r="F99" s="97"/>
      <c r="G99" s="98"/>
      <c r="H99" s="97"/>
      <c r="I99" s="97"/>
      <c r="J99" s="97"/>
      <c r="K99" s="97"/>
      <c r="L99" s="97"/>
      <c r="M99" s="97"/>
      <c r="N99" s="97"/>
      <c r="O99" s="97"/>
      <c r="P99" s="97"/>
      <c r="Q99" s="100"/>
      <c r="R99" s="101"/>
      <c r="S99" s="99"/>
      <c r="T99" s="99"/>
      <c r="U99" s="97"/>
      <c r="V99" s="20" t="str">
        <f t="shared" si="29"/>
        <v/>
      </c>
      <c r="W99" s="20" t="str">
        <f t="shared" si="30"/>
        <v/>
      </c>
      <c r="X99" s="20" t="str">
        <f t="shared" si="31"/>
        <v/>
      </c>
      <c r="Y99" s="20" t="str">
        <f t="shared" si="32"/>
        <v/>
      </c>
      <c r="Z99" s="20" t="str">
        <f t="shared" si="33"/>
        <v/>
      </c>
      <c r="AA99" s="20" t="str">
        <f t="shared" si="34"/>
        <v/>
      </c>
      <c r="AB99" s="20" t="str">
        <f t="shared" si="35"/>
        <v/>
      </c>
      <c r="AC99" s="20" t="str">
        <f t="shared" si="36"/>
        <v/>
      </c>
      <c r="AD99" s="20" t="str">
        <f t="shared" si="37"/>
        <v/>
      </c>
      <c r="AE99" s="20" t="str">
        <f t="shared" si="38"/>
        <v/>
      </c>
      <c r="AF99" s="20" t="str">
        <f t="shared" si="39"/>
        <v/>
      </c>
      <c r="AG99" s="20" t="str">
        <f t="shared" si="40"/>
        <v/>
      </c>
      <c r="AH99" s="20" t="str">
        <f t="shared" si="41"/>
        <v/>
      </c>
      <c r="AI99" s="20" t="str">
        <f t="shared" si="42"/>
        <v/>
      </c>
      <c r="AJ99" s="20" t="str">
        <f t="shared" si="43"/>
        <v/>
      </c>
      <c r="AK99" s="20" t="str">
        <f t="shared" si="44"/>
        <v/>
      </c>
      <c r="AL99" s="20" t="str">
        <f t="shared" si="45"/>
        <v/>
      </c>
      <c r="AM99" s="20" t="str">
        <f t="shared" si="46"/>
        <v/>
      </c>
      <c r="AN99" s="20" t="str">
        <f t="shared" si="47"/>
        <v/>
      </c>
      <c r="AO99" s="20" t="str">
        <f t="shared" si="48"/>
        <v/>
      </c>
      <c r="AP99" s="20" t="str">
        <f t="shared" si="49"/>
        <v/>
      </c>
      <c r="AQ99" s="20" t="str">
        <f t="shared" si="50"/>
        <v/>
      </c>
      <c r="AR99" s="20" t="str">
        <f t="shared" si="51"/>
        <v/>
      </c>
      <c r="AS99" s="20" t="str">
        <f t="shared" si="52"/>
        <v/>
      </c>
      <c r="AT99" s="20" t="str">
        <f t="shared" si="53"/>
        <v/>
      </c>
      <c r="AU99" s="20" t="str">
        <f t="shared" si="54"/>
        <v/>
      </c>
      <c r="AV99" s="20" t="str">
        <f t="shared" si="55"/>
        <v/>
      </c>
      <c r="AW99" s="20" t="str">
        <f t="shared" si="56"/>
        <v/>
      </c>
      <c r="BD99" s="17" t="s">
        <v>233</v>
      </c>
      <c r="BE99" s="17" t="s">
        <v>73</v>
      </c>
      <c r="BF99" s="17" t="s">
        <v>547</v>
      </c>
      <c r="BG99" s="17" t="s">
        <v>595</v>
      </c>
      <c r="BH99" s="17" t="s">
        <v>58</v>
      </c>
      <c r="BI99" s="17" t="s">
        <v>804</v>
      </c>
      <c r="BJ99" s="94"/>
      <c r="BK99" s="18">
        <v>5573303</v>
      </c>
      <c r="BL99" s="18" t="s">
        <v>322</v>
      </c>
      <c r="BM99" s="18">
        <v>72</v>
      </c>
      <c r="BN99" s="18" t="s">
        <v>308</v>
      </c>
      <c r="BO99" s="17" t="s">
        <v>247</v>
      </c>
      <c r="BP99" s="17" t="s">
        <v>247</v>
      </c>
      <c r="BQ99" s="17" t="s">
        <v>323</v>
      </c>
      <c r="BR99" s="17" t="s">
        <v>988</v>
      </c>
      <c r="BS99" s="17" t="s">
        <v>67</v>
      </c>
      <c r="BU99" s="17" t="s">
        <v>56</v>
      </c>
      <c r="BW99" s="94"/>
      <c r="BX99" s="17">
        <v>773</v>
      </c>
      <c r="BY99" s="17">
        <v>199966</v>
      </c>
      <c r="CA99" s="94"/>
      <c r="CB99" s="17" t="s">
        <v>58</v>
      </c>
      <c r="CC99" s="17" t="s">
        <v>569</v>
      </c>
      <c r="CD99" s="17" t="s">
        <v>579</v>
      </c>
      <c r="CE99" t="s">
        <v>76</v>
      </c>
      <c r="CF99" s="17" t="s">
        <v>1132</v>
      </c>
      <c r="CG99" s="17" t="s">
        <v>73</v>
      </c>
      <c r="CH99" s="78" t="s">
        <v>233</v>
      </c>
      <c r="CI99" s="28">
        <v>5256</v>
      </c>
      <c r="CJ99" s="23" t="b">
        <v>1</v>
      </c>
      <c r="CK99" s="23" t="b">
        <v>0</v>
      </c>
      <c r="CL99" s="23" t="b">
        <v>0</v>
      </c>
      <c r="CM99" s="23" t="b">
        <v>0</v>
      </c>
      <c r="CN99" s="23" t="b">
        <v>0</v>
      </c>
      <c r="CO99" s="23" t="s">
        <v>61</v>
      </c>
      <c r="CQ99" s="15" t="s">
        <v>253</v>
      </c>
      <c r="CR99" s="17" t="s">
        <v>325</v>
      </c>
      <c r="CT99" s="15" t="s">
        <v>253</v>
      </c>
      <c r="CU99" s="17" t="s">
        <v>58</v>
      </c>
      <c r="CW99" s="17" t="s">
        <v>318</v>
      </c>
      <c r="CX99" s="10" t="s">
        <v>144</v>
      </c>
      <c r="CZ99" s="15" t="s">
        <v>253</v>
      </c>
      <c r="DA99" s="24" t="s">
        <v>326</v>
      </c>
      <c r="DC99" s="15" t="s">
        <v>253</v>
      </c>
      <c r="DD99" s="17" t="s">
        <v>58</v>
      </c>
    </row>
    <row r="100" spans="1:108" ht="16.5" x14ac:dyDescent="0.25">
      <c r="A100" s="97"/>
      <c r="B100" s="97"/>
      <c r="C100" s="97"/>
      <c r="D100" s="97"/>
      <c r="E100" s="97"/>
      <c r="F100" s="97"/>
      <c r="G100" s="98"/>
      <c r="H100" s="97"/>
      <c r="I100" s="97"/>
      <c r="J100" s="97"/>
      <c r="K100" s="97"/>
      <c r="L100" s="97"/>
      <c r="M100" s="97"/>
      <c r="N100" s="97"/>
      <c r="O100" s="97"/>
      <c r="P100" s="97"/>
      <c r="Q100" s="100"/>
      <c r="R100" s="101"/>
      <c r="S100" s="99"/>
      <c r="T100" s="99"/>
      <c r="U100" s="97"/>
      <c r="V100" s="20" t="str">
        <f t="shared" si="29"/>
        <v/>
      </c>
      <c r="W100" s="20" t="str">
        <f t="shared" si="30"/>
        <v/>
      </c>
      <c r="X100" s="20" t="str">
        <f t="shared" si="31"/>
        <v/>
      </c>
      <c r="Y100" s="20" t="str">
        <f t="shared" si="32"/>
        <v/>
      </c>
      <c r="Z100" s="20" t="str">
        <f t="shared" si="33"/>
        <v/>
      </c>
      <c r="AA100" s="20" t="str">
        <f t="shared" si="34"/>
        <v/>
      </c>
      <c r="AB100" s="20" t="str">
        <f t="shared" si="35"/>
        <v/>
      </c>
      <c r="AC100" s="20" t="str">
        <f t="shared" si="36"/>
        <v/>
      </c>
      <c r="AD100" s="20" t="str">
        <f t="shared" si="37"/>
        <v/>
      </c>
      <c r="AE100" s="20" t="str">
        <f t="shared" si="38"/>
        <v/>
      </c>
      <c r="AF100" s="20" t="str">
        <f t="shared" si="39"/>
        <v/>
      </c>
      <c r="AG100" s="20" t="str">
        <f t="shared" si="40"/>
        <v/>
      </c>
      <c r="AH100" s="20" t="str">
        <f t="shared" si="41"/>
        <v/>
      </c>
      <c r="AI100" s="20" t="str">
        <f t="shared" si="42"/>
        <v/>
      </c>
      <c r="AJ100" s="20" t="str">
        <f t="shared" si="43"/>
        <v/>
      </c>
      <c r="AK100" s="20" t="str">
        <f t="shared" si="44"/>
        <v/>
      </c>
      <c r="AL100" s="20" t="str">
        <f t="shared" si="45"/>
        <v/>
      </c>
      <c r="AM100" s="20" t="str">
        <f t="shared" si="46"/>
        <v/>
      </c>
      <c r="AN100" s="20" t="str">
        <f t="shared" si="47"/>
        <v/>
      </c>
      <c r="AO100" s="20" t="str">
        <f t="shared" si="48"/>
        <v/>
      </c>
      <c r="AP100" s="20" t="str">
        <f t="shared" si="49"/>
        <v/>
      </c>
      <c r="AQ100" s="20" t="str">
        <f t="shared" si="50"/>
        <v/>
      </c>
      <c r="AR100" s="20" t="str">
        <f t="shared" si="51"/>
        <v/>
      </c>
      <c r="AS100" s="20" t="str">
        <f t="shared" si="52"/>
        <v/>
      </c>
      <c r="AT100" s="20" t="str">
        <f t="shared" si="53"/>
        <v/>
      </c>
      <c r="AU100" s="20" t="str">
        <f t="shared" si="54"/>
        <v/>
      </c>
      <c r="AV100" s="20" t="str">
        <f t="shared" si="55"/>
        <v/>
      </c>
      <c r="AW100" s="20" t="str">
        <f t="shared" si="56"/>
        <v/>
      </c>
      <c r="BD100" s="17" t="s">
        <v>233</v>
      </c>
      <c r="BE100" s="17" t="s">
        <v>73</v>
      </c>
      <c r="BF100" s="17" t="s">
        <v>598</v>
      </c>
      <c r="BG100" s="17" t="s">
        <v>596</v>
      </c>
      <c r="BH100" s="17" t="s">
        <v>92</v>
      </c>
      <c r="BI100" s="17" t="s">
        <v>805</v>
      </c>
      <c r="BJ100" s="94"/>
      <c r="BK100" s="18">
        <v>5573302</v>
      </c>
      <c r="BL100" s="18" t="s">
        <v>317</v>
      </c>
      <c r="BM100" s="18">
        <v>73</v>
      </c>
      <c r="BN100" s="18" t="s">
        <v>308</v>
      </c>
      <c r="BO100" s="17" t="s">
        <v>237</v>
      </c>
      <c r="BP100" s="17" t="s">
        <v>237</v>
      </c>
      <c r="BQ100" s="17" t="s">
        <v>316</v>
      </c>
      <c r="BR100" s="17" t="s">
        <v>988</v>
      </c>
      <c r="BS100" s="17" t="s">
        <v>67</v>
      </c>
      <c r="BU100" s="17" t="s">
        <v>56</v>
      </c>
      <c r="BW100" s="94"/>
      <c r="BX100" s="17">
        <v>124</v>
      </c>
      <c r="BY100" s="17">
        <v>190718</v>
      </c>
      <c r="CA100" s="94"/>
      <c r="CB100" s="17" t="s">
        <v>83</v>
      </c>
      <c r="CC100" s="17" t="s">
        <v>575</v>
      </c>
      <c r="CD100" s="17" t="s">
        <v>585</v>
      </c>
      <c r="CE100" t="s">
        <v>76</v>
      </c>
      <c r="CF100" s="17" t="s">
        <v>1132</v>
      </c>
      <c r="CG100" s="17" t="s">
        <v>73</v>
      </c>
      <c r="CH100" s="78" t="s">
        <v>233</v>
      </c>
      <c r="CI100" s="28">
        <v>5256</v>
      </c>
      <c r="CJ100" s="23" t="b">
        <v>0</v>
      </c>
      <c r="CK100" s="23" t="b">
        <v>0</v>
      </c>
      <c r="CL100" s="23" t="b">
        <v>0</v>
      </c>
      <c r="CM100" s="23" t="b">
        <v>1</v>
      </c>
      <c r="CN100" s="23" t="b">
        <v>0</v>
      </c>
      <c r="CO100" s="23" t="s">
        <v>61</v>
      </c>
      <c r="CQ100" s="15" t="s">
        <v>255</v>
      </c>
      <c r="CR100" s="17" t="s">
        <v>325</v>
      </c>
      <c r="CT100" s="15" t="s">
        <v>255</v>
      </c>
      <c r="CU100" s="17" t="s">
        <v>83</v>
      </c>
      <c r="CW100" s="17" t="s">
        <v>319</v>
      </c>
      <c r="CX100" s="10" t="s">
        <v>144</v>
      </c>
      <c r="CZ100" s="15" t="s">
        <v>255</v>
      </c>
      <c r="DA100" s="24" t="s">
        <v>326</v>
      </c>
      <c r="DC100" s="15" t="s">
        <v>255</v>
      </c>
      <c r="DD100" s="17" t="s">
        <v>83</v>
      </c>
    </row>
    <row r="101" spans="1:108" ht="16.5" x14ac:dyDescent="0.25">
      <c r="A101" s="97"/>
      <c r="B101" s="97"/>
      <c r="C101" s="97"/>
      <c r="D101" s="97"/>
      <c r="E101" s="97"/>
      <c r="F101" s="97"/>
      <c r="G101" s="98"/>
      <c r="H101" s="97"/>
      <c r="I101" s="97"/>
      <c r="J101" s="97"/>
      <c r="K101" s="97"/>
      <c r="L101" s="97"/>
      <c r="M101" s="97"/>
      <c r="N101" s="97"/>
      <c r="O101" s="97"/>
      <c r="P101" s="97"/>
      <c r="Q101" s="100"/>
      <c r="R101" s="101"/>
      <c r="S101" s="99"/>
      <c r="T101" s="99"/>
      <c r="U101" s="97"/>
      <c r="V101" s="20" t="str">
        <f t="shared" si="29"/>
        <v/>
      </c>
      <c r="W101" s="20" t="str">
        <f t="shared" si="30"/>
        <v/>
      </c>
      <c r="X101" s="20" t="str">
        <f t="shared" si="31"/>
        <v/>
      </c>
      <c r="Y101" s="20" t="str">
        <f t="shared" si="32"/>
        <v/>
      </c>
      <c r="Z101" s="20" t="str">
        <f t="shared" si="33"/>
        <v/>
      </c>
      <c r="AA101" s="20" t="str">
        <f t="shared" si="34"/>
        <v/>
      </c>
      <c r="AB101" s="20" t="str">
        <f t="shared" si="35"/>
        <v/>
      </c>
      <c r="AC101" s="20" t="str">
        <f t="shared" si="36"/>
        <v/>
      </c>
      <c r="AD101" s="20" t="str">
        <f t="shared" si="37"/>
        <v/>
      </c>
      <c r="AE101" s="20" t="str">
        <f t="shared" si="38"/>
        <v/>
      </c>
      <c r="AF101" s="20" t="str">
        <f t="shared" si="39"/>
        <v/>
      </c>
      <c r="AG101" s="20" t="str">
        <f t="shared" si="40"/>
        <v/>
      </c>
      <c r="AH101" s="20" t="str">
        <f t="shared" si="41"/>
        <v/>
      </c>
      <c r="AI101" s="20" t="str">
        <f t="shared" si="42"/>
        <v/>
      </c>
      <c r="AJ101" s="20" t="str">
        <f t="shared" si="43"/>
        <v/>
      </c>
      <c r="AK101" s="20" t="str">
        <f t="shared" si="44"/>
        <v/>
      </c>
      <c r="AL101" s="20" t="str">
        <f t="shared" si="45"/>
        <v/>
      </c>
      <c r="AM101" s="20" t="str">
        <f t="shared" si="46"/>
        <v/>
      </c>
      <c r="AN101" s="20" t="str">
        <f t="shared" si="47"/>
        <v/>
      </c>
      <c r="AO101" s="20" t="str">
        <f t="shared" si="48"/>
        <v/>
      </c>
      <c r="AP101" s="20" t="str">
        <f t="shared" si="49"/>
        <v/>
      </c>
      <c r="AQ101" s="20" t="str">
        <f t="shared" si="50"/>
        <v/>
      </c>
      <c r="AR101" s="20" t="str">
        <f t="shared" si="51"/>
        <v/>
      </c>
      <c r="AS101" s="20" t="str">
        <f t="shared" si="52"/>
        <v/>
      </c>
      <c r="AT101" s="20" t="str">
        <f t="shared" si="53"/>
        <v/>
      </c>
      <c r="AU101" s="20" t="str">
        <f t="shared" si="54"/>
        <v/>
      </c>
      <c r="AV101" s="20" t="str">
        <f t="shared" si="55"/>
        <v/>
      </c>
      <c r="AW101" s="20" t="str">
        <f t="shared" si="56"/>
        <v/>
      </c>
      <c r="BD101" s="17" t="s">
        <v>233</v>
      </c>
      <c r="BE101" s="17" t="s">
        <v>73</v>
      </c>
      <c r="BF101" s="17" t="s">
        <v>598</v>
      </c>
      <c r="BG101" s="17" t="s">
        <v>595</v>
      </c>
      <c r="BH101" s="17" t="s">
        <v>58</v>
      </c>
      <c r="BI101" s="17" t="s">
        <v>806</v>
      </c>
      <c r="BJ101" s="94"/>
      <c r="BK101" s="18">
        <v>5573302</v>
      </c>
      <c r="BL101" s="18" t="s">
        <v>315</v>
      </c>
      <c r="BM101" s="18">
        <v>72</v>
      </c>
      <c r="BN101" s="18" t="s">
        <v>308</v>
      </c>
      <c r="BO101" s="17" t="s">
        <v>237</v>
      </c>
      <c r="BP101" s="17" t="s">
        <v>237</v>
      </c>
      <c r="BQ101" s="17" t="s">
        <v>316</v>
      </c>
      <c r="BR101" s="17" t="s">
        <v>988</v>
      </c>
      <c r="BS101" s="22" t="s">
        <v>67</v>
      </c>
      <c r="BT101" s="22"/>
      <c r="BU101" s="17" t="s">
        <v>56</v>
      </c>
      <c r="BW101" s="94"/>
      <c r="BX101" s="17">
        <v>638</v>
      </c>
      <c r="BY101" s="17">
        <v>190718</v>
      </c>
      <c r="CA101" s="94"/>
      <c r="CB101" s="17" t="s">
        <v>58</v>
      </c>
      <c r="CC101" s="17" t="s">
        <v>575</v>
      </c>
      <c r="CD101" s="17" t="s">
        <v>585</v>
      </c>
      <c r="CE101" t="s">
        <v>76</v>
      </c>
      <c r="CF101" s="17" t="s">
        <v>1132</v>
      </c>
      <c r="CG101" s="17" t="s">
        <v>73</v>
      </c>
      <c r="CH101" s="78" t="s">
        <v>233</v>
      </c>
      <c r="CI101" s="28">
        <v>5256</v>
      </c>
      <c r="CJ101" s="23" t="b">
        <v>1</v>
      </c>
      <c r="CK101" s="23" t="b">
        <v>0</v>
      </c>
      <c r="CL101" s="23" t="b">
        <v>0</v>
      </c>
      <c r="CM101" s="23" t="b">
        <v>0</v>
      </c>
      <c r="CN101" s="23" t="b">
        <v>0</v>
      </c>
      <c r="CO101" s="23" t="s">
        <v>61</v>
      </c>
      <c r="CQ101" s="24" t="s">
        <v>192</v>
      </c>
      <c r="CR101" s="17" t="s">
        <v>325</v>
      </c>
      <c r="CT101" s="24" t="s">
        <v>192</v>
      </c>
      <c r="CU101" s="17" t="s">
        <v>58</v>
      </c>
      <c r="CW101" s="17" t="s">
        <v>320</v>
      </c>
      <c r="CX101" s="10" t="s">
        <v>144</v>
      </c>
      <c r="CZ101" s="24" t="s">
        <v>192</v>
      </c>
      <c r="DA101" s="24" t="s">
        <v>326</v>
      </c>
      <c r="DC101" s="24" t="s">
        <v>192</v>
      </c>
      <c r="DD101" s="17" t="s">
        <v>58</v>
      </c>
    </row>
    <row r="102" spans="1:108" ht="16.5" x14ac:dyDescent="0.25">
      <c r="A102" s="97"/>
      <c r="B102" s="97"/>
      <c r="C102" s="97"/>
      <c r="D102" s="97"/>
      <c r="E102" s="97"/>
      <c r="F102" s="97"/>
      <c r="G102" s="98"/>
      <c r="H102" s="97"/>
      <c r="I102" s="97"/>
      <c r="J102" s="97"/>
      <c r="K102" s="97"/>
      <c r="L102" s="97"/>
      <c r="M102" s="97"/>
      <c r="N102" s="97"/>
      <c r="O102" s="97"/>
      <c r="P102" s="97"/>
      <c r="Q102" s="100"/>
      <c r="R102" s="101"/>
      <c r="S102" s="99"/>
      <c r="T102" s="99"/>
      <c r="U102" s="97"/>
      <c r="V102" s="20" t="str">
        <f t="shared" si="29"/>
        <v/>
      </c>
      <c r="W102" s="20" t="str">
        <f t="shared" si="30"/>
        <v/>
      </c>
      <c r="X102" s="20" t="str">
        <f t="shared" si="31"/>
        <v/>
      </c>
      <c r="Y102" s="20" t="str">
        <f t="shared" si="32"/>
        <v/>
      </c>
      <c r="Z102" s="20" t="str">
        <f t="shared" si="33"/>
        <v/>
      </c>
      <c r="AA102" s="20" t="str">
        <f t="shared" si="34"/>
        <v/>
      </c>
      <c r="AB102" s="20" t="str">
        <f t="shared" si="35"/>
        <v/>
      </c>
      <c r="AC102" s="20" t="str">
        <f t="shared" si="36"/>
        <v/>
      </c>
      <c r="AD102" s="20" t="str">
        <f t="shared" si="37"/>
        <v/>
      </c>
      <c r="AE102" s="20" t="str">
        <f t="shared" si="38"/>
        <v/>
      </c>
      <c r="AF102" s="20" t="str">
        <f t="shared" si="39"/>
        <v/>
      </c>
      <c r="AG102" s="20" t="str">
        <f t="shared" si="40"/>
        <v/>
      </c>
      <c r="AH102" s="20" t="str">
        <f t="shared" si="41"/>
        <v/>
      </c>
      <c r="AI102" s="20" t="str">
        <f t="shared" si="42"/>
        <v/>
      </c>
      <c r="AJ102" s="20" t="str">
        <f t="shared" si="43"/>
        <v/>
      </c>
      <c r="AK102" s="20" t="str">
        <f t="shared" si="44"/>
        <v/>
      </c>
      <c r="AL102" s="20" t="str">
        <f t="shared" si="45"/>
        <v/>
      </c>
      <c r="AM102" s="20" t="str">
        <f t="shared" si="46"/>
        <v/>
      </c>
      <c r="AN102" s="20" t="str">
        <f t="shared" si="47"/>
        <v/>
      </c>
      <c r="AO102" s="20" t="str">
        <f t="shared" si="48"/>
        <v/>
      </c>
      <c r="AP102" s="20" t="str">
        <f t="shared" si="49"/>
        <v/>
      </c>
      <c r="AQ102" s="20" t="str">
        <f t="shared" si="50"/>
        <v/>
      </c>
      <c r="AR102" s="20" t="str">
        <f t="shared" si="51"/>
        <v/>
      </c>
      <c r="AS102" s="20" t="str">
        <f t="shared" si="52"/>
        <v/>
      </c>
      <c r="AT102" s="20" t="str">
        <f t="shared" si="53"/>
        <v/>
      </c>
      <c r="AU102" s="20" t="str">
        <f t="shared" si="54"/>
        <v/>
      </c>
      <c r="AV102" s="20" t="str">
        <f t="shared" si="55"/>
        <v/>
      </c>
      <c r="AW102" s="20" t="str">
        <f t="shared" si="56"/>
        <v/>
      </c>
      <c r="BD102" s="17" t="s">
        <v>233</v>
      </c>
      <c r="BE102" s="17" t="s">
        <v>828</v>
      </c>
      <c r="BF102" s="17" t="s">
        <v>547</v>
      </c>
      <c r="BG102" s="17" t="s">
        <v>596</v>
      </c>
      <c r="BH102" s="17" t="s">
        <v>147</v>
      </c>
      <c r="BI102" s="17" t="s">
        <v>902</v>
      </c>
      <c r="BJ102" s="94"/>
      <c r="BK102" s="79" t="s">
        <v>664</v>
      </c>
      <c r="BL102" s="79" t="s">
        <v>664</v>
      </c>
      <c r="BM102" s="18" t="s">
        <v>337</v>
      </c>
      <c r="BN102" s="18" t="s">
        <v>308</v>
      </c>
      <c r="BO102" s="17" t="s">
        <v>86</v>
      </c>
      <c r="BP102" s="17" t="s">
        <v>309</v>
      </c>
      <c r="BQ102" s="17" t="s">
        <v>310</v>
      </c>
      <c r="BS102" s="22" t="s">
        <v>52</v>
      </c>
      <c r="BU102" s="17" t="s">
        <v>70</v>
      </c>
      <c r="BW102" s="94"/>
      <c r="BX102" s="17">
        <v>124</v>
      </c>
      <c r="BY102" s="17">
        <v>164473</v>
      </c>
      <c r="CA102" s="94"/>
      <c r="CB102" s="17" t="s">
        <v>83</v>
      </c>
      <c r="CC102" s="17" t="s">
        <v>569</v>
      </c>
      <c r="CD102" s="17" t="s">
        <v>579</v>
      </c>
      <c r="CE102" t="s">
        <v>76</v>
      </c>
      <c r="CF102" s="17" t="s">
        <v>1132</v>
      </c>
      <c r="CG102" s="17" t="s">
        <v>828</v>
      </c>
      <c r="CH102" s="78" t="s">
        <v>233</v>
      </c>
      <c r="CI102" s="28">
        <v>5256</v>
      </c>
      <c r="CJ102" s="23" t="b">
        <v>0</v>
      </c>
      <c r="CK102" s="23" t="b">
        <v>0</v>
      </c>
      <c r="CL102" s="23" t="b">
        <v>0</v>
      </c>
      <c r="CM102" s="23" t="b">
        <v>1</v>
      </c>
      <c r="CN102" s="23" t="b">
        <v>0</v>
      </c>
      <c r="CO102" s="23" t="s">
        <v>61</v>
      </c>
      <c r="CQ102" s="24" t="s">
        <v>195</v>
      </c>
      <c r="CR102" s="17" t="s">
        <v>325</v>
      </c>
      <c r="CT102" s="24" t="s">
        <v>195</v>
      </c>
      <c r="CU102" s="17" t="s">
        <v>83</v>
      </c>
      <c r="CW102" s="17" t="s">
        <v>321</v>
      </c>
      <c r="CX102" s="10" t="s">
        <v>144</v>
      </c>
      <c r="CZ102" s="24" t="s">
        <v>195</v>
      </c>
      <c r="DA102" s="24" t="s">
        <v>326</v>
      </c>
      <c r="DC102" s="24" t="s">
        <v>195</v>
      </c>
      <c r="DD102" s="17" t="s">
        <v>83</v>
      </c>
    </row>
    <row r="103" spans="1:108" ht="16.5" x14ac:dyDescent="0.25">
      <c r="A103" s="97"/>
      <c r="B103" s="97"/>
      <c r="C103" s="97"/>
      <c r="D103" s="97"/>
      <c r="E103" s="97"/>
      <c r="F103" s="97"/>
      <c r="G103" s="98"/>
      <c r="H103" s="97"/>
      <c r="I103" s="97"/>
      <c r="J103" s="97"/>
      <c r="K103" s="97"/>
      <c r="L103" s="97"/>
      <c r="M103" s="97"/>
      <c r="N103" s="97"/>
      <c r="O103" s="97"/>
      <c r="P103" s="97"/>
      <c r="Q103" s="100"/>
      <c r="R103" s="101"/>
      <c r="S103" s="99"/>
      <c r="T103" s="99"/>
      <c r="U103" s="97"/>
      <c r="V103" s="20" t="str">
        <f t="shared" si="29"/>
        <v/>
      </c>
      <c r="W103" s="20" t="str">
        <f t="shared" si="30"/>
        <v/>
      </c>
      <c r="X103" s="20" t="str">
        <f t="shared" si="31"/>
        <v/>
      </c>
      <c r="Y103" s="20" t="str">
        <f t="shared" si="32"/>
        <v/>
      </c>
      <c r="Z103" s="20" t="str">
        <f t="shared" si="33"/>
        <v/>
      </c>
      <c r="AA103" s="20" t="str">
        <f t="shared" si="34"/>
        <v/>
      </c>
      <c r="AB103" s="20" t="str">
        <f t="shared" si="35"/>
        <v/>
      </c>
      <c r="AC103" s="20" t="str">
        <f t="shared" si="36"/>
        <v/>
      </c>
      <c r="AD103" s="20" t="str">
        <f t="shared" si="37"/>
        <v/>
      </c>
      <c r="AE103" s="20" t="str">
        <f t="shared" si="38"/>
        <v/>
      </c>
      <c r="AF103" s="20" t="str">
        <f t="shared" si="39"/>
        <v/>
      </c>
      <c r="AG103" s="20" t="str">
        <f t="shared" si="40"/>
        <v/>
      </c>
      <c r="AH103" s="20" t="str">
        <f t="shared" si="41"/>
        <v/>
      </c>
      <c r="AI103" s="20" t="str">
        <f t="shared" si="42"/>
        <v/>
      </c>
      <c r="AJ103" s="20" t="str">
        <f t="shared" si="43"/>
        <v/>
      </c>
      <c r="AK103" s="20" t="str">
        <f t="shared" si="44"/>
        <v/>
      </c>
      <c r="AL103" s="20" t="str">
        <f t="shared" si="45"/>
        <v/>
      </c>
      <c r="AM103" s="20" t="str">
        <f t="shared" si="46"/>
        <v/>
      </c>
      <c r="AN103" s="20" t="str">
        <f t="shared" si="47"/>
        <v/>
      </c>
      <c r="AO103" s="20" t="str">
        <f t="shared" si="48"/>
        <v/>
      </c>
      <c r="AP103" s="20" t="str">
        <f t="shared" si="49"/>
        <v/>
      </c>
      <c r="AQ103" s="20" t="str">
        <f t="shared" si="50"/>
        <v/>
      </c>
      <c r="AR103" s="20" t="str">
        <f t="shared" si="51"/>
        <v/>
      </c>
      <c r="AS103" s="20" t="str">
        <f t="shared" si="52"/>
        <v/>
      </c>
      <c r="AT103" s="20" t="str">
        <f t="shared" si="53"/>
        <v/>
      </c>
      <c r="AU103" s="20" t="str">
        <f t="shared" si="54"/>
        <v/>
      </c>
      <c r="AV103" s="20" t="str">
        <f t="shared" si="55"/>
        <v/>
      </c>
      <c r="AW103" s="20" t="str">
        <f t="shared" si="56"/>
        <v/>
      </c>
      <c r="BD103" s="17" t="s">
        <v>233</v>
      </c>
      <c r="BE103" s="17" t="s">
        <v>828</v>
      </c>
      <c r="BF103" s="17" t="s">
        <v>547</v>
      </c>
      <c r="BG103" s="17" t="s">
        <v>596</v>
      </c>
      <c r="BH103" s="17" t="s">
        <v>92</v>
      </c>
      <c r="BI103" s="17" t="s">
        <v>903</v>
      </c>
      <c r="BJ103" s="94"/>
      <c r="BK103" s="81" t="s">
        <v>663</v>
      </c>
      <c r="BL103" s="81" t="s">
        <v>516</v>
      </c>
      <c r="BM103" s="18" t="s">
        <v>498</v>
      </c>
      <c r="BN103" s="18" t="s">
        <v>308</v>
      </c>
      <c r="BO103" s="17" t="s">
        <v>86</v>
      </c>
      <c r="BP103" s="17" t="s">
        <v>309</v>
      </c>
      <c r="BQ103" s="17" t="s">
        <v>310</v>
      </c>
      <c r="BR103" s="17" t="s">
        <v>1027</v>
      </c>
      <c r="BS103" s="22" t="s">
        <v>52</v>
      </c>
      <c r="BU103" s="17" t="s">
        <v>70</v>
      </c>
      <c r="BW103" s="94"/>
      <c r="BX103" s="17">
        <v>124</v>
      </c>
      <c r="BY103" s="17">
        <v>164473</v>
      </c>
      <c r="CA103" s="94"/>
      <c r="CB103" s="17" t="s">
        <v>83</v>
      </c>
      <c r="CC103" s="17" t="s">
        <v>569</v>
      </c>
      <c r="CD103" s="17" t="s">
        <v>579</v>
      </c>
      <c r="CE103" t="s">
        <v>76</v>
      </c>
      <c r="CF103" s="17" t="s">
        <v>1132</v>
      </c>
      <c r="CG103" s="17" t="s">
        <v>828</v>
      </c>
      <c r="CH103" s="78" t="s">
        <v>233</v>
      </c>
      <c r="CI103" s="28">
        <v>5256</v>
      </c>
      <c r="CJ103" s="23" t="b">
        <v>0</v>
      </c>
      <c r="CK103" s="23" t="b">
        <v>0</v>
      </c>
      <c r="CL103" s="23" t="b">
        <v>0</v>
      </c>
      <c r="CM103" s="23" t="b">
        <v>1</v>
      </c>
      <c r="CN103" s="23" t="b">
        <v>0</v>
      </c>
      <c r="CO103" s="23" t="s">
        <v>61</v>
      </c>
      <c r="CQ103" s="24" t="s">
        <v>199</v>
      </c>
      <c r="CR103" s="17" t="s">
        <v>325</v>
      </c>
      <c r="CT103" s="24" t="s">
        <v>199</v>
      </c>
      <c r="CU103" s="17" t="s">
        <v>58</v>
      </c>
      <c r="CW103" s="17" t="s">
        <v>322</v>
      </c>
      <c r="CX103" s="10" t="s">
        <v>144</v>
      </c>
      <c r="CZ103" s="24" t="s">
        <v>199</v>
      </c>
      <c r="DA103" s="24" t="s">
        <v>326</v>
      </c>
      <c r="DC103" s="24" t="s">
        <v>199</v>
      </c>
      <c r="DD103" s="17" t="s">
        <v>58</v>
      </c>
    </row>
    <row r="104" spans="1:108" ht="16.5" x14ac:dyDescent="0.25">
      <c r="A104" s="97"/>
      <c r="B104" s="97"/>
      <c r="C104" s="97"/>
      <c r="D104" s="97"/>
      <c r="E104" s="97"/>
      <c r="F104" s="97"/>
      <c r="G104" s="98"/>
      <c r="H104" s="97"/>
      <c r="I104" s="97"/>
      <c r="J104" s="97"/>
      <c r="K104" s="97"/>
      <c r="L104" s="97"/>
      <c r="M104" s="97"/>
      <c r="N104" s="97"/>
      <c r="O104" s="97"/>
      <c r="P104" s="97"/>
      <c r="Q104" s="100"/>
      <c r="R104" s="101"/>
      <c r="S104" s="99"/>
      <c r="T104" s="99"/>
      <c r="U104" s="97"/>
      <c r="V104" s="20" t="str">
        <f t="shared" si="29"/>
        <v/>
      </c>
      <c r="W104" s="20" t="str">
        <f t="shared" si="30"/>
        <v/>
      </c>
      <c r="X104" s="20" t="str">
        <f t="shared" si="31"/>
        <v/>
      </c>
      <c r="Y104" s="20" t="str">
        <f t="shared" si="32"/>
        <v/>
      </c>
      <c r="Z104" s="20" t="str">
        <f t="shared" si="33"/>
        <v/>
      </c>
      <c r="AA104" s="20" t="str">
        <f t="shared" si="34"/>
        <v/>
      </c>
      <c r="AB104" s="20" t="str">
        <f t="shared" si="35"/>
        <v/>
      </c>
      <c r="AC104" s="20" t="str">
        <f t="shared" si="36"/>
        <v/>
      </c>
      <c r="AD104" s="20" t="str">
        <f t="shared" si="37"/>
        <v/>
      </c>
      <c r="AE104" s="20" t="str">
        <f t="shared" si="38"/>
        <v/>
      </c>
      <c r="AF104" s="20" t="str">
        <f t="shared" si="39"/>
        <v/>
      </c>
      <c r="AG104" s="20" t="str">
        <f t="shared" si="40"/>
        <v/>
      </c>
      <c r="AH104" s="20" t="str">
        <f t="shared" si="41"/>
        <v/>
      </c>
      <c r="AI104" s="20" t="str">
        <f t="shared" si="42"/>
        <v/>
      </c>
      <c r="AJ104" s="20" t="str">
        <f t="shared" si="43"/>
        <v/>
      </c>
      <c r="AK104" s="20" t="str">
        <f t="shared" si="44"/>
        <v/>
      </c>
      <c r="AL104" s="20" t="str">
        <f t="shared" si="45"/>
        <v/>
      </c>
      <c r="AM104" s="20" t="str">
        <f t="shared" si="46"/>
        <v/>
      </c>
      <c r="AN104" s="20" t="str">
        <f t="shared" si="47"/>
        <v/>
      </c>
      <c r="AO104" s="20" t="str">
        <f t="shared" si="48"/>
        <v/>
      </c>
      <c r="AP104" s="20" t="str">
        <f t="shared" si="49"/>
        <v/>
      </c>
      <c r="AQ104" s="20" t="str">
        <f t="shared" si="50"/>
        <v/>
      </c>
      <c r="AR104" s="20" t="str">
        <f t="shared" si="51"/>
        <v/>
      </c>
      <c r="AS104" s="20" t="str">
        <f t="shared" si="52"/>
        <v/>
      </c>
      <c r="AT104" s="20" t="str">
        <f t="shared" si="53"/>
        <v/>
      </c>
      <c r="AU104" s="20" t="str">
        <f t="shared" si="54"/>
        <v/>
      </c>
      <c r="AV104" s="20" t="str">
        <f t="shared" si="55"/>
        <v/>
      </c>
      <c r="AW104" s="20" t="str">
        <f t="shared" si="56"/>
        <v/>
      </c>
      <c r="BD104" s="17" t="s">
        <v>233</v>
      </c>
      <c r="BE104" s="17" t="s">
        <v>828</v>
      </c>
      <c r="BF104" s="17" t="s">
        <v>547</v>
      </c>
      <c r="BG104" s="17" t="s">
        <v>127</v>
      </c>
      <c r="BH104" s="17" t="s">
        <v>58</v>
      </c>
      <c r="BI104" s="17" t="s">
        <v>904</v>
      </c>
      <c r="BJ104" s="94"/>
      <c r="BK104" s="81" t="s">
        <v>783</v>
      </c>
      <c r="BL104" s="81" t="s">
        <v>783</v>
      </c>
      <c r="BM104" s="18" t="s">
        <v>497</v>
      </c>
      <c r="BN104" s="18" t="s">
        <v>308</v>
      </c>
      <c r="BO104" s="17" t="s">
        <v>86</v>
      </c>
      <c r="BP104" s="17" t="s">
        <v>309</v>
      </c>
      <c r="BQ104" s="17" t="s">
        <v>310</v>
      </c>
      <c r="BR104" s="17" t="s">
        <v>1028</v>
      </c>
      <c r="BS104" s="22" t="s">
        <v>52</v>
      </c>
      <c r="BU104" s="17" t="s">
        <v>70</v>
      </c>
      <c r="BW104" s="94"/>
      <c r="BX104" s="17">
        <v>638</v>
      </c>
      <c r="BY104" s="17">
        <v>164473</v>
      </c>
      <c r="CA104" s="94"/>
      <c r="CB104" s="17" t="s">
        <v>58</v>
      </c>
      <c r="CC104" s="17" t="s">
        <v>569</v>
      </c>
      <c r="CD104" s="17" t="s">
        <v>579</v>
      </c>
      <c r="CE104" t="s">
        <v>76</v>
      </c>
      <c r="CF104" s="17" t="s">
        <v>1132</v>
      </c>
      <c r="CG104" s="17" t="s">
        <v>828</v>
      </c>
      <c r="CH104" s="78" t="s">
        <v>233</v>
      </c>
      <c r="CI104" s="28">
        <v>5256</v>
      </c>
      <c r="CJ104" s="23" t="b">
        <v>0</v>
      </c>
      <c r="CK104" s="23" t="b">
        <v>1</v>
      </c>
      <c r="CL104" s="23" t="b">
        <v>0</v>
      </c>
      <c r="CM104" s="23" t="b">
        <v>0</v>
      </c>
      <c r="CN104" s="23" t="b">
        <v>0</v>
      </c>
      <c r="CO104" s="23" t="s">
        <v>61</v>
      </c>
      <c r="CQ104" s="24" t="s">
        <v>206</v>
      </c>
      <c r="CR104" s="17" t="s">
        <v>325</v>
      </c>
      <c r="CT104" s="24" t="s">
        <v>206</v>
      </c>
      <c r="CU104" s="17" t="s">
        <v>83</v>
      </c>
      <c r="CW104" s="17" t="s">
        <v>324</v>
      </c>
      <c r="CX104" s="10" t="s">
        <v>144</v>
      </c>
      <c r="CZ104" s="24" t="s">
        <v>206</v>
      </c>
      <c r="DA104" s="24" t="s">
        <v>326</v>
      </c>
      <c r="DC104" s="24" t="s">
        <v>206</v>
      </c>
      <c r="DD104" s="17" t="s">
        <v>83</v>
      </c>
    </row>
    <row r="105" spans="1:108" ht="16.5" x14ac:dyDescent="0.25">
      <c r="A105" s="97"/>
      <c r="B105" s="97"/>
      <c r="C105" s="97"/>
      <c r="D105" s="97"/>
      <c r="E105" s="97"/>
      <c r="F105" s="97"/>
      <c r="G105" s="98"/>
      <c r="H105" s="97"/>
      <c r="I105" s="97"/>
      <c r="J105" s="97"/>
      <c r="K105" s="97"/>
      <c r="L105" s="97"/>
      <c r="M105" s="97"/>
      <c r="N105" s="97"/>
      <c r="O105" s="97"/>
      <c r="P105" s="97"/>
      <c r="Q105" s="100"/>
      <c r="R105" s="101"/>
      <c r="S105" s="99"/>
      <c r="T105" s="99"/>
      <c r="U105" s="97"/>
      <c r="V105" s="20" t="str">
        <f t="shared" si="29"/>
        <v/>
      </c>
      <c r="W105" s="20" t="str">
        <f t="shared" si="30"/>
        <v/>
      </c>
      <c r="X105" s="20" t="str">
        <f t="shared" si="31"/>
        <v/>
      </c>
      <c r="Y105" s="20" t="str">
        <f t="shared" si="32"/>
        <v/>
      </c>
      <c r="Z105" s="20" t="str">
        <f t="shared" si="33"/>
        <v/>
      </c>
      <c r="AA105" s="20" t="str">
        <f t="shared" si="34"/>
        <v/>
      </c>
      <c r="AB105" s="20" t="str">
        <f t="shared" si="35"/>
        <v/>
      </c>
      <c r="AC105" s="20" t="str">
        <f t="shared" si="36"/>
        <v/>
      </c>
      <c r="AD105" s="20" t="str">
        <f t="shared" si="37"/>
        <v/>
      </c>
      <c r="AE105" s="20" t="str">
        <f t="shared" si="38"/>
        <v/>
      </c>
      <c r="AF105" s="20" t="str">
        <f t="shared" si="39"/>
        <v/>
      </c>
      <c r="AG105" s="20" t="str">
        <f t="shared" si="40"/>
        <v/>
      </c>
      <c r="AH105" s="20" t="str">
        <f t="shared" si="41"/>
        <v/>
      </c>
      <c r="AI105" s="20" t="str">
        <f t="shared" si="42"/>
        <v/>
      </c>
      <c r="AJ105" s="20" t="str">
        <f t="shared" si="43"/>
        <v/>
      </c>
      <c r="AK105" s="20" t="str">
        <f t="shared" si="44"/>
        <v/>
      </c>
      <c r="AL105" s="20" t="str">
        <f t="shared" si="45"/>
        <v/>
      </c>
      <c r="AM105" s="20" t="str">
        <f t="shared" si="46"/>
        <v/>
      </c>
      <c r="AN105" s="20" t="str">
        <f t="shared" si="47"/>
        <v/>
      </c>
      <c r="AO105" s="20" t="str">
        <f t="shared" si="48"/>
        <v/>
      </c>
      <c r="AP105" s="20" t="str">
        <f t="shared" si="49"/>
        <v/>
      </c>
      <c r="AQ105" s="20" t="str">
        <f t="shared" si="50"/>
        <v/>
      </c>
      <c r="AR105" s="20" t="str">
        <f t="shared" si="51"/>
        <v/>
      </c>
      <c r="AS105" s="20" t="str">
        <f t="shared" si="52"/>
        <v/>
      </c>
      <c r="AT105" s="20" t="str">
        <f t="shared" si="53"/>
        <v/>
      </c>
      <c r="AU105" s="20" t="str">
        <f t="shared" si="54"/>
        <v/>
      </c>
      <c r="AV105" s="20" t="str">
        <f t="shared" si="55"/>
        <v/>
      </c>
      <c r="AW105" s="20" t="str">
        <f t="shared" si="56"/>
        <v/>
      </c>
      <c r="BD105" s="17" t="s">
        <v>233</v>
      </c>
      <c r="BE105" s="17" t="s">
        <v>828</v>
      </c>
      <c r="BF105" s="17" t="s">
        <v>547</v>
      </c>
      <c r="BG105" s="17" t="s">
        <v>150</v>
      </c>
      <c r="BH105" s="17" t="s">
        <v>58</v>
      </c>
      <c r="BI105" s="17" t="s">
        <v>905</v>
      </c>
      <c r="BJ105" s="94"/>
      <c r="BK105" s="81" t="s">
        <v>784</v>
      </c>
      <c r="BL105" s="81" t="s">
        <v>784</v>
      </c>
      <c r="BM105" s="18" t="s">
        <v>497</v>
      </c>
      <c r="BN105" s="18" t="s">
        <v>308</v>
      </c>
      <c r="BO105" s="17" t="s">
        <v>86</v>
      </c>
      <c r="BP105" s="17" t="s">
        <v>309</v>
      </c>
      <c r="BQ105" s="17" t="s">
        <v>310</v>
      </c>
      <c r="BR105" t="s">
        <v>1029</v>
      </c>
      <c r="BS105" s="22" t="s">
        <v>52</v>
      </c>
      <c r="BU105" s="17" t="s">
        <v>70</v>
      </c>
      <c r="BW105" s="94"/>
      <c r="BX105" s="17">
        <v>638</v>
      </c>
      <c r="BY105" s="17">
        <v>164473</v>
      </c>
      <c r="CA105" s="94"/>
      <c r="CB105" s="17" t="s">
        <v>58</v>
      </c>
      <c r="CC105" s="17" t="s">
        <v>569</v>
      </c>
      <c r="CD105" s="17" t="s">
        <v>579</v>
      </c>
      <c r="CE105" t="s">
        <v>76</v>
      </c>
      <c r="CF105" s="17" t="s">
        <v>1132</v>
      </c>
      <c r="CG105" s="17" t="s">
        <v>828</v>
      </c>
      <c r="CH105" s="78" t="s">
        <v>233</v>
      </c>
      <c r="CI105" s="28">
        <v>5256</v>
      </c>
      <c r="CJ105" s="23" t="b">
        <v>0</v>
      </c>
      <c r="CK105" s="23" t="b">
        <v>0</v>
      </c>
      <c r="CL105" s="23" t="b">
        <v>1</v>
      </c>
      <c r="CM105" s="23" t="b">
        <v>0</v>
      </c>
      <c r="CN105" s="23" t="b">
        <v>0</v>
      </c>
      <c r="CO105" s="23" t="s">
        <v>61</v>
      </c>
      <c r="CQ105" s="24" t="s">
        <v>209</v>
      </c>
      <c r="CR105" s="17" t="s">
        <v>325</v>
      </c>
      <c r="CT105" s="24" t="s">
        <v>209</v>
      </c>
      <c r="CU105" s="17" t="s">
        <v>58</v>
      </c>
      <c r="CW105" s="24" t="s">
        <v>139</v>
      </c>
      <c r="CX105" s="17" t="s">
        <v>59</v>
      </c>
      <c r="CZ105" s="24" t="s">
        <v>209</v>
      </c>
      <c r="DA105" s="24" t="s">
        <v>326</v>
      </c>
      <c r="DC105" s="24" t="s">
        <v>209</v>
      </c>
      <c r="DD105" s="17" t="s">
        <v>58</v>
      </c>
    </row>
    <row r="106" spans="1:108" ht="16.5" x14ac:dyDescent="0.25">
      <c r="A106" s="97"/>
      <c r="B106" s="97"/>
      <c r="C106" s="97"/>
      <c r="D106" s="97"/>
      <c r="E106" s="97"/>
      <c r="F106" s="97"/>
      <c r="G106" s="98"/>
      <c r="H106" s="97"/>
      <c r="I106" s="97"/>
      <c r="J106" s="97"/>
      <c r="K106" s="97"/>
      <c r="L106" s="97"/>
      <c r="M106" s="97"/>
      <c r="N106" s="97"/>
      <c r="O106" s="97"/>
      <c r="P106" s="97"/>
      <c r="Q106" s="100"/>
      <c r="R106" s="101"/>
      <c r="S106" s="99"/>
      <c r="T106" s="99"/>
      <c r="U106" s="97"/>
      <c r="V106" s="20" t="str">
        <f t="shared" si="29"/>
        <v/>
      </c>
      <c r="W106" s="20" t="str">
        <f t="shared" si="30"/>
        <v/>
      </c>
      <c r="X106" s="20" t="str">
        <f t="shared" si="31"/>
        <v/>
      </c>
      <c r="Y106" s="20" t="str">
        <f t="shared" si="32"/>
        <v/>
      </c>
      <c r="Z106" s="20" t="str">
        <f t="shared" si="33"/>
        <v/>
      </c>
      <c r="AA106" s="20" t="str">
        <f t="shared" si="34"/>
        <v/>
      </c>
      <c r="AB106" s="20" t="str">
        <f t="shared" si="35"/>
        <v/>
      </c>
      <c r="AC106" s="20" t="str">
        <f t="shared" si="36"/>
        <v/>
      </c>
      <c r="AD106" s="20" t="str">
        <f t="shared" si="37"/>
        <v/>
      </c>
      <c r="AE106" s="20" t="str">
        <f t="shared" si="38"/>
        <v/>
      </c>
      <c r="AF106" s="20" t="str">
        <f t="shared" si="39"/>
        <v/>
      </c>
      <c r="AG106" s="20" t="str">
        <f t="shared" si="40"/>
        <v/>
      </c>
      <c r="AH106" s="20" t="str">
        <f t="shared" si="41"/>
        <v/>
      </c>
      <c r="AI106" s="20" t="str">
        <f t="shared" si="42"/>
        <v/>
      </c>
      <c r="AJ106" s="20" t="str">
        <f t="shared" si="43"/>
        <v/>
      </c>
      <c r="AK106" s="20" t="str">
        <f t="shared" si="44"/>
        <v/>
      </c>
      <c r="AL106" s="20" t="str">
        <f t="shared" si="45"/>
        <v/>
      </c>
      <c r="AM106" s="20" t="str">
        <f t="shared" si="46"/>
        <v/>
      </c>
      <c r="AN106" s="20" t="str">
        <f t="shared" si="47"/>
        <v/>
      </c>
      <c r="AO106" s="20" t="str">
        <f t="shared" si="48"/>
        <v/>
      </c>
      <c r="AP106" s="20" t="str">
        <f t="shared" si="49"/>
        <v/>
      </c>
      <c r="AQ106" s="20" t="str">
        <f t="shared" si="50"/>
        <v/>
      </c>
      <c r="AR106" s="20" t="str">
        <f t="shared" si="51"/>
        <v/>
      </c>
      <c r="AS106" s="20" t="str">
        <f t="shared" si="52"/>
        <v/>
      </c>
      <c r="AT106" s="20" t="str">
        <f t="shared" si="53"/>
        <v/>
      </c>
      <c r="AU106" s="20" t="str">
        <f t="shared" si="54"/>
        <v/>
      </c>
      <c r="AV106" s="20" t="str">
        <f t="shared" si="55"/>
        <v/>
      </c>
      <c r="AW106" s="20" t="str">
        <f t="shared" si="56"/>
        <v/>
      </c>
      <c r="BD106" s="17" t="s">
        <v>233</v>
      </c>
      <c r="BE106" s="17" t="s">
        <v>828</v>
      </c>
      <c r="BF106" s="17" t="s">
        <v>547</v>
      </c>
      <c r="BG106" s="17" t="s">
        <v>595</v>
      </c>
      <c r="BH106" s="17" t="s">
        <v>58</v>
      </c>
      <c r="BI106" s="17" t="s">
        <v>906</v>
      </c>
      <c r="BJ106" s="94"/>
      <c r="BK106" s="83" t="s">
        <v>782</v>
      </c>
      <c r="BL106" s="83" t="s">
        <v>782</v>
      </c>
      <c r="BM106" s="18" t="s">
        <v>497</v>
      </c>
      <c r="BN106" s="18" t="s">
        <v>308</v>
      </c>
      <c r="BO106" s="17" t="s">
        <v>86</v>
      </c>
      <c r="BP106" s="17" t="s">
        <v>309</v>
      </c>
      <c r="BQ106" s="17" t="s">
        <v>310</v>
      </c>
      <c r="BR106" s="17" t="s">
        <v>1030</v>
      </c>
      <c r="BS106" s="22" t="s">
        <v>715</v>
      </c>
      <c r="BT106" s="22"/>
      <c r="BU106" s="17" t="s">
        <v>70</v>
      </c>
      <c r="BW106" s="94"/>
      <c r="BX106" s="17">
        <v>638</v>
      </c>
      <c r="BY106" s="17">
        <v>164473</v>
      </c>
      <c r="CA106" s="94"/>
      <c r="CB106" s="17" t="s">
        <v>58</v>
      </c>
      <c r="CC106" s="17" t="s">
        <v>569</v>
      </c>
      <c r="CD106" s="17" t="s">
        <v>579</v>
      </c>
      <c r="CE106" t="s">
        <v>76</v>
      </c>
      <c r="CF106" s="17" t="s">
        <v>1132</v>
      </c>
      <c r="CG106" s="17" t="s">
        <v>828</v>
      </c>
      <c r="CH106" s="78" t="s">
        <v>233</v>
      </c>
      <c r="CI106" s="17">
        <v>5256</v>
      </c>
      <c r="CJ106" s="23" t="b">
        <v>1</v>
      </c>
      <c r="CK106" s="23" t="b">
        <v>0</v>
      </c>
      <c r="CL106" s="23" t="b">
        <v>0</v>
      </c>
      <c r="CM106" s="23" t="b">
        <v>0</v>
      </c>
      <c r="CN106" s="23" t="b">
        <v>0</v>
      </c>
      <c r="CO106" s="23" t="s">
        <v>61</v>
      </c>
      <c r="CQ106" s="24" t="s">
        <v>214</v>
      </c>
      <c r="CR106" s="17" t="s">
        <v>325</v>
      </c>
      <c r="CT106" s="24" t="s">
        <v>214</v>
      </c>
      <c r="CU106" s="17" t="s">
        <v>83</v>
      </c>
      <c r="CW106" s="24" t="s">
        <v>146</v>
      </c>
      <c r="CX106" s="17" t="s">
        <v>59</v>
      </c>
      <c r="CZ106" s="24" t="s">
        <v>214</v>
      </c>
      <c r="DA106" s="24" t="s">
        <v>326</v>
      </c>
      <c r="DC106" s="24" t="s">
        <v>214</v>
      </c>
      <c r="DD106" s="17" t="s">
        <v>83</v>
      </c>
    </row>
    <row r="107" spans="1:108" ht="16.5" x14ac:dyDescent="0.25">
      <c r="A107" s="97"/>
      <c r="B107" s="97"/>
      <c r="C107" s="97"/>
      <c r="D107" s="97"/>
      <c r="E107" s="97"/>
      <c r="F107" s="97"/>
      <c r="G107" s="98"/>
      <c r="H107" s="97"/>
      <c r="I107" s="97"/>
      <c r="J107" s="97"/>
      <c r="K107" s="97"/>
      <c r="L107" s="97"/>
      <c r="M107" s="97"/>
      <c r="N107" s="97"/>
      <c r="O107" s="97"/>
      <c r="P107" s="97"/>
      <c r="Q107" s="100"/>
      <c r="R107" s="101"/>
      <c r="S107" s="99"/>
      <c r="T107" s="99"/>
      <c r="U107" s="97"/>
      <c r="V107" s="20" t="str">
        <f t="shared" si="29"/>
        <v/>
      </c>
      <c r="W107" s="20" t="str">
        <f t="shared" si="30"/>
        <v/>
      </c>
      <c r="X107" s="20" t="str">
        <f t="shared" si="31"/>
        <v/>
      </c>
      <c r="Y107" s="20" t="str">
        <f t="shared" si="32"/>
        <v/>
      </c>
      <c r="Z107" s="20" t="str">
        <f t="shared" si="33"/>
        <v/>
      </c>
      <c r="AA107" s="20" t="str">
        <f t="shared" si="34"/>
        <v/>
      </c>
      <c r="AB107" s="20" t="str">
        <f t="shared" si="35"/>
        <v/>
      </c>
      <c r="AC107" s="20" t="str">
        <f t="shared" si="36"/>
        <v/>
      </c>
      <c r="AD107" s="20" t="str">
        <f t="shared" si="37"/>
        <v/>
      </c>
      <c r="AE107" s="20" t="str">
        <f t="shared" si="38"/>
        <v/>
      </c>
      <c r="AF107" s="20" t="str">
        <f t="shared" si="39"/>
        <v/>
      </c>
      <c r="AG107" s="20" t="str">
        <f t="shared" si="40"/>
        <v/>
      </c>
      <c r="AH107" s="20" t="str">
        <f t="shared" si="41"/>
        <v/>
      </c>
      <c r="AI107" s="20" t="str">
        <f t="shared" si="42"/>
        <v/>
      </c>
      <c r="AJ107" s="20" t="str">
        <f t="shared" si="43"/>
        <v/>
      </c>
      <c r="AK107" s="20" t="str">
        <f t="shared" si="44"/>
        <v/>
      </c>
      <c r="AL107" s="20" t="str">
        <f t="shared" si="45"/>
        <v/>
      </c>
      <c r="AM107" s="20" t="str">
        <f t="shared" si="46"/>
        <v/>
      </c>
      <c r="AN107" s="20" t="str">
        <f t="shared" si="47"/>
        <v/>
      </c>
      <c r="AO107" s="20" t="str">
        <f t="shared" si="48"/>
        <v/>
      </c>
      <c r="AP107" s="20" t="str">
        <f t="shared" si="49"/>
        <v/>
      </c>
      <c r="AQ107" s="20" t="str">
        <f t="shared" si="50"/>
        <v/>
      </c>
      <c r="AR107" s="20" t="str">
        <f t="shared" si="51"/>
        <v/>
      </c>
      <c r="AS107" s="20" t="str">
        <f t="shared" si="52"/>
        <v/>
      </c>
      <c r="AT107" s="20" t="str">
        <f t="shared" si="53"/>
        <v/>
      </c>
      <c r="AU107" s="20" t="str">
        <f t="shared" si="54"/>
        <v/>
      </c>
      <c r="AV107" s="20" t="str">
        <f t="shared" si="55"/>
        <v/>
      </c>
      <c r="AW107" s="20" t="str">
        <f t="shared" si="56"/>
        <v/>
      </c>
      <c r="BD107" s="17" t="s">
        <v>268</v>
      </c>
      <c r="BE107" s="17" t="s">
        <v>828</v>
      </c>
      <c r="BF107" s="17" t="s">
        <v>327</v>
      </c>
      <c r="BG107" s="17" t="s">
        <v>596</v>
      </c>
      <c r="BH107" s="17" t="s">
        <v>147</v>
      </c>
      <c r="BI107" s="17" t="s">
        <v>907</v>
      </c>
      <c r="BJ107" s="94"/>
      <c r="BK107" t="s">
        <v>665</v>
      </c>
      <c r="BL107" t="s">
        <v>665</v>
      </c>
      <c r="BM107" s="18" t="s">
        <v>338</v>
      </c>
      <c r="BN107" s="18" t="s">
        <v>692</v>
      </c>
      <c r="BO107" s="17" t="s">
        <v>227</v>
      </c>
      <c r="BP107" s="17" t="s">
        <v>327</v>
      </c>
      <c r="BQ107" s="17" t="s">
        <v>328</v>
      </c>
      <c r="BS107" s="22" t="s">
        <v>715</v>
      </c>
      <c r="BU107" s="17" t="s">
        <v>70</v>
      </c>
      <c r="BW107" s="94"/>
      <c r="BX107" s="17">
        <v>124</v>
      </c>
      <c r="BY107" s="17">
        <v>186490</v>
      </c>
      <c r="CA107" s="94"/>
      <c r="CB107" s="17" t="s">
        <v>83</v>
      </c>
      <c r="CC107" s="17" t="s">
        <v>576</v>
      </c>
      <c r="CD107" s="17" t="s">
        <v>586</v>
      </c>
      <c r="CE107" t="s">
        <v>76</v>
      </c>
      <c r="CF107" s="17" t="s">
        <v>1132</v>
      </c>
      <c r="CG107" s="17" t="s">
        <v>828</v>
      </c>
      <c r="CH107" s="17" t="s">
        <v>567</v>
      </c>
      <c r="CI107" s="17">
        <v>5264</v>
      </c>
      <c r="CJ107" s="23" t="b">
        <v>0</v>
      </c>
      <c r="CK107" s="23" t="b">
        <v>0</v>
      </c>
      <c r="CL107" s="23" t="b">
        <v>0</v>
      </c>
      <c r="CM107" s="23" t="b">
        <v>1</v>
      </c>
      <c r="CN107" s="23" t="b">
        <v>0</v>
      </c>
      <c r="CO107" s="23" t="s">
        <v>61</v>
      </c>
      <c r="CQ107" s="24" t="s">
        <v>276</v>
      </c>
      <c r="CR107" s="17" t="s">
        <v>325</v>
      </c>
      <c r="CT107" s="24" t="s">
        <v>276</v>
      </c>
      <c r="CU107" s="17" t="s">
        <v>58</v>
      </c>
      <c r="CW107" s="15" t="s">
        <v>155</v>
      </c>
      <c r="CX107" s="17" t="s">
        <v>59</v>
      </c>
      <c r="CZ107" s="24" t="s">
        <v>276</v>
      </c>
      <c r="DA107" s="24" t="s">
        <v>326</v>
      </c>
      <c r="DC107" s="24" t="s">
        <v>276</v>
      </c>
      <c r="DD107" s="17" t="s">
        <v>58</v>
      </c>
    </row>
    <row r="108" spans="1:108" ht="16.5" x14ac:dyDescent="0.25">
      <c r="A108" s="97"/>
      <c r="B108" s="97"/>
      <c r="C108" s="97"/>
      <c r="D108" s="97"/>
      <c r="E108" s="97"/>
      <c r="F108" s="97"/>
      <c r="G108" s="98"/>
      <c r="H108" s="97"/>
      <c r="I108" s="97"/>
      <c r="J108" s="97"/>
      <c r="K108" s="97"/>
      <c r="L108" s="97"/>
      <c r="M108" s="97"/>
      <c r="N108" s="97"/>
      <c r="O108" s="97"/>
      <c r="P108" s="97"/>
      <c r="Q108" s="100"/>
      <c r="R108" s="101"/>
      <c r="S108" s="99"/>
      <c r="T108" s="99"/>
      <c r="U108" s="97"/>
      <c r="V108" s="20" t="str">
        <f t="shared" si="29"/>
        <v/>
      </c>
      <c r="W108" s="20" t="str">
        <f t="shared" si="30"/>
        <v/>
      </c>
      <c r="X108" s="20" t="str">
        <f t="shared" si="31"/>
        <v/>
      </c>
      <c r="Y108" s="20" t="str">
        <f t="shared" si="32"/>
        <v/>
      </c>
      <c r="Z108" s="20" t="str">
        <f t="shared" si="33"/>
        <v/>
      </c>
      <c r="AA108" s="20" t="str">
        <f t="shared" si="34"/>
        <v/>
      </c>
      <c r="AB108" s="20" t="str">
        <f t="shared" si="35"/>
        <v/>
      </c>
      <c r="AC108" s="20" t="str">
        <f t="shared" si="36"/>
        <v/>
      </c>
      <c r="AD108" s="20" t="str">
        <f t="shared" si="37"/>
        <v/>
      </c>
      <c r="AE108" s="20" t="str">
        <f t="shared" si="38"/>
        <v/>
      </c>
      <c r="AF108" s="20" t="str">
        <f t="shared" si="39"/>
        <v/>
      </c>
      <c r="AG108" s="20" t="str">
        <f t="shared" si="40"/>
        <v/>
      </c>
      <c r="AH108" s="20" t="str">
        <f t="shared" si="41"/>
        <v/>
      </c>
      <c r="AI108" s="20" t="str">
        <f t="shared" si="42"/>
        <v/>
      </c>
      <c r="AJ108" s="20" t="str">
        <f t="shared" si="43"/>
        <v/>
      </c>
      <c r="AK108" s="20" t="str">
        <f t="shared" si="44"/>
        <v/>
      </c>
      <c r="AL108" s="20" t="str">
        <f t="shared" si="45"/>
        <v/>
      </c>
      <c r="AM108" s="20" t="str">
        <f t="shared" si="46"/>
        <v/>
      </c>
      <c r="AN108" s="20" t="str">
        <f t="shared" si="47"/>
        <v/>
      </c>
      <c r="AO108" s="20" t="str">
        <f t="shared" si="48"/>
        <v/>
      </c>
      <c r="AP108" s="20" t="str">
        <f t="shared" si="49"/>
        <v/>
      </c>
      <c r="AQ108" s="20" t="str">
        <f t="shared" si="50"/>
        <v/>
      </c>
      <c r="AR108" s="20" t="str">
        <f t="shared" si="51"/>
        <v/>
      </c>
      <c r="AS108" s="20" t="str">
        <f t="shared" si="52"/>
        <v/>
      </c>
      <c r="AT108" s="20" t="str">
        <f t="shared" si="53"/>
        <v/>
      </c>
      <c r="AU108" s="20" t="str">
        <f t="shared" si="54"/>
        <v/>
      </c>
      <c r="AV108" s="20" t="str">
        <f t="shared" si="55"/>
        <v/>
      </c>
      <c r="AW108" s="20" t="str">
        <f t="shared" si="56"/>
        <v/>
      </c>
      <c r="BD108" s="17" t="s">
        <v>268</v>
      </c>
      <c r="BE108" s="17" t="s">
        <v>828</v>
      </c>
      <c r="BF108" s="17" t="s">
        <v>327</v>
      </c>
      <c r="BG108" s="17" t="s">
        <v>596</v>
      </c>
      <c r="BH108" s="17" t="s">
        <v>92</v>
      </c>
      <c r="BI108" s="17" t="s">
        <v>908</v>
      </c>
      <c r="BJ108" s="94"/>
      <c r="BK108" t="s">
        <v>700</v>
      </c>
      <c r="BL108" t="s">
        <v>700</v>
      </c>
      <c r="BM108" s="18" t="s">
        <v>500</v>
      </c>
      <c r="BN108" s="18" t="s">
        <v>692</v>
      </c>
      <c r="BO108" s="17" t="s">
        <v>227</v>
      </c>
      <c r="BP108" s="17" t="s">
        <v>327</v>
      </c>
      <c r="BQ108" s="17" t="s">
        <v>328</v>
      </c>
      <c r="BR108" s="17" t="s">
        <v>1084</v>
      </c>
      <c r="BS108" s="22" t="s">
        <v>715</v>
      </c>
      <c r="BU108" s="17" t="s">
        <v>70</v>
      </c>
      <c r="BW108" s="94"/>
      <c r="BX108" s="17">
        <v>124</v>
      </c>
      <c r="BY108" s="17">
        <v>186490</v>
      </c>
      <c r="CA108" s="94"/>
      <c r="CB108" s="17" t="s">
        <v>83</v>
      </c>
      <c r="CC108" s="17" t="s">
        <v>576</v>
      </c>
      <c r="CD108" s="17" t="s">
        <v>586</v>
      </c>
      <c r="CE108" t="s">
        <v>76</v>
      </c>
      <c r="CF108" s="17" t="s">
        <v>1132</v>
      </c>
      <c r="CG108" s="17" t="s">
        <v>828</v>
      </c>
      <c r="CH108" s="17" t="s">
        <v>567</v>
      </c>
      <c r="CI108" s="17">
        <v>5264</v>
      </c>
      <c r="CJ108" s="23" t="b">
        <v>0</v>
      </c>
      <c r="CK108" s="23" t="b">
        <v>0</v>
      </c>
      <c r="CL108" s="23" t="b">
        <v>0</v>
      </c>
      <c r="CM108" s="23" t="b">
        <v>1</v>
      </c>
      <c r="CN108" s="23" t="b">
        <v>0</v>
      </c>
      <c r="CO108" s="23" t="s">
        <v>61</v>
      </c>
      <c r="CQ108" s="24" t="s">
        <v>278</v>
      </c>
      <c r="CR108" s="17" t="s">
        <v>325</v>
      </c>
      <c r="CT108" s="24" t="s">
        <v>278</v>
      </c>
      <c r="CU108" s="17" t="s">
        <v>83</v>
      </c>
      <c r="CW108" s="15" t="s">
        <v>160</v>
      </c>
      <c r="CX108" s="17" t="s">
        <v>59</v>
      </c>
      <c r="CZ108" s="24" t="s">
        <v>278</v>
      </c>
      <c r="DA108" s="24" t="s">
        <v>326</v>
      </c>
      <c r="DC108" s="24" t="s">
        <v>278</v>
      </c>
      <c r="DD108" s="17" t="s">
        <v>83</v>
      </c>
    </row>
    <row r="109" spans="1:108" ht="16.5" x14ac:dyDescent="0.25">
      <c r="A109" s="97"/>
      <c r="B109" s="97"/>
      <c r="C109" s="97"/>
      <c r="D109" s="97"/>
      <c r="E109" s="97"/>
      <c r="F109" s="97"/>
      <c r="G109" s="98"/>
      <c r="H109" s="97"/>
      <c r="I109" s="97"/>
      <c r="J109" s="97"/>
      <c r="K109" s="97"/>
      <c r="L109" s="97"/>
      <c r="M109" s="97"/>
      <c r="N109" s="97"/>
      <c r="O109" s="97"/>
      <c r="P109" s="97"/>
      <c r="Q109" s="100"/>
      <c r="R109" s="101"/>
      <c r="S109" s="99"/>
      <c r="T109" s="99"/>
      <c r="U109" s="97"/>
      <c r="V109" s="20" t="str">
        <f t="shared" si="29"/>
        <v/>
      </c>
      <c r="W109" s="20" t="str">
        <f t="shared" si="30"/>
        <v/>
      </c>
      <c r="X109" s="20" t="str">
        <f t="shared" si="31"/>
        <v/>
      </c>
      <c r="Y109" s="20" t="str">
        <f t="shared" si="32"/>
        <v/>
      </c>
      <c r="Z109" s="20" t="str">
        <f t="shared" si="33"/>
        <v/>
      </c>
      <c r="AA109" s="20" t="str">
        <f t="shared" si="34"/>
        <v/>
      </c>
      <c r="AB109" s="20" t="str">
        <f t="shared" si="35"/>
        <v/>
      </c>
      <c r="AC109" s="20" t="str">
        <f t="shared" si="36"/>
        <v/>
      </c>
      <c r="AD109" s="20" t="str">
        <f t="shared" si="37"/>
        <v/>
      </c>
      <c r="AE109" s="20" t="str">
        <f t="shared" si="38"/>
        <v/>
      </c>
      <c r="AF109" s="20" t="str">
        <f t="shared" si="39"/>
        <v/>
      </c>
      <c r="AG109" s="20" t="str">
        <f t="shared" si="40"/>
        <v/>
      </c>
      <c r="AH109" s="20" t="str">
        <f t="shared" si="41"/>
        <v/>
      </c>
      <c r="AI109" s="20" t="str">
        <f t="shared" si="42"/>
        <v/>
      </c>
      <c r="AJ109" s="20" t="str">
        <f t="shared" si="43"/>
        <v/>
      </c>
      <c r="AK109" s="20" t="str">
        <f t="shared" si="44"/>
        <v/>
      </c>
      <c r="AL109" s="20" t="str">
        <f t="shared" si="45"/>
        <v/>
      </c>
      <c r="AM109" s="20" t="str">
        <f t="shared" si="46"/>
        <v/>
      </c>
      <c r="AN109" s="20" t="str">
        <f t="shared" si="47"/>
        <v/>
      </c>
      <c r="AO109" s="20" t="str">
        <f t="shared" si="48"/>
        <v/>
      </c>
      <c r="AP109" s="20" t="str">
        <f t="shared" si="49"/>
        <v/>
      </c>
      <c r="AQ109" s="20" t="str">
        <f t="shared" si="50"/>
        <v/>
      </c>
      <c r="AR109" s="20" t="str">
        <f t="shared" si="51"/>
        <v/>
      </c>
      <c r="AS109" s="20" t="str">
        <f t="shared" si="52"/>
        <v/>
      </c>
      <c r="AT109" s="20" t="str">
        <f t="shared" si="53"/>
        <v/>
      </c>
      <c r="AU109" s="20" t="str">
        <f t="shared" si="54"/>
        <v/>
      </c>
      <c r="AV109" s="20" t="str">
        <f t="shared" si="55"/>
        <v/>
      </c>
      <c r="AW109" s="20" t="str">
        <f t="shared" si="56"/>
        <v/>
      </c>
      <c r="BD109" s="17" t="s">
        <v>268</v>
      </c>
      <c r="BE109" s="17" t="s">
        <v>828</v>
      </c>
      <c r="BF109" s="17" t="s">
        <v>327</v>
      </c>
      <c r="BG109" s="17" t="s">
        <v>127</v>
      </c>
      <c r="BH109" s="17" t="s">
        <v>58</v>
      </c>
      <c r="BI109" s="17" t="s">
        <v>909</v>
      </c>
      <c r="BJ109" s="94"/>
      <c r="BK109" t="s">
        <v>698</v>
      </c>
      <c r="BL109" t="s">
        <v>698</v>
      </c>
      <c r="BM109" s="18" t="s">
        <v>499</v>
      </c>
      <c r="BN109" s="18" t="s">
        <v>692</v>
      </c>
      <c r="BO109" s="17" t="s">
        <v>227</v>
      </c>
      <c r="BP109" s="17" t="s">
        <v>327</v>
      </c>
      <c r="BQ109" s="17" t="s">
        <v>328</v>
      </c>
      <c r="BR109" s="17" t="s">
        <v>1031</v>
      </c>
      <c r="BS109" s="22" t="s">
        <v>52</v>
      </c>
      <c r="BU109" s="17" t="s">
        <v>70</v>
      </c>
      <c r="BW109" s="94"/>
      <c r="BX109" s="17">
        <v>677</v>
      </c>
      <c r="BY109" s="17">
        <v>186490</v>
      </c>
      <c r="CA109" s="94"/>
      <c r="CB109" s="17" t="s">
        <v>58</v>
      </c>
      <c r="CC109" s="17" t="s">
        <v>576</v>
      </c>
      <c r="CD109" s="17" t="s">
        <v>586</v>
      </c>
      <c r="CE109" t="s">
        <v>76</v>
      </c>
      <c r="CF109" s="17" t="s">
        <v>1132</v>
      </c>
      <c r="CG109" s="17" t="s">
        <v>828</v>
      </c>
      <c r="CH109" s="17" t="s">
        <v>567</v>
      </c>
      <c r="CI109" s="17">
        <v>5264</v>
      </c>
      <c r="CJ109" s="23" t="b">
        <v>0</v>
      </c>
      <c r="CK109" s="23" t="b">
        <v>1</v>
      </c>
      <c r="CL109" s="23" t="b">
        <v>0</v>
      </c>
      <c r="CM109" s="23" t="b">
        <v>0</v>
      </c>
      <c r="CN109" s="23" t="b">
        <v>0</v>
      </c>
      <c r="CO109" s="23" t="s">
        <v>61</v>
      </c>
      <c r="CQ109" s="24" t="s">
        <v>329</v>
      </c>
      <c r="CR109" s="17" t="s">
        <v>325</v>
      </c>
      <c r="CT109" s="24" t="s">
        <v>329</v>
      </c>
      <c r="CU109" s="17" t="s">
        <v>58</v>
      </c>
      <c r="CW109" s="15" t="s">
        <v>253</v>
      </c>
      <c r="CX109" s="17" t="s">
        <v>59</v>
      </c>
      <c r="CZ109" s="24" t="s">
        <v>329</v>
      </c>
      <c r="DA109" s="24" t="s">
        <v>61</v>
      </c>
      <c r="DC109" s="24" t="s">
        <v>329</v>
      </c>
      <c r="DD109" s="17" t="s">
        <v>58</v>
      </c>
    </row>
    <row r="110" spans="1:108" ht="16.5" x14ac:dyDescent="0.25">
      <c r="A110" s="97"/>
      <c r="B110" s="97"/>
      <c r="C110" s="97"/>
      <c r="D110" s="97"/>
      <c r="E110" s="97"/>
      <c r="F110" s="97"/>
      <c r="G110" s="98"/>
      <c r="H110" s="97"/>
      <c r="I110" s="97"/>
      <c r="J110" s="97"/>
      <c r="K110" s="97"/>
      <c r="L110" s="97"/>
      <c r="M110" s="97"/>
      <c r="N110" s="97"/>
      <c r="O110" s="97"/>
      <c r="P110" s="97"/>
      <c r="Q110" s="100"/>
      <c r="R110" s="101"/>
      <c r="S110" s="99"/>
      <c r="T110" s="99"/>
      <c r="U110" s="97"/>
      <c r="V110" s="20" t="str">
        <f t="shared" si="29"/>
        <v/>
      </c>
      <c r="W110" s="20" t="str">
        <f t="shared" si="30"/>
        <v/>
      </c>
      <c r="X110" s="20" t="str">
        <f t="shared" si="31"/>
        <v/>
      </c>
      <c r="Y110" s="20" t="str">
        <f t="shared" si="32"/>
        <v/>
      </c>
      <c r="Z110" s="20" t="str">
        <f t="shared" si="33"/>
        <v/>
      </c>
      <c r="AA110" s="20" t="str">
        <f t="shared" si="34"/>
        <v/>
      </c>
      <c r="AB110" s="20" t="str">
        <f t="shared" si="35"/>
        <v/>
      </c>
      <c r="AC110" s="20" t="str">
        <f t="shared" si="36"/>
        <v/>
      </c>
      <c r="AD110" s="20" t="str">
        <f t="shared" si="37"/>
        <v/>
      </c>
      <c r="AE110" s="20" t="str">
        <f t="shared" si="38"/>
        <v/>
      </c>
      <c r="AF110" s="20" t="str">
        <f t="shared" si="39"/>
        <v/>
      </c>
      <c r="AG110" s="20" t="str">
        <f t="shared" si="40"/>
        <v/>
      </c>
      <c r="AH110" s="20" t="str">
        <f t="shared" si="41"/>
        <v/>
      </c>
      <c r="AI110" s="20" t="str">
        <f t="shared" si="42"/>
        <v/>
      </c>
      <c r="AJ110" s="20" t="str">
        <f t="shared" si="43"/>
        <v/>
      </c>
      <c r="AK110" s="20" t="str">
        <f t="shared" si="44"/>
        <v/>
      </c>
      <c r="AL110" s="20" t="str">
        <f t="shared" si="45"/>
        <v/>
      </c>
      <c r="AM110" s="20" t="str">
        <f t="shared" si="46"/>
        <v/>
      </c>
      <c r="AN110" s="20" t="str">
        <f t="shared" si="47"/>
        <v/>
      </c>
      <c r="AO110" s="20" t="str">
        <f t="shared" si="48"/>
        <v/>
      </c>
      <c r="AP110" s="20" t="str">
        <f t="shared" si="49"/>
        <v/>
      </c>
      <c r="AQ110" s="20" t="str">
        <f t="shared" si="50"/>
        <v/>
      </c>
      <c r="AR110" s="20" t="str">
        <f t="shared" si="51"/>
        <v/>
      </c>
      <c r="AS110" s="20" t="str">
        <f t="shared" si="52"/>
        <v/>
      </c>
      <c r="AT110" s="20" t="str">
        <f t="shared" si="53"/>
        <v/>
      </c>
      <c r="AU110" s="20" t="str">
        <f t="shared" si="54"/>
        <v/>
      </c>
      <c r="AV110" s="20" t="str">
        <f t="shared" si="55"/>
        <v/>
      </c>
      <c r="AW110" s="20" t="str">
        <f t="shared" si="56"/>
        <v/>
      </c>
      <c r="BD110" s="17" t="s">
        <v>268</v>
      </c>
      <c r="BE110" s="17" t="s">
        <v>828</v>
      </c>
      <c r="BF110" s="17" t="s">
        <v>327</v>
      </c>
      <c r="BG110" s="17" t="s">
        <v>150</v>
      </c>
      <c r="BH110" s="17" t="s">
        <v>58</v>
      </c>
      <c r="BI110" s="17" t="s">
        <v>910</v>
      </c>
      <c r="BJ110" s="94"/>
      <c r="BK110" s="80" t="s">
        <v>698</v>
      </c>
      <c r="BL110" s="80" t="s">
        <v>698</v>
      </c>
      <c r="BM110" s="18" t="s">
        <v>499</v>
      </c>
      <c r="BN110" s="18" t="s">
        <v>692</v>
      </c>
      <c r="BO110" s="17" t="s">
        <v>227</v>
      </c>
      <c r="BP110" s="17" t="s">
        <v>327</v>
      </c>
      <c r="BQ110" s="17" t="s">
        <v>328</v>
      </c>
      <c r="BR110" t="s">
        <v>1031</v>
      </c>
      <c r="BS110" s="22" t="s">
        <v>52</v>
      </c>
      <c r="BU110" s="17" t="s">
        <v>70</v>
      </c>
      <c r="BW110" s="94"/>
      <c r="BX110" s="17">
        <v>677</v>
      </c>
      <c r="BY110" s="17">
        <v>186490</v>
      </c>
      <c r="CA110" s="94"/>
      <c r="CB110" s="17" t="s">
        <v>58</v>
      </c>
      <c r="CC110" s="17" t="s">
        <v>576</v>
      </c>
      <c r="CD110" s="17" t="s">
        <v>586</v>
      </c>
      <c r="CE110" t="s">
        <v>76</v>
      </c>
      <c r="CF110" s="17" t="s">
        <v>1132</v>
      </c>
      <c r="CG110" s="17" t="s">
        <v>828</v>
      </c>
      <c r="CH110" s="17" t="s">
        <v>567</v>
      </c>
      <c r="CI110" s="17">
        <v>5264</v>
      </c>
      <c r="CJ110" s="23" t="b">
        <v>0</v>
      </c>
      <c r="CK110" s="23" t="b">
        <v>0</v>
      </c>
      <c r="CL110" s="23" t="b">
        <v>1</v>
      </c>
      <c r="CM110" s="23" t="b">
        <v>0</v>
      </c>
      <c r="CN110" s="23" t="b">
        <v>0</v>
      </c>
      <c r="CO110" s="23" t="s">
        <v>61</v>
      </c>
      <c r="CQ110" s="17" t="s">
        <v>258</v>
      </c>
      <c r="CR110" s="17" t="s">
        <v>325</v>
      </c>
      <c r="CT110" s="17" t="s">
        <v>258</v>
      </c>
      <c r="CU110" s="17" t="s">
        <v>58</v>
      </c>
      <c r="CW110" s="15" t="s">
        <v>255</v>
      </c>
      <c r="CX110" s="17" t="s">
        <v>59</v>
      </c>
      <c r="CZ110" s="17" t="s">
        <v>258</v>
      </c>
      <c r="DA110" s="24" t="s">
        <v>326</v>
      </c>
      <c r="DC110" s="17" t="s">
        <v>258</v>
      </c>
      <c r="DD110" s="17" t="s">
        <v>58</v>
      </c>
    </row>
    <row r="111" spans="1:108" ht="16.5" x14ac:dyDescent="0.25">
      <c r="A111" s="97"/>
      <c r="B111" s="97"/>
      <c r="C111" s="97"/>
      <c r="D111" s="97"/>
      <c r="E111" s="97"/>
      <c r="F111" s="97"/>
      <c r="G111" s="98"/>
      <c r="H111" s="97"/>
      <c r="I111" s="97"/>
      <c r="J111" s="97"/>
      <c r="K111" s="97"/>
      <c r="L111" s="97"/>
      <c r="M111" s="97"/>
      <c r="N111" s="97"/>
      <c r="O111" s="97"/>
      <c r="P111" s="97"/>
      <c r="Q111" s="100"/>
      <c r="R111" s="101"/>
      <c r="S111" s="99"/>
      <c r="T111" s="99"/>
      <c r="U111" s="97"/>
      <c r="V111" s="20" t="str">
        <f t="shared" si="29"/>
        <v/>
      </c>
      <c r="W111" s="20" t="str">
        <f t="shared" si="30"/>
        <v/>
      </c>
      <c r="X111" s="20" t="str">
        <f t="shared" si="31"/>
        <v/>
      </c>
      <c r="Y111" s="20" t="str">
        <f t="shared" si="32"/>
        <v/>
      </c>
      <c r="Z111" s="20" t="str">
        <f t="shared" si="33"/>
        <v/>
      </c>
      <c r="AA111" s="20" t="str">
        <f t="shared" si="34"/>
        <v/>
      </c>
      <c r="AB111" s="20" t="str">
        <f t="shared" si="35"/>
        <v/>
      </c>
      <c r="AC111" s="20" t="str">
        <f t="shared" si="36"/>
        <v/>
      </c>
      <c r="AD111" s="20" t="str">
        <f t="shared" si="37"/>
        <v/>
      </c>
      <c r="AE111" s="20" t="str">
        <f t="shared" si="38"/>
        <v/>
      </c>
      <c r="AF111" s="20" t="str">
        <f t="shared" si="39"/>
        <v/>
      </c>
      <c r="AG111" s="20" t="str">
        <f t="shared" si="40"/>
        <v/>
      </c>
      <c r="AH111" s="20" t="str">
        <f t="shared" si="41"/>
        <v/>
      </c>
      <c r="AI111" s="20" t="str">
        <f t="shared" si="42"/>
        <v/>
      </c>
      <c r="AJ111" s="20" t="str">
        <f t="shared" si="43"/>
        <v/>
      </c>
      <c r="AK111" s="20" t="str">
        <f t="shared" si="44"/>
        <v/>
      </c>
      <c r="AL111" s="20" t="str">
        <f t="shared" si="45"/>
        <v/>
      </c>
      <c r="AM111" s="20" t="str">
        <f t="shared" si="46"/>
        <v/>
      </c>
      <c r="AN111" s="20" t="str">
        <f t="shared" si="47"/>
        <v/>
      </c>
      <c r="AO111" s="20" t="str">
        <f t="shared" si="48"/>
        <v/>
      </c>
      <c r="AP111" s="20" t="str">
        <f t="shared" si="49"/>
        <v/>
      </c>
      <c r="AQ111" s="20" t="str">
        <f t="shared" si="50"/>
        <v/>
      </c>
      <c r="AR111" s="20" t="str">
        <f t="shared" si="51"/>
        <v/>
      </c>
      <c r="AS111" s="20" t="str">
        <f t="shared" si="52"/>
        <v/>
      </c>
      <c r="AT111" s="20" t="str">
        <f t="shared" si="53"/>
        <v/>
      </c>
      <c r="AU111" s="20" t="str">
        <f t="shared" si="54"/>
        <v/>
      </c>
      <c r="AV111" s="20" t="str">
        <f t="shared" si="55"/>
        <v/>
      </c>
      <c r="AW111" s="20" t="str">
        <f t="shared" si="56"/>
        <v/>
      </c>
      <c r="BD111" s="17" t="s">
        <v>268</v>
      </c>
      <c r="BE111" s="17" t="s">
        <v>828</v>
      </c>
      <c r="BF111" s="17" t="s">
        <v>327</v>
      </c>
      <c r="BG111" s="17" t="s">
        <v>595</v>
      </c>
      <c r="BH111" s="17" t="s">
        <v>58</v>
      </c>
      <c r="BI111" s="17" t="s">
        <v>911</v>
      </c>
      <c r="BJ111" s="94"/>
      <c r="BK111" s="18" t="s">
        <v>781</v>
      </c>
      <c r="BL111" s="18" t="s">
        <v>781</v>
      </c>
      <c r="BM111" s="18" t="s">
        <v>499</v>
      </c>
      <c r="BN111" s="18" t="s">
        <v>692</v>
      </c>
      <c r="BO111" s="17" t="s">
        <v>227</v>
      </c>
      <c r="BP111" s="17" t="s">
        <v>327</v>
      </c>
      <c r="BQ111" s="17" t="s">
        <v>328</v>
      </c>
      <c r="BR111" t="s">
        <v>1032</v>
      </c>
      <c r="BS111" s="22" t="s">
        <v>715</v>
      </c>
      <c r="BU111" s="17" t="s">
        <v>70</v>
      </c>
      <c r="BW111" s="94"/>
      <c r="BX111" s="17">
        <v>677</v>
      </c>
      <c r="BY111" s="17">
        <v>186490</v>
      </c>
      <c r="CA111" s="94"/>
      <c r="CB111" s="17" t="s">
        <v>58</v>
      </c>
      <c r="CC111" s="17" t="s">
        <v>576</v>
      </c>
      <c r="CD111" s="17" t="s">
        <v>586</v>
      </c>
      <c r="CE111" t="s">
        <v>76</v>
      </c>
      <c r="CF111" s="17" t="s">
        <v>1132</v>
      </c>
      <c r="CG111" s="17" t="s">
        <v>828</v>
      </c>
      <c r="CH111" s="17" t="s">
        <v>567</v>
      </c>
      <c r="CI111" s="28">
        <v>5264</v>
      </c>
      <c r="CJ111" s="23" t="b">
        <v>1</v>
      </c>
      <c r="CK111" s="23" t="b">
        <v>0</v>
      </c>
      <c r="CL111" s="23" t="b">
        <v>0</v>
      </c>
      <c r="CM111" s="23" t="b">
        <v>0</v>
      </c>
      <c r="CN111" s="23" t="b">
        <v>0</v>
      </c>
      <c r="CO111" s="61" t="s">
        <v>61</v>
      </c>
      <c r="CQ111" s="17" t="s">
        <v>259</v>
      </c>
      <c r="CR111" s="17" t="s">
        <v>325</v>
      </c>
      <c r="CT111" s="17" t="s">
        <v>259</v>
      </c>
      <c r="CU111" s="17" t="s">
        <v>83</v>
      </c>
      <c r="CW111" s="24" t="s">
        <v>192</v>
      </c>
      <c r="CX111" s="10" t="s">
        <v>72</v>
      </c>
      <c r="CZ111" s="17" t="s">
        <v>259</v>
      </c>
      <c r="DA111" s="24" t="s">
        <v>326</v>
      </c>
      <c r="DC111" s="17" t="s">
        <v>259</v>
      </c>
      <c r="DD111" s="17" t="s">
        <v>83</v>
      </c>
    </row>
    <row r="112" spans="1:108" ht="16.5" x14ac:dyDescent="0.25">
      <c r="A112" s="97"/>
      <c r="B112" s="97"/>
      <c r="C112" s="97"/>
      <c r="D112" s="97"/>
      <c r="E112" s="97"/>
      <c r="F112" s="97"/>
      <c r="G112" s="98"/>
      <c r="H112" s="97"/>
      <c r="I112" s="97"/>
      <c r="J112" s="97"/>
      <c r="K112" s="97"/>
      <c r="L112" s="97"/>
      <c r="M112" s="97"/>
      <c r="N112" s="97"/>
      <c r="O112" s="97"/>
      <c r="P112" s="97"/>
      <c r="Q112" s="100"/>
      <c r="R112" s="101"/>
      <c r="S112" s="99"/>
      <c r="T112" s="99"/>
      <c r="U112" s="97"/>
      <c r="V112" s="20" t="str">
        <f t="shared" si="29"/>
        <v/>
      </c>
      <c r="W112" s="20" t="str">
        <f t="shared" si="30"/>
        <v/>
      </c>
      <c r="X112" s="20" t="str">
        <f t="shared" si="31"/>
        <v/>
      </c>
      <c r="Y112" s="20" t="str">
        <f t="shared" si="32"/>
        <v/>
      </c>
      <c r="Z112" s="20" t="str">
        <f t="shared" si="33"/>
        <v/>
      </c>
      <c r="AA112" s="20" t="str">
        <f t="shared" si="34"/>
        <v/>
      </c>
      <c r="AB112" s="20" t="str">
        <f t="shared" si="35"/>
        <v/>
      </c>
      <c r="AC112" s="20" t="str">
        <f t="shared" si="36"/>
        <v/>
      </c>
      <c r="AD112" s="20" t="str">
        <f t="shared" si="37"/>
        <v/>
      </c>
      <c r="AE112" s="20" t="str">
        <f t="shared" si="38"/>
        <v/>
      </c>
      <c r="AF112" s="20" t="str">
        <f t="shared" si="39"/>
        <v/>
      </c>
      <c r="AG112" s="20" t="str">
        <f t="shared" si="40"/>
        <v/>
      </c>
      <c r="AH112" s="20" t="str">
        <f t="shared" si="41"/>
        <v/>
      </c>
      <c r="AI112" s="20" t="str">
        <f t="shared" si="42"/>
        <v/>
      </c>
      <c r="AJ112" s="20" t="str">
        <f t="shared" si="43"/>
        <v/>
      </c>
      <c r="AK112" s="20" t="str">
        <f t="shared" si="44"/>
        <v/>
      </c>
      <c r="AL112" s="20" t="str">
        <f t="shared" si="45"/>
        <v/>
      </c>
      <c r="AM112" s="20" t="str">
        <f t="shared" si="46"/>
        <v/>
      </c>
      <c r="AN112" s="20" t="str">
        <f t="shared" si="47"/>
        <v/>
      </c>
      <c r="AO112" s="20" t="str">
        <f t="shared" si="48"/>
        <v/>
      </c>
      <c r="AP112" s="20" t="str">
        <f t="shared" si="49"/>
        <v/>
      </c>
      <c r="AQ112" s="20" t="str">
        <f t="shared" si="50"/>
        <v/>
      </c>
      <c r="AR112" s="20" t="str">
        <f t="shared" si="51"/>
        <v/>
      </c>
      <c r="AS112" s="20" t="str">
        <f t="shared" si="52"/>
        <v/>
      </c>
      <c r="AT112" s="20" t="str">
        <f t="shared" si="53"/>
        <v/>
      </c>
      <c r="AU112" s="20" t="str">
        <f t="shared" si="54"/>
        <v/>
      </c>
      <c r="AV112" s="20" t="str">
        <f t="shared" si="55"/>
        <v/>
      </c>
      <c r="AW112" s="20" t="str">
        <f t="shared" si="56"/>
        <v/>
      </c>
      <c r="BD112" s="17" t="s">
        <v>250</v>
      </c>
      <c r="BE112" s="17" t="s">
        <v>504</v>
      </c>
      <c r="BF112" s="17" t="s">
        <v>599</v>
      </c>
      <c r="BG112" s="17" t="s">
        <v>596</v>
      </c>
      <c r="BH112" s="17" t="s">
        <v>92</v>
      </c>
      <c r="BI112" s="17" t="s">
        <v>807</v>
      </c>
      <c r="BJ112" s="94"/>
      <c r="BK112" s="18" t="s">
        <v>505</v>
      </c>
      <c r="BL112" s="18" t="s">
        <v>505</v>
      </c>
      <c r="BM112" s="18" t="s">
        <v>502</v>
      </c>
      <c r="BN112" s="18" t="s">
        <v>298</v>
      </c>
      <c r="BO112" s="17" t="s">
        <v>177</v>
      </c>
      <c r="BP112" s="17" t="s">
        <v>299</v>
      </c>
      <c r="BQ112" s="17" t="s">
        <v>300</v>
      </c>
      <c r="BR112" t="s">
        <v>1033</v>
      </c>
      <c r="BS112" s="22" t="s">
        <v>52</v>
      </c>
      <c r="BT112" s="17">
        <v>15392027</v>
      </c>
      <c r="BU112" s="17" t="s">
        <v>70</v>
      </c>
      <c r="BW112" s="94"/>
      <c r="BX112" s="17">
        <v>711</v>
      </c>
      <c r="BY112" s="17">
        <v>192719</v>
      </c>
      <c r="CA112" s="94"/>
      <c r="CB112" s="17" t="s">
        <v>83</v>
      </c>
      <c r="CC112" s="17" t="s">
        <v>573</v>
      </c>
      <c r="CD112" s="17" t="s">
        <v>599</v>
      </c>
      <c r="CE112" t="s">
        <v>76</v>
      </c>
      <c r="CF112" s="17" t="s">
        <v>564</v>
      </c>
      <c r="CG112" s="17" t="s">
        <v>561</v>
      </c>
      <c r="CH112" s="17" t="s">
        <v>250</v>
      </c>
      <c r="CI112" s="28"/>
      <c r="CJ112" s="23" t="b">
        <v>0</v>
      </c>
      <c r="CK112" s="23" t="b">
        <v>0</v>
      </c>
      <c r="CL112" s="23" t="b">
        <v>0</v>
      </c>
      <c r="CM112" s="23" t="b">
        <v>1</v>
      </c>
      <c r="CN112" s="23" t="b">
        <v>0</v>
      </c>
      <c r="CO112" s="61" t="s">
        <v>504</v>
      </c>
      <c r="CQ112" s="17" t="s">
        <v>241</v>
      </c>
      <c r="CR112" s="17" t="s">
        <v>57</v>
      </c>
      <c r="CT112" s="17" t="s">
        <v>241</v>
      </c>
      <c r="CU112" s="17" t="s">
        <v>58</v>
      </c>
      <c r="CW112" s="24" t="s">
        <v>195</v>
      </c>
      <c r="CX112" s="10" t="s">
        <v>72</v>
      </c>
      <c r="CZ112" s="17" t="s">
        <v>241</v>
      </c>
      <c r="DA112" s="24" t="s">
        <v>61</v>
      </c>
      <c r="DC112" s="17" t="s">
        <v>241</v>
      </c>
      <c r="DD112" s="17" t="s">
        <v>58</v>
      </c>
    </row>
    <row r="113" spans="1:108" ht="16.5" x14ac:dyDescent="0.25">
      <c r="A113" s="97"/>
      <c r="B113" s="97"/>
      <c r="C113" s="97"/>
      <c r="D113" s="97"/>
      <c r="E113" s="97"/>
      <c r="F113" s="97"/>
      <c r="G113" s="98"/>
      <c r="H113" s="97"/>
      <c r="I113" s="97"/>
      <c r="J113" s="97"/>
      <c r="K113" s="97"/>
      <c r="L113" s="97"/>
      <c r="M113" s="97"/>
      <c r="N113" s="97"/>
      <c r="O113" s="97"/>
      <c r="P113" s="97"/>
      <c r="Q113" s="100"/>
      <c r="R113" s="101"/>
      <c r="S113" s="99"/>
      <c r="T113" s="99"/>
      <c r="U113" s="97"/>
      <c r="V113" s="20" t="str">
        <f t="shared" si="29"/>
        <v/>
      </c>
      <c r="W113" s="20" t="str">
        <f t="shared" si="30"/>
        <v/>
      </c>
      <c r="X113" s="20" t="str">
        <f t="shared" si="31"/>
        <v/>
      </c>
      <c r="Y113" s="20" t="str">
        <f t="shared" si="32"/>
        <v/>
      </c>
      <c r="Z113" s="20" t="str">
        <f t="shared" si="33"/>
        <v/>
      </c>
      <c r="AA113" s="20" t="str">
        <f t="shared" si="34"/>
        <v/>
      </c>
      <c r="AB113" s="20" t="str">
        <f t="shared" si="35"/>
        <v/>
      </c>
      <c r="AC113" s="20" t="str">
        <f t="shared" si="36"/>
        <v/>
      </c>
      <c r="AD113" s="20" t="str">
        <f t="shared" si="37"/>
        <v/>
      </c>
      <c r="AE113" s="20" t="str">
        <f t="shared" si="38"/>
        <v/>
      </c>
      <c r="AF113" s="20" t="str">
        <f t="shared" si="39"/>
        <v/>
      </c>
      <c r="AG113" s="20" t="str">
        <f t="shared" si="40"/>
        <v/>
      </c>
      <c r="AH113" s="20" t="str">
        <f t="shared" si="41"/>
        <v/>
      </c>
      <c r="AI113" s="20" t="str">
        <f t="shared" si="42"/>
        <v/>
      </c>
      <c r="AJ113" s="20" t="str">
        <f t="shared" si="43"/>
        <v/>
      </c>
      <c r="AK113" s="20" t="str">
        <f t="shared" si="44"/>
        <v/>
      </c>
      <c r="AL113" s="20" t="str">
        <f t="shared" si="45"/>
        <v/>
      </c>
      <c r="AM113" s="20" t="str">
        <f t="shared" si="46"/>
        <v/>
      </c>
      <c r="AN113" s="20" t="str">
        <f t="shared" si="47"/>
        <v/>
      </c>
      <c r="AO113" s="20" t="str">
        <f t="shared" si="48"/>
        <v/>
      </c>
      <c r="AP113" s="20" t="str">
        <f t="shared" si="49"/>
        <v/>
      </c>
      <c r="AQ113" s="20" t="str">
        <f t="shared" si="50"/>
        <v/>
      </c>
      <c r="AR113" s="20" t="str">
        <f t="shared" si="51"/>
        <v/>
      </c>
      <c r="AS113" s="20" t="str">
        <f t="shared" si="52"/>
        <v/>
      </c>
      <c r="AT113" s="20" t="str">
        <f t="shared" si="53"/>
        <v/>
      </c>
      <c r="AU113" s="20" t="str">
        <f t="shared" si="54"/>
        <v/>
      </c>
      <c r="AV113" s="20" t="str">
        <f t="shared" si="55"/>
        <v/>
      </c>
      <c r="AW113" s="20" t="str">
        <f t="shared" si="56"/>
        <v/>
      </c>
      <c r="BD113" s="17" t="s">
        <v>250</v>
      </c>
      <c r="BE113" s="17" t="s">
        <v>504</v>
      </c>
      <c r="BF113" s="17" t="s">
        <v>599</v>
      </c>
      <c r="BG113" s="17" t="s">
        <v>596</v>
      </c>
      <c r="BH113" s="17" t="s">
        <v>92</v>
      </c>
      <c r="BI113" s="17" t="s">
        <v>807</v>
      </c>
      <c r="BJ113" s="94"/>
      <c r="BK113" s="18" t="s">
        <v>506</v>
      </c>
      <c r="BL113" s="18" t="s">
        <v>506</v>
      </c>
      <c r="BM113" s="18" t="s">
        <v>507</v>
      </c>
      <c r="BN113" s="18" t="s">
        <v>298</v>
      </c>
      <c r="BO113" s="17" t="s">
        <v>177</v>
      </c>
      <c r="BP113" s="17" t="s">
        <v>299</v>
      </c>
      <c r="BQ113" s="17" t="s">
        <v>300</v>
      </c>
      <c r="BR113" t="s">
        <v>1033</v>
      </c>
      <c r="BS113" s="22" t="s">
        <v>52</v>
      </c>
      <c r="BT113" s="17">
        <v>15392027</v>
      </c>
      <c r="BU113" s="17" t="s">
        <v>70</v>
      </c>
      <c r="BW113" s="94"/>
      <c r="BX113" s="17">
        <v>711</v>
      </c>
      <c r="BY113" s="17">
        <v>192719</v>
      </c>
      <c r="CA113" s="94"/>
      <c r="CB113" s="17" t="s">
        <v>83</v>
      </c>
      <c r="CC113" s="17" t="s">
        <v>573</v>
      </c>
      <c r="CD113" s="17" t="s">
        <v>599</v>
      </c>
      <c r="CE113" t="s">
        <v>76</v>
      </c>
      <c r="CF113" s="17" t="s">
        <v>564</v>
      </c>
      <c r="CG113" s="17" t="s">
        <v>561</v>
      </c>
      <c r="CH113" s="17" t="s">
        <v>250</v>
      </c>
      <c r="CI113" s="28"/>
      <c r="CJ113" s="23" t="b">
        <v>0</v>
      </c>
      <c r="CK113" s="23" t="b">
        <v>0</v>
      </c>
      <c r="CL113" s="23" t="b">
        <v>0</v>
      </c>
      <c r="CM113" s="23" t="b">
        <v>1</v>
      </c>
      <c r="CN113" s="23" t="b">
        <v>0</v>
      </c>
      <c r="CO113" s="61" t="s">
        <v>504</v>
      </c>
      <c r="CQ113" s="17" t="s">
        <v>244</v>
      </c>
      <c r="CR113" s="17" t="s">
        <v>150</v>
      </c>
      <c r="CT113" s="17" t="s">
        <v>244</v>
      </c>
      <c r="CU113" s="17" t="s">
        <v>58</v>
      </c>
      <c r="CW113" s="24" t="s">
        <v>199</v>
      </c>
      <c r="CX113" s="10" t="s">
        <v>72</v>
      </c>
      <c r="CZ113" s="17" t="s">
        <v>244</v>
      </c>
      <c r="DA113" s="24" t="s">
        <v>61</v>
      </c>
      <c r="DC113" s="17" t="s">
        <v>244</v>
      </c>
      <c r="DD113" s="17" t="s">
        <v>58</v>
      </c>
    </row>
    <row r="114" spans="1:108" ht="16.5" x14ac:dyDescent="0.25">
      <c r="A114" s="97"/>
      <c r="B114" s="97"/>
      <c r="C114" s="97"/>
      <c r="D114" s="97"/>
      <c r="E114" s="97"/>
      <c r="F114" s="97"/>
      <c r="G114" s="98"/>
      <c r="H114" s="97"/>
      <c r="I114" s="97"/>
      <c r="J114" s="97"/>
      <c r="K114" s="97"/>
      <c r="L114" s="97"/>
      <c r="M114" s="97"/>
      <c r="N114" s="97"/>
      <c r="O114" s="97"/>
      <c r="P114" s="97"/>
      <c r="Q114" s="100"/>
      <c r="R114" s="101"/>
      <c r="S114" s="99"/>
      <c r="T114" s="99"/>
      <c r="U114" s="97"/>
      <c r="V114" s="20" t="str">
        <f t="shared" si="29"/>
        <v/>
      </c>
      <c r="W114" s="20" t="str">
        <f t="shared" si="30"/>
        <v/>
      </c>
      <c r="X114" s="20" t="str">
        <f t="shared" si="31"/>
        <v/>
      </c>
      <c r="Y114" s="20" t="str">
        <f t="shared" si="32"/>
        <v/>
      </c>
      <c r="Z114" s="20" t="str">
        <f t="shared" si="33"/>
        <v/>
      </c>
      <c r="AA114" s="20" t="str">
        <f t="shared" si="34"/>
        <v/>
      </c>
      <c r="AB114" s="20" t="str">
        <f t="shared" si="35"/>
        <v/>
      </c>
      <c r="AC114" s="20" t="str">
        <f t="shared" si="36"/>
        <v/>
      </c>
      <c r="AD114" s="20" t="str">
        <f t="shared" si="37"/>
        <v/>
      </c>
      <c r="AE114" s="20" t="str">
        <f t="shared" si="38"/>
        <v/>
      </c>
      <c r="AF114" s="20" t="str">
        <f t="shared" si="39"/>
        <v/>
      </c>
      <c r="AG114" s="20" t="str">
        <f t="shared" si="40"/>
        <v/>
      </c>
      <c r="AH114" s="20" t="str">
        <f t="shared" si="41"/>
        <v/>
      </c>
      <c r="AI114" s="20" t="str">
        <f t="shared" si="42"/>
        <v/>
      </c>
      <c r="AJ114" s="20" t="str">
        <f t="shared" si="43"/>
        <v/>
      </c>
      <c r="AK114" s="20" t="str">
        <f t="shared" si="44"/>
        <v/>
      </c>
      <c r="AL114" s="20" t="str">
        <f t="shared" si="45"/>
        <v/>
      </c>
      <c r="AM114" s="20" t="str">
        <f t="shared" si="46"/>
        <v/>
      </c>
      <c r="AN114" s="20" t="str">
        <f t="shared" si="47"/>
        <v/>
      </c>
      <c r="AO114" s="20" t="str">
        <f t="shared" si="48"/>
        <v/>
      </c>
      <c r="AP114" s="20" t="str">
        <f t="shared" si="49"/>
        <v/>
      </c>
      <c r="AQ114" s="20" t="str">
        <f t="shared" si="50"/>
        <v/>
      </c>
      <c r="AR114" s="20" t="str">
        <f t="shared" si="51"/>
        <v/>
      </c>
      <c r="AS114" s="20" t="str">
        <f t="shared" si="52"/>
        <v/>
      </c>
      <c r="AT114" s="20" t="str">
        <f t="shared" si="53"/>
        <v/>
      </c>
      <c r="AU114" s="20" t="str">
        <f t="shared" si="54"/>
        <v/>
      </c>
      <c r="AV114" s="20" t="str">
        <f t="shared" si="55"/>
        <v/>
      </c>
      <c r="AW114" s="20" t="str">
        <f t="shared" si="56"/>
        <v/>
      </c>
      <c r="BD114" s="17" t="s">
        <v>250</v>
      </c>
      <c r="BE114" s="17" t="s">
        <v>504</v>
      </c>
      <c r="BF114" s="17" t="s">
        <v>599</v>
      </c>
      <c r="BG114" s="17" t="s">
        <v>595</v>
      </c>
      <c r="BH114" s="17" t="s">
        <v>58</v>
      </c>
      <c r="BI114" s="17" t="s">
        <v>808</v>
      </c>
      <c r="BJ114" s="94"/>
      <c r="BK114" s="18" t="s">
        <v>701</v>
      </c>
      <c r="BL114" s="18" t="s">
        <v>701</v>
      </c>
      <c r="BM114" s="18" t="s">
        <v>501</v>
      </c>
      <c r="BN114" s="18" t="s">
        <v>298</v>
      </c>
      <c r="BO114" s="17" t="s">
        <v>177</v>
      </c>
      <c r="BP114" s="17" t="s">
        <v>299</v>
      </c>
      <c r="BQ114" s="17" t="s">
        <v>300</v>
      </c>
      <c r="BR114" s="17" t="s">
        <v>1034</v>
      </c>
      <c r="BS114" s="17" t="s">
        <v>52</v>
      </c>
      <c r="BT114" s="17">
        <v>15392027</v>
      </c>
      <c r="BU114" s="17" t="s">
        <v>70</v>
      </c>
      <c r="BW114" s="94"/>
      <c r="BX114" s="17">
        <v>710</v>
      </c>
      <c r="BY114" s="17">
        <v>192719</v>
      </c>
      <c r="CA114" s="94"/>
      <c r="CB114" s="17" t="s">
        <v>58</v>
      </c>
      <c r="CC114" s="17" t="s">
        <v>573</v>
      </c>
      <c r="CD114" s="17" t="s">
        <v>599</v>
      </c>
      <c r="CE114" t="s">
        <v>76</v>
      </c>
      <c r="CF114" s="17" t="s">
        <v>564</v>
      </c>
      <c r="CG114" s="17" t="s">
        <v>561</v>
      </c>
      <c r="CH114" s="17" t="s">
        <v>250</v>
      </c>
      <c r="CJ114" s="23" t="b">
        <v>1</v>
      </c>
      <c r="CK114" s="23" t="b">
        <v>0</v>
      </c>
      <c r="CL114" s="23" t="b">
        <v>0</v>
      </c>
      <c r="CM114" s="23" t="b">
        <v>0</v>
      </c>
      <c r="CN114" s="23" t="b">
        <v>0</v>
      </c>
      <c r="CO114" s="61" t="s">
        <v>504</v>
      </c>
      <c r="CQ114" s="17" t="s">
        <v>248</v>
      </c>
      <c r="CR114" s="17" t="s">
        <v>127</v>
      </c>
      <c r="CT114" s="17" t="s">
        <v>248</v>
      </c>
      <c r="CU114" s="17" t="s">
        <v>58</v>
      </c>
      <c r="CW114" s="24" t="s">
        <v>206</v>
      </c>
      <c r="CX114" s="10" t="s">
        <v>72</v>
      </c>
      <c r="CZ114" s="17" t="s">
        <v>248</v>
      </c>
      <c r="DA114" s="24" t="s">
        <v>61</v>
      </c>
      <c r="DC114" s="17" t="s">
        <v>248</v>
      </c>
      <c r="DD114" s="17" t="s">
        <v>58</v>
      </c>
    </row>
    <row r="115" spans="1:108" ht="16.5" x14ac:dyDescent="0.25">
      <c r="A115" s="97"/>
      <c r="B115" s="97"/>
      <c r="C115" s="97"/>
      <c r="D115" s="97"/>
      <c r="E115" s="97"/>
      <c r="F115" s="97"/>
      <c r="G115" s="98"/>
      <c r="H115" s="97"/>
      <c r="I115" s="97"/>
      <c r="J115" s="97"/>
      <c r="K115" s="97"/>
      <c r="L115" s="97"/>
      <c r="M115" s="97"/>
      <c r="N115" s="97"/>
      <c r="O115" s="97"/>
      <c r="P115" s="97"/>
      <c r="Q115" s="100"/>
      <c r="R115" s="101"/>
      <c r="S115" s="99"/>
      <c r="T115" s="99"/>
      <c r="U115" s="97"/>
      <c r="V115" s="20" t="str">
        <f t="shared" si="29"/>
        <v/>
      </c>
      <c r="W115" s="20" t="str">
        <f t="shared" si="30"/>
        <v/>
      </c>
      <c r="X115" s="20" t="str">
        <f t="shared" si="31"/>
        <v/>
      </c>
      <c r="Y115" s="20" t="str">
        <f t="shared" si="32"/>
        <v/>
      </c>
      <c r="Z115" s="20" t="str">
        <f t="shared" si="33"/>
        <v/>
      </c>
      <c r="AA115" s="20" t="str">
        <f t="shared" si="34"/>
        <v/>
      </c>
      <c r="AB115" s="20" t="str">
        <f t="shared" si="35"/>
        <v/>
      </c>
      <c r="AC115" s="20" t="str">
        <f t="shared" si="36"/>
        <v/>
      </c>
      <c r="AD115" s="20" t="str">
        <f t="shared" si="37"/>
        <v/>
      </c>
      <c r="AE115" s="20" t="str">
        <f t="shared" si="38"/>
        <v/>
      </c>
      <c r="AF115" s="20" t="str">
        <f t="shared" si="39"/>
        <v/>
      </c>
      <c r="AG115" s="20" t="str">
        <f t="shared" si="40"/>
        <v/>
      </c>
      <c r="AH115" s="20" t="str">
        <f t="shared" si="41"/>
        <v/>
      </c>
      <c r="AI115" s="20" t="str">
        <f t="shared" si="42"/>
        <v/>
      </c>
      <c r="AJ115" s="20" t="str">
        <f t="shared" si="43"/>
        <v/>
      </c>
      <c r="AK115" s="20" t="str">
        <f t="shared" si="44"/>
        <v/>
      </c>
      <c r="AL115" s="20" t="str">
        <f t="shared" si="45"/>
        <v/>
      </c>
      <c r="AM115" s="20" t="str">
        <f t="shared" si="46"/>
        <v/>
      </c>
      <c r="AN115" s="20" t="str">
        <f t="shared" si="47"/>
        <v/>
      </c>
      <c r="AO115" s="20" t="str">
        <f t="shared" si="48"/>
        <v/>
      </c>
      <c r="AP115" s="20" t="str">
        <f t="shared" si="49"/>
        <v/>
      </c>
      <c r="AQ115" s="20" t="str">
        <f t="shared" si="50"/>
        <v/>
      </c>
      <c r="AR115" s="20" t="str">
        <f t="shared" si="51"/>
        <v/>
      </c>
      <c r="AS115" s="20" t="str">
        <f t="shared" si="52"/>
        <v/>
      </c>
      <c r="AT115" s="20" t="str">
        <f t="shared" si="53"/>
        <v/>
      </c>
      <c r="AU115" s="20" t="str">
        <f t="shared" si="54"/>
        <v/>
      </c>
      <c r="AV115" s="20" t="str">
        <f t="shared" si="55"/>
        <v/>
      </c>
      <c r="AW115" s="20" t="str">
        <f t="shared" si="56"/>
        <v/>
      </c>
      <c r="BD115" s="17" t="s">
        <v>250</v>
      </c>
      <c r="BE115" s="17" t="s">
        <v>828</v>
      </c>
      <c r="BF115" s="17" t="s">
        <v>599</v>
      </c>
      <c r="BG115" s="17" t="s">
        <v>596</v>
      </c>
      <c r="BH115" s="17" t="s">
        <v>92</v>
      </c>
      <c r="BI115" s="17" t="s">
        <v>912</v>
      </c>
      <c r="BJ115" s="94"/>
      <c r="BK115" s="18"/>
      <c r="BM115" s="18" t="s">
        <v>502</v>
      </c>
      <c r="BN115" s="18" t="s">
        <v>298</v>
      </c>
      <c r="BO115" s="17" t="s">
        <v>177</v>
      </c>
      <c r="BP115" s="17" t="s">
        <v>299</v>
      </c>
      <c r="BQ115" s="17" t="s">
        <v>300</v>
      </c>
      <c r="BU115" s="17" t="s">
        <v>70</v>
      </c>
      <c r="BW115" s="94"/>
      <c r="BX115" s="17">
        <v>711</v>
      </c>
      <c r="BY115" s="17">
        <v>192719</v>
      </c>
      <c r="CA115" s="94"/>
      <c r="CB115" s="17" t="s">
        <v>83</v>
      </c>
      <c r="CC115" s="17" t="s">
        <v>573</v>
      </c>
      <c r="CD115" s="17" t="s">
        <v>599</v>
      </c>
      <c r="CE115" t="s">
        <v>76</v>
      </c>
      <c r="CF115" s="17" t="s">
        <v>564</v>
      </c>
      <c r="CG115" s="17" t="s">
        <v>828</v>
      </c>
      <c r="CH115" s="17" t="s">
        <v>250</v>
      </c>
      <c r="CJ115" s="23" t="b">
        <v>0</v>
      </c>
      <c r="CK115" s="23" t="b">
        <v>0</v>
      </c>
      <c r="CL115" s="23" t="b">
        <v>0</v>
      </c>
      <c r="CM115" s="23" t="b">
        <v>1</v>
      </c>
      <c r="CN115" s="23" t="b">
        <v>0</v>
      </c>
      <c r="CO115" s="61" t="s">
        <v>563</v>
      </c>
      <c r="CQ115" s="17" t="s">
        <v>251</v>
      </c>
      <c r="CR115" s="17" t="s">
        <v>57</v>
      </c>
      <c r="CT115" s="17" t="s">
        <v>251</v>
      </c>
      <c r="CU115" s="17" t="s">
        <v>83</v>
      </c>
      <c r="CW115" s="24" t="s">
        <v>209</v>
      </c>
      <c r="CX115" s="10" t="s">
        <v>72</v>
      </c>
      <c r="CZ115" s="17" t="s">
        <v>251</v>
      </c>
      <c r="DA115" s="24" t="s">
        <v>61</v>
      </c>
      <c r="DC115" s="17" t="s">
        <v>251</v>
      </c>
      <c r="DD115" s="17" t="s">
        <v>83</v>
      </c>
    </row>
    <row r="116" spans="1:108" ht="16.5" x14ac:dyDescent="0.25">
      <c r="A116" s="97"/>
      <c r="B116" s="97"/>
      <c r="C116" s="97"/>
      <c r="D116" s="97"/>
      <c r="E116" s="97"/>
      <c r="F116" s="97"/>
      <c r="G116" s="98"/>
      <c r="H116" s="97"/>
      <c r="I116" s="97"/>
      <c r="J116" s="97"/>
      <c r="K116" s="97"/>
      <c r="L116" s="97"/>
      <c r="M116" s="97"/>
      <c r="N116" s="97"/>
      <c r="O116" s="97"/>
      <c r="P116" s="97"/>
      <c r="Q116" s="100"/>
      <c r="R116" s="101"/>
      <c r="S116" s="99"/>
      <c r="T116" s="99"/>
      <c r="U116" s="97"/>
      <c r="V116" s="20" t="str">
        <f t="shared" si="29"/>
        <v/>
      </c>
      <c r="W116" s="20" t="str">
        <f t="shared" si="30"/>
        <v/>
      </c>
      <c r="X116" s="20" t="str">
        <f t="shared" si="31"/>
        <v/>
      </c>
      <c r="Y116" s="20" t="str">
        <f t="shared" si="32"/>
        <v/>
      </c>
      <c r="Z116" s="20" t="str">
        <f t="shared" si="33"/>
        <v/>
      </c>
      <c r="AA116" s="20" t="str">
        <f t="shared" si="34"/>
        <v/>
      </c>
      <c r="AB116" s="20" t="str">
        <f t="shared" si="35"/>
        <v/>
      </c>
      <c r="AC116" s="20" t="str">
        <f t="shared" si="36"/>
        <v/>
      </c>
      <c r="AD116" s="20" t="str">
        <f t="shared" si="37"/>
        <v/>
      </c>
      <c r="AE116" s="20" t="str">
        <f t="shared" si="38"/>
        <v/>
      </c>
      <c r="AF116" s="20" t="str">
        <f t="shared" si="39"/>
        <v/>
      </c>
      <c r="AG116" s="20" t="str">
        <f t="shared" si="40"/>
        <v/>
      </c>
      <c r="AH116" s="20" t="str">
        <f t="shared" si="41"/>
        <v/>
      </c>
      <c r="AI116" s="20" t="str">
        <f t="shared" si="42"/>
        <v/>
      </c>
      <c r="AJ116" s="20" t="str">
        <f t="shared" si="43"/>
        <v/>
      </c>
      <c r="AK116" s="20" t="str">
        <f t="shared" si="44"/>
        <v/>
      </c>
      <c r="AL116" s="20" t="str">
        <f t="shared" si="45"/>
        <v/>
      </c>
      <c r="AM116" s="20" t="str">
        <f t="shared" si="46"/>
        <v/>
      </c>
      <c r="AN116" s="20" t="str">
        <f t="shared" si="47"/>
        <v/>
      </c>
      <c r="AO116" s="20" t="str">
        <f t="shared" si="48"/>
        <v/>
      </c>
      <c r="AP116" s="20" t="str">
        <f t="shared" si="49"/>
        <v/>
      </c>
      <c r="AQ116" s="20" t="str">
        <f t="shared" si="50"/>
        <v/>
      </c>
      <c r="AR116" s="20" t="str">
        <f t="shared" si="51"/>
        <v/>
      </c>
      <c r="AS116" s="20" t="str">
        <f t="shared" si="52"/>
        <v/>
      </c>
      <c r="AT116" s="20" t="str">
        <f t="shared" si="53"/>
        <v/>
      </c>
      <c r="AU116" s="20" t="str">
        <f t="shared" si="54"/>
        <v/>
      </c>
      <c r="AV116" s="20" t="str">
        <f t="shared" si="55"/>
        <v/>
      </c>
      <c r="AW116" s="20" t="str">
        <f t="shared" si="56"/>
        <v/>
      </c>
      <c r="BD116" s="17" t="s">
        <v>250</v>
      </c>
      <c r="BE116" s="17" t="s">
        <v>828</v>
      </c>
      <c r="BF116" s="17" t="s">
        <v>599</v>
      </c>
      <c r="BG116" s="17" t="s">
        <v>595</v>
      </c>
      <c r="BH116" s="17" t="s">
        <v>58</v>
      </c>
      <c r="BI116" s="17" t="s">
        <v>913</v>
      </c>
      <c r="BJ116" s="94"/>
      <c r="BK116" s="18"/>
      <c r="BM116" s="18" t="s">
        <v>501</v>
      </c>
      <c r="BN116" s="18" t="s">
        <v>298</v>
      </c>
      <c r="BO116" s="17" t="s">
        <v>177</v>
      </c>
      <c r="BP116" s="17" t="s">
        <v>299</v>
      </c>
      <c r="BQ116" s="17" t="s">
        <v>300</v>
      </c>
      <c r="BU116" s="17" t="s">
        <v>70</v>
      </c>
      <c r="BW116" s="94"/>
      <c r="BX116" s="17">
        <v>710</v>
      </c>
      <c r="BY116" s="17">
        <v>192719</v>
      </c>
      <c r="CA116" s="94"/>
      <c r="CB116" s="17" t="s">
        <v>58</v>
      </c>
      <c r="CC116" s="17" t="s">
        <v>573</v>
      </c>
      <c r="CD116" s="17" t="s">
        <v>599</v>
      </c>
      <c r="CE116" t="s">
        <v>76</v>
      </c>
      <c r="CF116" s="17" t="s">
        <v>564</v>
      </c>
      <c r="CG116" s="17" t="s">
        <v>828</v>
      </c>
      <c r="CH116" s="17" t="s">
        <v>250</v>
      </c>
      <c r="CJ116" s="23" t="b">
        <v>1</v>
      </c>
      <c r="CK116" s="23" t="b">
        <v>0</v>
      </c>
      <c r="CL116" s="23" t="b">
        <v>0</v>
      </c>
      <c r="CM116" s="23" t="b">
        <v>0</v>
      </c>
      <c r="CN116" s="23" t="b">
        <v>0</v>
      </c>
      <c r="CO116" s="61" t="s">
        <v>563</v>
      </c>
      <c r="CQ116" s="9" t="s">
        <v>253</v>
      </c>
      <c r="CR116" s="17" t="s">
        <v>325</v>
      </c>
      <c r="CT116" s="9" t="s">
        <v>253</v>
      </c>
      <c r="CU116" s="17" t="s">
        <v>58</v>
      </c>
      <c r="CW116" s="24" t="s">
        <v>214</v>
      </c>
      <c r="CX116" s="10" t="s">
        <v>72</v>
      </c>
      <c r="CZ116" s="9" t="s">
        <v>253</v>
      </c>
      <c r="DA116" s="24" t="s">
        <v>326</v>
      </c>
      <c r="DC116" s="9" t="s">
        <v>253</v>
      </c>
      <c r="DD116" s="17" t="s">
        <v>58</v>
      </c>
    </row>
    <row r="117" spans="1:108" ht="16.5" x14ac:dyDescent="0.25">
      <c r="A117" s="97"/>
      <c r="B117" s="97"/>
      <c r="C117" s="97"/>
      <c r="D117" s="97"/>
      <c r="E117" s="97"/>
      <c r="F117" s="97"/>
      <c r="G117" s="98"/>
      <c r="H117" s="97"/>
      <c r="I117" s="97"/>
      <c r="J117" s="97"/>
      <c r="K117" s="97"/>
      <c r="L117" s="97"/>
      <c r="M117" s="97"/>
      <c r="N117" s="97"/>
      <c r="O117" s="97"/>
      <c r="P117" s="97"/>
      <c r="Q117" s="100"/>
      <c r="R117" s="101"/>
      <c r="S117" s="99"/>
      <c r="T117" s="99"/>
      <c r="U117" s="97"/>
      <c r="V117" s="20" t="str">
        <f t="shared" si="29"/>
        <v/>
      </c>
      <c r="W117" s="20" t="str">
        <f t="shared" si="30"/>
        <v/>
      </c>
      <c r="X117" s="20" t="str">
        <f t="shared" si="31"/>
        <v/>
      </c>
      <c r="Y117" s="20" t="str">
        <f t="shared" si="32"/>
        <v/>
      </c>
      <c r="Z117" s="20" t="str">
        <f t="shared" si="33"/>
        <v/>
      </c>
      <c r="AA117" s="20" t="str">
        <f t="shared" si="34"/>
        <v/>
      </c>
      <c r="AB117" s="20" t="str">
        <f t="shared" si="35"/>
        <v/>
      </c>
      <c r="AC117" s="20" t="str">
        <f t="shared" si="36"/>
        <v/>
      </c>
      <c r="AD117" s="20" t="str">
        <f t="shared" si="37"/>
        <v/>
      </c>
      <c r="AE117" s="20" t="str">
        <f t="shared" si="38"/>
        <v/>
      </c>
      <c r="AF117" s="20" t="str">
        <f t="shared" si="39"/>
        <v/>
      </c>
      <c r="AG117" s="20" t="str">
        <f t="shared" si="40"/>
        <v/>
      </c>
      <c r="AH117" s="20" t="str">
        <f t="shared" si="41"/>
        <v/>
      </c>
      <c r="AI117" s="20" t="str">
        <f t="shared" si="42"/>
        <v/>
      </c>
      <c r="AJ117" s="20" t="str">
        <f t="shared" si="43"/>
        <v/>
      </c>
      <c r="AK117" s="20" t="str">
        <f t="shared" si="44"/>
        <v/>
      </c>
      <c r="AL117" s="20" t="str">
        <f t="shared" si="45"/>
        <v/>
      </c>
      <c r="AM117" s="20" t="str">
        <f t="shared" si="46"/>
        <v/>
      </c>
      <c r="AN117" s="20" t="str">
        <f t="shared" si="47"/>
        <v/>
      </c>
      <c r="AO117" s="20" t="str">
        <f t="shared" si="48"/>
        <v/>
      </c>
      <c r="AP117" s="20" t="str">
        <f t="shared" si="49"/>
        <v/>
      </c>
      <c r="AQ117" s="20" t="str">
        <f t="shared" si="50"/>
        <v/>
      </c>
      <c r="AR117" s="20" t="str">
        <f t="shared" si="51"/>
        <v/>
      </c>
      <c r="AS117" s="20" t="str">
        <f t="shared" si="52"/>
        <v/>
      </c>
      <c r="AT117" s="20" t="str">
        <f t="shared" si="53"/>
        <v/>
      </c>
      <c r="AU117" s="20" t="str">
        <f t="shared" si="54"/>
        <v/>
      </c>
      <c r="AV117" s="20" t="str">
        <f t="shared" si="55"/>
        <v/>
      </c>
      <c r="AW117" s="20" t="str">
        <f t="shared" si="56"/>
        <v/>
      </c>
      <c r="BD117" s="24" t="s">
        <v>250</v>
      </c>
      <c r="BE117" s="24" t="s">
        <v>828</v>
      </c>
      <c r="BF117" s="24" t="s">
        <v>599</v>
      </c>
      <c r="BG117" s="24" t="s">
        <v>596</v>
      </c>
      <c r="BH117" s="24" t="s">
        <v>147</v>
      </c>
      <c r="BI117" s="24" t="s">
        <v>914</v>
      </c>
      <c r="BJ117" s="42"/>
      <c r="BL117" s="75"/>
      <c r="BM117" s="75" t="s">
        <v>502</v>
      </c>
      <c r="BN117" s="96" t="s">
        <v>298</v>
      </c>
      <c r="BO117" s="24" t="s">
        <v>177</v>
      </c>
      <c r="BP117" s="24" t="s">
        <v>299</v>
      </c>
      <c r="BQ117" s="24" t="s">
        <v>300</v>
      </c>
      <c r="BR117" s="24"/>
      <c r="BS117" s="24"/>
      <c r="BT117" s="24"/>
      <c r="BU117" s="24" t="s">
        <v>70</v>
      </c>
      <c r="BV117" s="24"/>
      <c r="BW117" s="42"/>
      <c r="BX117" s="24">
        <v>711</v>
      </c>
      <c r="BY117" s="24">
        <v>192719</v>
      </c>
      <c r="BZ117" s="24"/>
      <c r="CA117" s="42"/>
      <c r="CB117" s="24" t="s">
        <v>83</v>
      </c>
      <c r="CC117" s="24" t="s">
        <v>573</v>
      </c>
      <c r="CD117" s="24" t="s">
        <v>599</v>
      </c>
      <c r="CE117" s="3" t="s">
        <v>76</v>
      </c>
      <c r="CF117" s="24" t="s">
        <v>564</v>
      </c>
      <c r="CG117" s="24" t="s">
        <v>828</v>
      </c>
      <c r="CH117" s="24" t="s">
        <v>250</v>
      </c>
      <c r="CI117" s="85"/>
      <c r="CJ117" s="77" t="b">
        <v>0</v>
      </c>
      <c r="CK117" s="77" t="b">
        <v>0</v>
      </c>
      <c r="CL117" s="77" t="b">
        <v>0</v>
      </c>
      <c r="CM117" s="77" t="b">
        <v>1</v>
      </c>
      <c r="CN117" s="77" t="b">
        <v>0</v>
      </c>
      <c r="CO117" s="77" t="s">
        <v>563</v>
      </c>
      <c r="CQ117" s="9" t="s">
        <v>255</v>
      </c>
      <c r="CR117" s="17" t="s">
        <v>325</v>
      </c>
      <c r="CT117" s="9" t="s">
        <v>255</v>
      </c>
      <c r="CU117" s="17" t="s">
        <v>83</v>
      </c>
      <c r="CW117" s="24" t="s">
        <v>276</v>
      </c>
      <c r="CX117" s="10" t="s">
        <v>72</v>
      </c>
      <c r="CZ117" s="9" t="s">
        <v>255</v>
      </c>
      <c r="DA117" s="24" t="s">
        <v>326</v>
      </c>
      <c r="DC117" s="9" t="s">
        <v>255</v>
      </c>
      <c r="DD117" s="17" t="s">
        <v>83</v>
      </c>
    </row>
    <row r="118" spans="1:108" ht="16.5" x14ac:dyDescent="0.25">
      <c r="A118" s="97"/>
      <c r="B118" s="97"/>
      <c r="C118" s="97"/>
      <c r="D118" s="97"/>
      <c r="E118" s="97"/>
      <c r="F118" s="97"/>
      <c r="G118" s="98"/>
      <c r="H118" s="97"/>
      <c r="I118" s="97"/>
      <c r="J118" s="97"/>
      <c r="K118" s="97"/>
      <c r="L118" s="97"/>
      <c r="M118" s="97"/>
      <c r="N118" s="97"/>
      <c r="O118" s="97"/>
      <c r="P118" s="97"/>
      <c r="Q118" s="100"/>
      <c r="R118" s="101"/>
      <c r="S118" s="99"/>
      <c r="T118" s="99"/>
      <c r="U118" s="97"/>
      <c r="V118" s="20" t="str">
        <f t="shared" si="29"/>
        <v/>
      </c>
      <c r="W118" s="20" t="str">
        <f t="shared" si="30"/>
        <v/>
      </c>
      <c r="X118" s="20" t="str">
        <f t="shared" si="31"/>
        <v/>
      </c>
      <c r="Y118" s="20" t="str">
        <f t="shared" si="32"/>
        <v/>
      </c>
      <c r="Z118" s="20" t="str">
        <f t="shared" si="33"/>
        <v/>
      </c>
      <c r="AA118" s="20" t="str">
        <f t="shared" si="34"/>
        <v/>
      </c>
      <c r="AB118" s="20" t="str">
        <f t="shared" si="35"/>
        <v/>
      </c>
      <c r="AC118" s="20" t="str">
        <f t="shared" si="36"/>
        <v/>
      </c>
      <c r="AD118" s="20" t="str">
        <f t="shared" si="37"/>
        <v/>
      </c>
      <c r="AE118" s="20" t="str">
        <f t="shared" si="38"/>
        <v/>
      </c>
      <c r="AF118" s="20" t="str">
        <f t="shared" si="39"/>
        <v/>
      </c>
      <c r="AG118" s="20" t="str">
        <f t="shared" si="40"/>
        <v/>
      </c>
      <c r="AH118" s="20" t="str">
        <f t="shared" si="41"/>
        <v/>
      </c>
      <c r="AI118" s="20" t="str">
        <f t="shared" si="42"/>
        <v/>
      </c>
      <c r="AJ118" s="20" t="str">
        <f t="shared" si="43"/>
        <v/>
      </c>
      <c r="AK118" s="20" t="str">
        <f t="shared" si="44"/>
        <v/>
      </c>
      <c r="AL118" s="20" t="str">
        <f t="shared" si="45"/>
        <v/>
      </c>
      <c r="AM118" s="20" t="str">
        <f t="shared" si="46"/>
        <v/>
      </c>
      <c r="AN118" s="20" t="str">
        <f t="shared" si="47"/>
        <v/>
      </c>
      <c r="AO118" s="20" t="str">
        <f t="shared" si="48"/>
        <v/>
      </c>
      <c r="AP118" s="20" t="str">
        <f t="shared" si="49"/>
        <v/>
      </c>
      <c r="AQ118" s="20" t="str">
        <f t="shared" si="50"/>
        <v/>
      </c>
      <c r="AR118" s="20" t="str">
        <f t="shared" si="51"/>
        <v/>
      </c>
      <c r="AS118" s="20" t="str">
        <f t="shared" si="52"/>
        <v/>
      </c>
      <c r="AT118" s="20" t="str">
        <f t="shared" si="53"/>
        <v/>
      </c>
      <c r="AU118" s="20" t="str">
        <f t="shared" si="54"/>
        <v/>
      </c>
      <c r="AV118" s="20" t="str">
        <f t="shared" si="55"/>
        <v/>
      </c>
      <c r="AW118" s="20" t="str">
        <f t="shared" si="56"/>
        <v/>
      </c>
      <c r="BD118" s="24" t="s">
        <v>266</v>
      </c>
      <c r="BE118" s="24" t="s">
        <v>593</v>
      </c>
      <c r="BF118" s="24" t="s">
        <v>305</v>
      </c>
      <c r="BG118" s="24" t="s">
        <v>596</v>
      </c>
      <c r="BH118" s="24" t="s">
        <v>92</v>
      </c>
      <c r="BI118" s="24" t="s">
        <v>792</v>
      </c>
      <c r="BJ118" s="42"/>
      <c r="BK118" s="76">
        <v>360673</v>
      </c>
      <c r="BL118" s="76" t="s">
        <v>793</v>
      </c>
      <c r="BM118" s="86">
        <v>3567</v>
      </c>
      <c r="BN118" s="96" t="s">
        <v>796</v>
      </c>
      <c r="BO118" s="24" t="s">
        <v>120</v>
      </c>
      <c r="BP118" s="24" t="s">
        <v>120</v>
      </c>
      <c r="BQ118" s="24" t="s">
        <v>305</v>
      </c>
      <c r="BR118" s="24"/>
      <c r="BS118" s="57" t="s">
        <v>517</v>
      </c>
      <c r="BT118" s="57"/>
      <c r="BU118" s="24"/>
      <c r="BV118" s="24" t="s">
        <v>83</v>
      </c>
      <c r="BW118" s="42"/>
      <c r="BX118" s="24">
        <v>841</v>
      </c>
      <c r="BY118" s="24">
        <v>206740</v>
      </c>
      <c r="BZ118" s="24" t="s">
        <v>971</v>
      </c>
      <c r="CA118" s="42"/>
      <c r="CB118" s="24" t="s">
        <v>83</v>
      </c>
      <c r="CC118" s="24" t="s">
        <v>574</v>
      </c>
      <c r="CD118" s="24" t="s">
        <v>584</v>
      </c>
      <c r="CE118" s="3" t="s">
        <v>64</v>
      </c>
      <c r="CF118" s="24" t="s">
        <v>1131</v>
      </c>
      <c r="CG118" s="24" t="s">
        <v>519</v>
      </c>
      <c r="CH118" s="24" t="s">
        <v>217</v>
      </c>
      <c r="CI118" s="85">
        <v>5300</v>
      </c>
      <c r="CJ118" s="77" t="b">
        <v>0</v>
      </c>
      <c r="CK118" s="77" t="b">
        <v>0</v>
      </c>
      <c r="CL118" s="77" t="b">
        <v>0</v>
      </c>
      <c r="CM118" s="77" t="b">
        <v>1</v>
      </c>
      <c r="CN118" s="77" t="b">
        <v>0</v>
      </c>
      <c r="CO118" s="77" t="s">
        <v>1133</v>
      </c>
      <c r="CQ118" s="17" t="s">
        <v>258</v>
      </c>
      <c r="CR118" s="17" t="s">
        <v>325</v>
      </c>
      <c r="CT118" s="17" t="s">
        <v>258</v>
      </c>
      <c r="CU118" s="17" t="s">
        <v>58</v>
      </c>
      <c r="CW118" s="24" t="s">
        <v>278</v>
      </c>
      <c r="CX118" s="10" t="s">
        <v>72</v>
      </c>
      <c r="CZ118" s="17" t="s">
        <v>258</v>
      </c>
      <c r="DA118" s="24" t="s">
        <v>326</v>
      </c>
      <c r="DC118" s="17" t="s">
        <v>258</v>
      </c>
      <c r="DD118" s="17" t="s">
        <v>58</v>
      </c>
    </row>
    <row r="119" spans="1:108" ht="16.5" x14ac:dyDescent="0.25">
      <c r="A119" s="97"/>
      <c r="B119" s="97"/>
      <c r="C119" s="97"/>
      <c r="D119" s="97"/>
      <c r="E119" s="97"/>
      <c r="F119" s="97"/>
      <c r="G119" s="98"/>
      <c r="H119" s="97"/>
      <c r="I119" s="97"/>
      <c r="J119" s="97"/>
      <c r="K119" s="97"/>
      <c r="L119" s="97"/>
      <c r="M119" s="97"/>
      <c r="N119" s="97"/>
      <c r="O119" s="97"/>
      <c r="P119" s="97"/>
      <c r="Q119" s="100"/>
      <c r="R119" s="101"/>
      <c r="S119" s="99"/>
      <c r="T119" s="99"/>
      <c r="U119" s="97"/>
      <c r="V119" s="20" t="str">
        <f t="shared" si="29"/>
        <v/>
      </c>
      <c r="W119" s="20" t="str">
        <f t="shared" si="30"/>
        <v/>
      </c>
      <c r="X119" s="20" t="str">
        <f t="shared" si="31"/>
        <v/>
      </c>
      <c r="Y119" s="20" t="str">
        <f t="shared" si="32"/>
        <v/>
      </c>
      <c r="Z119" s="20" t="str">
        <f t="shared" si="33"/>
        <v/>
      </c>
      <c r="AA119" s="20" t="str">
        <f t="shared" si="34"/>
        <v/>
      </c>
      <c r="AB119" s="20" t="str">
        <f t="shared" si="35"/>
        <v/>
      </c>
      <c r="AC119" s="20" t="str">
        <f t="shared" si="36"/>
        <v/>
      </c>
      <c r="AD119" s="20" t="str">
        <f t="shared" si="37"/>
        <v/>
      </c>
      <c r="AE119" s="20" t="str">
        <f t="shared" si="38"/>
        <v/>
      </c>
      <c r="AF119" s="20" t="str">
        <f t="shared" si="39"/>
        <v/>
      </c>
      <c r="AG119" s="20" t="str">
        <f t="shared" si="40"/>
        <v/>
      </c>
      <c r="AH119" s="20" t="str">
        <f t="shared" si="41"/>
        <v/>
      </c>
      <c r="AI119" s="20" t="str">
        <f t="shared" si="42"/>
        <v/>
      </c>
      <c r="AJ119" s="20" t="str">
        <f t="shared" si="43"/>
        <v/>
      </c>
      <c r="AK119" s="20" t="str">
        <f t="shared" si="44"/>
        <v/>
      </c>
      <c r="AL119" s="20" t="str">
        <f t="shared" si="45"/>
        <v/>
      </c>
      <c r="AM119" s="20" t="str">
        <f t="shared" si="46"/>
        <v/>
      </c>
      <c r="AN119" s="20" t="str">
        <f t="shared" si="47"/>
        <v/>
      </c>
      <c r="AO119" s="20" t="str">
        <f t="shared" si="48"/>
        <v/>
      </c>
      <c r="AP119" s="20" t="str">
        <f t="shared" si="49"/>
        <v/>
      </c>
      <c r="AQ119" s="20" t="str">
        <f t="shared" si="50"/>
        <v/>
      </c>
      <c r="AR119" s="20" t="str">
        <f t="shared" si="51"/>
        <v/>
      </c>
      <c r="AS119" s="20" t="str">
        <f t="shared" si="52"/>
        <v/>
      </c>
      <c r="AT119" s="20" t="str">
        <f t="shared" si="53"/>
        <v/>
      </c>
      <c r="AU119" s="20" t="str">
        <f t="shared" si="54"/>
        <v/>
      </c>
      <c r="AV119" s="20" t="str">
        <f t="shared" si="55"/>
        <v/>
      </c>
      <c r="AW119" s="20" t="str">
        <f t="shared" si="56"/>
        <v/>
      </c>
      <c r="BD119" s="78" t="s">
        <v>266</v>
      </c>
      <c r="BE119" s="78" t="s">
        <v>593</v>
      </c>
      <c r="BF119" s="78" t="s">
        <v>305</v>
      </c>
      <c r="BG119" s="78" t="s">
        <v>595</v>
      </c>
      <c r="BH119" s="78" t="s">
        <v>58</v>
      </c>
      <c r="BI119" s="78" t="s">
        <v>794</v>
      </c>
      <c r="BJ119" s="78"/>
      <c r="BK119" s="78">
        <v>360676</v>
      </c>
      <c r="BL119" s="78" t="s">
        <v>795</v>
      </c>
      <c r="BM119" s="78">
        <v>3566</v>
      </c>
      <c r="BN119" s="78" t="s">
        <v>796</v>
      </c>
      <c r="BO119" s="78" t="s">
        <v>120</v>
      </c>
      <c r="BP119" s="78" t="s">
        <v>120</v>
      </c>
      <c r="BQ119" s="78" t="s">
        <v>305</v>
      </c>
      <c r="BR119" s="78"/>
      <c r="BS119" s="78" t="s">
        <v>517</v>
      </c>
      <c r="BT119" s="78"/>
      <c r="BU119" s="78"/>
      <c r="BV119" s="78" t="s">
        <v>58</v>
      </c>
      <c r="BW119" s="78"/>
      <c r="BX119" s="78">
        <v>840</v>
      </c>
      <c r="BY119" s="78">
        <v>206740</v>
      </c>
      <c r="BZ119" s="24" t="s">
        <v>971</v>
      </c>
      <c r="CA119" s="78"/>
      <c r="CB119" s="78" t="s">
        <v>58</v>
      </c>
      <c r="CC119" s="78" t="s">
        <v>574</v>
      </c>
      <c r="CD119" s="78" t="s">
        <v>584</v>
      </c>
      <c r="CE119" s="78" t="s">
        <v>64</v>
      </c>
      <c r="CF119" s="78" t="s">
        <v>1131</v>
      </c>
      <c r="CG119" s="78" t="s">
        <v>519</v>
      </c>
      <c r="CH119" s="78" t="s">
        <v>217</v>
      </c>
      <c r="CI119" s="78">
        <v>5300</v>
      </c>
      <c r="CJ119" s="78" t="b">
        <v>1</v>
      </c>
      <c r="CK119" s="78" t="b">
        <v>0</v>
      </c>
      <c r="CL119" s="78" t="b">
        <v>0</v>
      </c>
      <c r="CM119" s="78" t="b">
        <v>0</v>
      </c>
      <c r="CN119" s="78" t="b">
        <v>0</v>
      </c>
      <c r="CO119" s="78" t="s">
        <v>1133</v>
      </c>
      <c r="CQ119" s="17" t="s">
        <v>259</v>
      </c>
      <c r="CR119" s="17" t="s">
        <v>325</v>
      </c>
      <c r="CT119" s="17" t="s">
        <v>259</v>
      </c>
      <c r="CU119" s="17" t="s">
        <v>83</v>
      </c>
      <c r="CW119" s="24" t="s">
        <v>329</v>
      </c>
      <c r="CX119" s="10" t="s">
        <v>129</v>
      </c>
      <c r="CZ119" s="17" t="s">
        <v>259</v>
      </c>
      <c r="DA119" s="24" t="s">
        <v>326</v>
      </c>
      <c r="DC119" s="17" t="s">
        <v>259</v>
      </c>
      <c r="DD119" s="17" t="s">
        <v>83</v>
      </c>
    </row>
    <row r="120" spans="1:108" ht="16.5" x14ac:dyDescent="0.25">
      <c r="A120" s="97"/>
      <c r="B120" s="97"/>
      <c r="C120" s="97"/>
      <c r="D120" s="97"/>
      <c r="E120" s="97"/>
      <c r="F120" s="97"/>
      <c r="G120" s="98"/>
      <c r="H120" s="97"/>
      <c r="I120" s="97"/>
      <c r="J120" s="97"/>
      <c r="K120" s="97"/>
      <c r="L120" s="97"/>
      <c r="M120" s="97"/>
      <c r="N120" s="97"/>
      <c r="O120" s="97"/>
      <c r="P120" s="97"/>
      <c r="Q120" s="100"/>
      <c r="R120" s="101"/>
      <c r="S120" s="99"/>
      <c r="T120" s="99"/>
      <c r="U120" s="97"/>
      <c r="V120" s="20" t="str">
        <f t="shared" si="29"/>
        <v/>
      </c>
      <c r="W120" s="20" t="str">
        <f t="shared" si="30"/>
        <v/>
      </c>
      <c r="X120" s="20" t="str">
        <f t="shared" si="31"/>
        <v/>
      </c>
      <c r="Y120" s="20" t="str">
        <f t="shared" si="32"/>
        <v/>
      </c>
      <c r="Z120" s="20" t="str">
        <f t="shared" si="33"/>
        <v/>
      </c>
      <c r="AA120" s="20" t="str">
        <f t="shared" si="34"/>
        <v/>
      </c>
      <c r="AB120" s="20" t="str">
        <f t="shared" si="35"/>
        <v/>
      </c>
      <c r="AC120" s="20" t="str">
        <f t="shared" si="36"/>
        <v/>
      </c>
      <c r="AD120" s="20" t="str">
        <f t="shared" si="37"/>
        <v/>
      </c>
      <c r="AE120" s="20" t="str">
        <f t="shared" si="38"/>
        <v/>
      </c>
      <c r="AF120" s="20" t="str">
        <f t="shared" si="39"/>
        <v/>
      </c>
      <c r="AG120" s="20" t="str">
        <f t="shared" si="40"/>
        <v/>
      </c>
      <c r="AH120" s="20" t="str">
        <f t="shared" si="41"/>
        <v/>
      </c>
      <c r="AI120" s="20" t="str">
        <f t="shared" si="42"/>
        <v/>
      </c>
      <c r="AJ120" s="20" t="str">
        <f t="shared" si="43"/>
        <v/>
      </c>
      <c r="AK120" s="20" t="str">
        <f t="shared" si="44"/>
        <v/>
      </c>
      <c r="AL120" s="20" t="str">
        <f t="shared" si="45"/>
        <v/>
      </c>
      <c r="AM120" s="20" t="str">
        <f t="shared" si="46"/>
        <v/>
      </c>
      <c r="AN120" s="20" t="str">
        <f t="shared" si="47"/>
        <v/>
      </c>
      <c r="AO120" s="20" t="str">
        <f t="shared" si="48"/>
        <v/>
      </c>
      <c r="AP120" s="20" t="str">
        <f t="shared" si="49"/>
        <v/>
      </c>
      <c r="AQ120" s="20" t="str">
        <f t="shared" si="50"/>
        <v/>
      </c>
      <c r="AR120" s="20" t="str">
        <f t="shared" si="51"/>
        <v/>
      </c>
      <c r="AS120" s="20" t="str">
        <f t="shared" si="52"/>
        <v/>
      </c>
      <c r="AT120" s="20" t="str">
        <f t="shared" si="53"/>
        <v/>
      </c>
      <c r="AU120" s="20" t="str">
        <f t="shared" si="54"/>
        <v/>
      </c>
      <c r="AV120" s="20" t="str">
        <f t="shared" si="55"/>
        <v/>
      </c>
      <c r="AW120" s="20" t="str">
        <f t="shared" si="56"/>
        <v/>
      </c>
      <c r="BD120" s="78" t="s">
        <v>555</v>
      </c>
      <c r="BE120" s="78" t="s">
        <v>828</v>
      </c>
      <c r="BF120" s="78" t="s">
        <v>201</v>
      </c>
      <c r="BG120" s="78" t="s">
        <v>127</v>
      </c>
      <c r="BH120" s="78" t="s">
        <v>58</v>
      </c>
      <c r="BI120" s="78" t="s">
        <v>915</v>
      </c>
      <c r="BJ120" s="78"/>
      <c r="BK120" s="78" t="s">
        <v>737</v>
      </c>
      <c r="BL120" s="78" t="s">
        <v>737</v>
      </c>
      <c r="BM120" s="78" t="s">
        <v>485</v>
      </c>
      <c r="BN120" s="78" t="s">
        <v>738</v>
      </c>
      <c r="BO120" s="78" t="s">
        <v>109</v>
      </c>
      <c r="BP120" s="78" t="s">
        <v>636</v>
      </c>
      <c r="BQ120" s="78" t="s">
        <v>201</v>
      </c>
      <c r="BR120" s="78" t="s">
        <v>1035</v>
      </c>
      <c r="BS120" s="78" t="s">
        <v>52</v>
      </c>
      <c r="BT120" s="78"/>
      <c r="BU120" s="78" t="s">
        <v>70</v>
      </c>
      <c r="BV120" s="78"/>
      <c r="BW120" s="78"/>
      <c r="BX120" s="78">
        <v>825</v>
      </c>
      <c r="BY120" s="78">
        <v>204335</v>
      </c>
      <c r="BZ120" s="78"/>
      <c r="CA120" s="78"/>
      <c r="CB120" s="78" t="s">
        <v>58</v>
      </c>
      <c r="CC120" s="78" t="s">
        <v>570</v>
      </c>
      <c r="CD120" s="78" t="s">
        <v>581</v>
      </c>
      <c r="CE120" s="78" t="s">
        <v>111</v>
      </c>
      <c r="CF120" s="78" t="s">
        <v>1132</v>
      </c>
      <c r="CG120" s="78" t="s">
        <v>828</v>
      </c>
      <c r="CH120" s="78" t="s">
        <v>555</v>
      </c>
      <c r="CI120" s="78">
        <v>5239</v>
      </c>
      <c r="CJ120" s="78" t="b">
        <v>0</v>
      </c>
      <c r="CK120" s="78" t="b">
        <v>1</v>
      </c>
      <c r="CL120" s="78" t="b">
        <v>0</v>
      </c>
      <c r="CM120" s="78" t="b">
        <v>0</v>
      </c>
      <c r="CN120" s="78" t="b">
        <v>0</v>
      </c>
      <c r="CO120" s="78" t="s">
        <v>61</v>
      </c>
      <c r="CW120" s="17" t="s">
        <v>258</v>
      </c>
      <c r="CX120" s="10" t="s">
        <v>72</v>
      </c>
      <c r="CZ120" s="17" t="s">
        <v>333</v>
      </c>
      <c r="DA120" s="24" t="s">
        <v>326</v>
      </c>
      <c r="DC120" s="17" t="s">
        <v>333</v>
      </c>
      <c r="DD120" s="17" t="s">
        <v>58</v>
      </c>
    </row>
    <row r="121" spans="1:108" ht="16.5" x14ac:dyDescent="0.25">
      <c r="A121" s="97"/>
      <c r="B121" s="97"/>
      <c r="C121" s="97"/>
      <c r="D121" s="97"/>
      <c r="E121" s="97"/>
      <c r="F121" s="97"/>
      <c r="G121" s="98"/>
      <c r="H121" s="97"/>
      <c r="I121" s="97"/>
      <c r="J121" s="97"/>
      <c r="K121" s="97"/>
      <c r="L121" s="97"/>
      <c r="M121" s="97"/>
      <c r="N121" s="97"/>
      <c r="O121" s="97"/>
      <c r="P121" s="97"/>
      <c r="Q121" s="100"/>
      <c r="R121" s="101"/>
      <c r="S121" s="99"/>
      <c r="T121" s="99"/>
      <c r="U121" s="97"/>
      <c r="V121" s="20" t="str">
        <f t="shared" si="29"/>
        <v/>
      </c>
      <c r="W121" s="20" t="str">
        <f t="shared" si="30"/>
        <v/>
      </c>
      <c r="X121" s="20" t="str">
        <f t="shared" si="31"/>
        <v/>
      </c>
      <c r="Y121" s="20" t="str">
        <f t="shared" si="32"/>
        <v/>
      </c>
      <c r="Z121" s="20" t="str">
        <f t="shared" si="33"/>
        <v/>
      </c>
      <c r="AA121" s="20" t="str">
        <f t="shared" si="34"/>
        <v/>
      </c>
      <c r="AB121" s="20" t="str">
        <f t="shared" si="35"/>
        <v/>
      </c>
      <c r="AC121" s="20" t="str">
        <f t="shared" si="36"/>
        <v/>
      </c>
      <c r="AD121" s="20" t="str">
        <f t="shared" si="37"/>
        <v/>
      </c>
      <c r="AE121" s="20" t="str">
        <f t="shared" si="38"/>
        <v/>
      </c>
      <c r="AF121" s="20" t="str">
        <f t="shared" si="39"/>
        <v/>
      </c>
      <c r="AG121" s="20" t="str">
        <f t="shared" si="40"/>
        <v/>
      </c>
      <c r="AH121" s="20" t="str">
        <f t="shared" si="41"/>
        <v/>
      </c>
      <c r="AI121" s="20" t="str">
        <f t="shared" si="42"/>
        <v/>
      </c>
      <c r="AJ121" s="20" t="str">
        <f t="shared" si="43"/>
        <v/>
      </c>
      <c r="AK121" s="20" t="str">
        <f t="shared" si="44"/>
        <v/>
      </c>
      <c r="AL121" s="20" t="str">
        <f t="shared" si="45"/>
        <v/>
      </c>
      <c r="AM121" s="20" t="str">
        <f t="shared" si="46"/>
        <v/>
      </c>
      <c r="AN121" s="20" t="str">
        <f t="shared" si="47"/>
        <v/>
      </c>
      <c r="AO121" s="20" t="str">
        <f t="shared" si="48"/>
        <v/>
      </c>
      <c r="AP121" s="20" t="str">
        <f t="shared" si="49"/>
        <v/>
      </c>
      <c r="AQ121" s="20" t="str">
        <f t="shared" si="50"/>
        <v/>
      </c>
      <c r="AR121" s="20" t="str">
        <f t="shared" si="51"/>
        <v/>
      </c>
      <c r="AS121" s="20" t="str">
        <f t="shared" si="52"/>
        <v/>
      </c>
      <c r="AT121" s="20" t="str">
        <f t="shared" si="53"/>
        <v/>
      </c>
      <c r="AU121" s="20" t="str">
        <f t="shared" si="54"/>
        <v/>
      </c>
      <c r="AV121" s="20" t="str">
        <f t="shared" si="55"/>
        <v/>
      </c>
      <c r="AW121" s="20" t="str">
        <f t="shared" si="56"/>
        <v/>
      </c>
      <c r="BD121" s="78" t="s">
        <v>555</v>
      </c>
      <c r="BE121" s="78" t="s">
        <v>828</v>
      </c>
      <c r="BF121" s="78" t="s">
        <v>201</v>
      </c>
      <c r="BG121" s="78" t="s">
        <v>596</v>
      </c>
      <c r="BH121" s="78" t="s">
        <v>147</v>
      </c>
      <c r="BI121" s="78" t="s">
        <v>916</v>
      </c>
      <c r="BJ121" s="78"/>
      <c r="BK121" s="78" t="s">
        <v>739</v>
      </c>
      <c r="BL121" s="78" t="s">
        <v>739</v>
      </c>
      <c r="BM121" s="78" t="s">
        <v>330</v>
      </c>
      <c r="BN121" s="78" t="s">
        <v>738</v>
      </c>
      <c r="BO121" s="78" t="s">
        <v>109</v>
      </c>
      <c r="BP121" s="78" t="s">
        <v>636</v>
      </c>
      <c r="BQ121" s="78" t="s">
        <v>201</v>
      </c>
      <c r="BR121" s="78"/>
      <c r="BS121" s="78" t="s">
        <v>52</v>
      </c>
      <c r="BT121" s="78"/>
      <c r="BU121" s="78" t="s">
        <v>70</v>
      </c>
      <c r="BV121" s="78"/>
      <c r="BW121" s="78"/>
      <c r="BX121" s="78">
        <v>124</v>
      </c>
      <c r="BY121" s="78">
        <v>204335</v>
      </c>
      <c r="BZ121" s="78"/>
      <c r="CA121" s="78"/>
      <c r="CB121" s="78" t="s">
        <v>83</v>
      </c>
      <c r="CC121" s="78" t="s">
        <v>570</v>
      </c>
      <c r="CD121" s="78" t="s">
        <v>581</v>
      </c>
      <c r="CE121" s="78" t="s">
        <v>111</v>
      </c>
      <c r="CF121" s="78" t="s">
        <v>1132</v>
      </c>
      <c r="CG121" s="78" t="s">
        <v>828</v>
      </c>
      <c r="CH121" s="78" t="s">
        <v>555</v>
      </c>
      <c r="CI121" s="78">
        <v>5239</v>
      </c>
      <c r="CJ121" s="78" t="b">
        <v>0</v>
      </c>
      <c r="CK121" s="78" t="b">
        <v>0</v>
      </c>
      <c r="CL121" s="78" t="b">
        <v>0</v>
      </c>
      <c r="CM121" s="78" t="b">
        <v>1</v>
      </c>
      <c r="CN121" s="78" t="b">
        <v>0</v>
      </c>
      <c r="CO121" s="78" t="s">
        <v>61</v>
      </c>
      <c r="CW121" s="17" t="s">
        <v>259</v>
      </c>
      <c r="CX121" s="10" t="s">
        <v>144</v>
      </c>
      <c r="CZ121" s="17" t="s">
        <v>334</v>
      </c>
      <c r="DA121" s="24" t="s">
        <v>326</v>
      </c>
      <c r="DC121" s="17" t="s">
        <v>334</v>
      </c>
      <c r="DD121" s="17" t="s">
        <v>83</v>
      </c>
    </row>
    <row r="122" spans="1:108" ht="16.5" x14ac:dyDescent="0.25">
      <c r="A122" s="97"/>
      <c r="B122" s="97"/>
      <c r="C122" s="97"/>
      <c r="D122" s="97"/>
      <c r="E122" s="97"/>
      <c r="F122" s="97"/>
      <c r="G122" s="98"/>
      <c r="H122" s="97"/>
      <c r="I122" s="97"/>
      <c r="J122" s="97"/>
      <c r="K122" s="97"/>
      <c r="L122" s="97"/>
      <c r="M122" s="97"/>
      <c r="N122" s="97"/>
      <c r="O122" s="97"/>
      <c r="P122" s="97"/>
      <c r="Q122" s="100"/>
      <c r="R122" s="101"/>
      <c r="S122" s="99"/>
      <c r="T122" s="99"/>
      <c r="U122" s="97"/>
      <c r="V122" s="20" t="str">
        <f t="shared" si="29"/>
        <v/>
      </c>
      <c r="W122" s="20" t="str">
        <f t="shared" si="30"/>
        <v/>
      </c>
      <c r="X122" s="20" t="str">
        <f t="shared" si="31"/>
        <v/>
      </c>
      <c r="Y122" s="20" t="str">
        <f t="shared" si="32"/>
        <v/>
      </c>
      <c r="Z122" s="20" t="str">
        <f t="shared" si="33"/>
        <v/>
      </c>
      <c r="AA122" s="20" t="str">
        <f t="shared" si="34"/>
        <v/>
      </c>
      <c r="AB122" s="20" t="str">
        <f t="shared" si="35"/>
        <v/>
      </c>
      <c r="AC122" s="20" t="str">
        <f t="shared" si="36"/>
        <v/>
      </c>
      <c r="AD122" s="20" t="str">
        <f t="shared" si="37"/>
        <v/>
      </c>
      <c r="AE122" s="20" t="str">
        <f t="shared" si="38"/>
        <v/>
      </c>
      <c r="AF122" s="20" t="str">
        <f t="shared" si="39"/>
        <v/>
      </c>
      <c r="AG122" s="20" t="str">
        <f t="shared" si="40"/>
        <v/>
      </c>
      <c r="AH122" s="20" t="str">
        <f t="shared" si="41"/>
        <v/>
      </c>
      <c r="AI122" s="20" t="str">
        <f t="shared" si="42"/>
        <v/>
      </c>
      <c r="AJ122" s="20" t="str">
        <f t="shared" si="43"/>
        <v/>
      </c>
      <c r="AK122" s="20" t="str">
        <f t="shared" si="44"/>
        <v/>
      </c>
      <c r="AL122" s="20" t="str">
        <f t="shared" si="45"/>
        <v/>
      </c>
      <c r="AM122" s="20" t="str">
        <f t="shared" si="46"/>
        <v/>
      </c>
      <c r="AN122" s="20" t="str">
        <f t="shared" si="47"/>
        <v/>
      </c>
      <c r="AO122" s="20" t="str">
        <f t="shared" si="48"/>
        <v/>
      </c>
      <c r="AP122" s="20" t="str">
        <f t="shared" si="49"/>
        <v/>
      </c>
      <c r="AQ122" s="20" t="str">
        <f t="shared" si="50"/>
        <v/>
      </c>
      <c r="AR122" s="20" t="str">
        <f t="shared" si="51"/>
        <v/>
      </c>
      <c r="AS122" s="20" t="str">
        <f t="shared" si="52"/>
        <v/>
      </c>
      <c r="AT122" s="20" t="str">
        <f t="shared" si="53"/>
        <v/>
      </c>
      <c r="AU122" s="20" t="str">
        <f t="shared" si="54"/>
        <v/>
      </c>
      <c r="AV122" s="20" t="str">
        <f t="shared" si="55"/>
        <v/>
      </c>
      <c r="AW122" s="20" t="str">
        <f t="shared" si="56"/>
        <v/>
      </c>
      <c r="BD122" s="78" t="s">
        <v>555</v>
      </c>
      <c r="BE122" s="78" t="s">
        <v>828</v>
      </c>
      <c r="BF122" s="78" t="s">
        <v>201</v>
      </c>
      <c r="BG122" s="78" t="s">
        <v>596</v>
      </c>
      <c r="BH122" s="78" t="s">
        <v>92</v>
      </c>
      <c r="BI122" s="78" t="s">
        <v>917</v>
      </c>
      <c r="BJ122" s="78"/>
      <c r="BK122" s="78" t="s">
        <v>740</v>
      </c>
      <c r="BL122" s="78" t="s">
        <v>740</v>
      </c>
      <c r="BM122" s="78" t="s">
        <v>486</v>
      </c>
      <c r="BN122" s="78" t="s">
        <v>738</v>
      </c>
      <c r="BO122" s="78" t="s">
        <v>109</v>
      </c>
      <c r="BP122" s="78" t="s">
        <v>636</v>
      </c>
      <c r="BQ122" s="78" t="s">
        <v>201</v>
      </c>
      <c r="BR122" s="78"/>
      <c r="BS122" s="78" t="s">
        <v>52</v>
      </c>
      <c r="BT122" s="78"/>
      <c r="BU122" s="78" t="s">
        <v>70</v>
      </c>
      <c r="BV122" s="78"/>
      <c r="BW122" s="78"/>
      <c r="BX122" s="78">
        <v>124</v>
      </c>
      <c r="BY122" s="78">
        <v>204335</v>
      </c>
      <c r="BZ122" s="78"/>
      <c r="CA122" s="78"/>
      <c r="CB122" s="78" t="s">
        <v>83</v>
      </c>
      <c r="CC122" s="78" t="s">
        <v>570</v>
      </c>
      <c r="CD122" s="78" t="s">
        <v>581</v>
      </c>
      <c r="CE122" s="78" t="s">
        <v>111</v>
      </c>
      <c r="CF122" s="78" t="s">
        <v>1132</v>
      </c>
      <c r="CG122" s="78" t="s">
        <v>828</v>
      </c>
      <c r="CH122" s="78" t="s">
        <v>555</v>
      </c>
      <c r="CI122" s="78">
        <v>5239</v>
      </c>
      <c r="CJ122" s="78" t="b">
        <v>0</v>
      </c>
      <c r="CK122" s="78" t="b">
        <v>0</v>
      </c>
      <c r="CL122" s="78" t="b">
        <v>0</v>
      </c>
      <c r="CM122" s="78" t="b">
        <v>1</v>
      </c>
      <c r="CN122" s="78" t="b">
        <v>0</v>
      </c>
      <c r="CO122" s="78" t="s">
        <v>61</v>
      </c>
      <c r="CW122" s="17" t="s">
        <v>241</v>
      </c>
      <c r="CX122" s="10" t="s">
        <v>144</v>
      </c>
    </row>
    <row r="123" spans="1:108" ht="16.5" x14ac:dyDescent="0.25">
      <c r="A123" s="97"/>
      <c r="B123" s="97"/>
      <c r="C123" s="97"/>
      <c r="D123" s="97"/>
      <c r="E123" s="97"/>
      <c r="F123" s="97"/>
      <c r="G123" s="98"/>
      <c r="H123" s="97"/>
      <c r="I123" s="97"/>
      <c r="J123" s="97"/>
      <c r="K123" s="97"/>
      <c r="L123" s="97"/>
      <c r="M123" s="97"/>
      <c r="N123" s="97"/>
      <c r="O123" s="97"/>
      <c r="P123" s="97"/>
      <c r="Q123" s="100"/>
      <c r="R123" s="101"/>
      <c r="S123" s="99"/>
      <c r="T123" s="99"/>
      <c r="U123" s="97"/>
      <c r="V123" s="20" t="str">
        <f t="shared" si="29"/>
        <v/>
      </c>
      <c r="W123" s="20" t="str">
        <f t="shared" si="30"/>
        <v/>
      </c>
      <c r="X123" s="20" t="str">
        <f t="shared" si="31"/>
        <v/>
      </c>
      <c r="Y123" s="20" t="str">
        <f t="shared" si="32"/>
        <v/>
      </c>
      <c r="Z123" s="20" t="str">
        <f t="shared" si="33"/>
        <v/>
      </c>
      <c r="AA123" s="20" t="str">
        <f t="shared" si="34"/>
        <v/>
      </c>
      <c r="AB123" s="20" t="str">
        <f t="shared" si="35"/>
        <v/>
      </c>
      <c r="AC123" s="20" t="str">
        <f t="shared" si="36"/>
        <v/>
      </c>
      <c r="AD123" s="20" t="str">
        <f t="shared" si="37"/>
        <v/>
      </c>
      <c r="AE123" s="20" t="str">
        <f t="shared" si="38"/>
        <v/>
      </c>
      <c r="AF123" s="20" t="str">
        <f t="shared" si="39"/>
        <v/>
      </c>
      <c r="AG123" s="20" t="str">
        <f t="shared" si="40"/>
        <v/>
      </c>
      <c r="AH123" s="20" t="str">
        <f t="shared" si="41"/>
        <v/>
      </c>
      <c r="AI123" s="20" t="str">
        <f t="shared" si="42"/>
        <v/>
      </c>
      <c r="AJ123" s="20" t="str">
        <f t="shared" si="43"/>
        <v/>
      </c>
      <c r="AK123" s="20" t="str">
        <f t="shared" si="44"/>
        <v/>
      </c>
      <c r="AL123" s="20" t="str">
        <f t="shared" si="45"/>
        <v/>
      </c>
      <c r="AM123" s="20" t="str">
        <f t="shared" si="46"/>
        <v/>
      </c>
      <c r="AN123" s="20" t="str">
        <f t="shared" si="47"/>
        <v/>
      </c>
      <c r="AO123" s="20" t="str">
        <f t="shared" si="48"/>
        <v/>
      </c>
      <c r="AP123" s="20" t="str">
        <f t="shared" si="49"/>
        <v/>
      </c>
      <c r="AQ123" s="20" t="str">
        <f t="shared" si="50"/>
        <v/>
      </c>
      <c r="AR123" s="20" t="str">
        <f t="shared" si="51"/>
        <v/>
      </c>
      <c r="AS123" s="20" t="str">
        <f t="shared" si="52"/>
        <v/>
      </c>
      <c r="AT123" s="20" t="str">
        <f t="shared" si="53"/>
        <v/>
      </c>
      <c r="AU123" s="20" t="str">
        <f t="shared" si="54"/>
        <v/>
      </c>
      <c r="AV123" s="20" t="str">
        <f t="shared" si="55"/>
        <v/>
      </c>
      <c r="AW123" s="20" t="str">
        <f t="shared" si="56"/>
        <v/>
      </c>
      <c r="BD123" s="78" t="s">
        <v>555</v>
      </c>
      <c r="BE123" s="78" t="s">
        <v>828</v>
      </c>
      <c r="BF123" s="78" t="s">
        <v>741</v>
      </c>
      <c r="BG123" s="78" t="s">
        <v>595</v>
      </c>
      <c r="BH123" s="78" t="s">
        <v>58</v>
      </c>
      <c r="BI123" s="78" t="s">
        <v>918</v>
      </c>
      <c r="BJ123" s="78"/>
      <c r="BK123" s="78" t="s">
        <v>742</v>
      </c>
      <c r="BL123" s="78" t="s">
        <v>742</v>
      </c>
      <c r="BM123" s="78" t="s">
        <v>485</v>
      </c>
      <c r="BN123" s="78" t="s">
        <v>743</v>
      </c>
      <c r="BO123" s="78" t="s">
        <v>569</v>
      </c>
      <c r="BP123" s="78" t="s">
        <v>636</v>
      </c>
      <c r="BQ123" s="78" t="s">
        <v>741</v>
      </c>
      <c r="BR123" s="78" t="s">
        <v>1036</v>
      </c>
      <c r="BS123" s="78" t="s">
        <v>715</v>
      </c>
      <c r="BT123" s="78"/>
      <c r="BU123" s="78" t="s">
        <v>70</v>
      </c>
      <c r="BV123" s="78"/>
      <c r="BW123" s="78"/>
      <c r="BX123" s="78">
        <v>824</v>
      </c>
      <c r="BY123" s="78">
        <v>204336</v>
      </c>
      <c r="BZ123" s="78"/>
      <c r="CA123" s="78"/>
      <c r="CB123" s="78" t="s">
        <v>58</v>
      </c>
      <c r="CC123" s="78" t="s">
        <v>569</v>
      </c>
      <c r="CD123" s="78" t="s">
        <v>744</v>
      </c>
      <c r="CE123" s="78" t="s">
        <v>111</v>
      </c>
      <c r="CF123" s="78" t="s">
        <v>1132</v>
      </c>
      <c r="CG123" s="78" t="s">
        <v>828</v>
      </c>
      <c r="CH123" s="78" t="s">
        <v>555</v>
      </c>
      <c r="CI123" s="78">
        <v>5239</v>
      </c>
      <c r="CJ123" s="78" t="b">
        <v>1</v>
      </c>
      <c r="CK123" s="78" t="b">
        <v>0</v>
      </c>
      <c r="CL123" s="78" t="b">
        <v>0</v>
      </c>
      <c r="CM123" s="78" t="b">
        <v>0</v>
      </c>
      <c r="CN123" s="78" t="b">
        <v>0</v>
      </c>
      <c r="CO123" s="78" t="s">
        <v>61</v>
      </c>
      <c r="CW123" s="17" t="s">
        <v>244</v>
      </c>
      <c r="CX123" s="10" t="s">
        <v>72</v>
      </c>
    </row>
    <row r="124" spans="1:108" ht="16.5" x14ac:dyDescent="0.25">
      <c r="A124" s="97"/>
      <c r="B124" s="97"/>
      <c r="C124" s="97"/>
      <c r="D124" s="97"/>
      <c r="E124" s="97"/>
      <c r="F124" s="97"/>
      <c r="G124" s="98"/>
      <c r="H124" s="97"/>
      <c r="I124" s="97"/>
      <c r="J124" s="97"/>
      <c r="K124" s="97"/>
      <c r="L124" s="97"/>
      <c r="M124" s="97"/>
      <c r="N124" s="97"/>
      <c r="O124" s="97"/>
      <c r="P124" s="97"/>
      <c r="Q124" s="100"/>
      <c r="R124" s="101"/>
      <c r="S124" s="99"/>
      <c r="T124" s="99"/>
      <c r="U124" s="97"/>
      <c r="V124" s="20" t="str">
        <f t="shared" si="29"/>
        <v/>
      </c>
      <c r="W124" s="20" t="str">
        <f t="shared" si="30"/>
        <v/>
      </c>
      <c r="X124" s="20" t="str">
        <f t="shared" si="31"/>
        <v/>
      </c>
      <c r="Y124" s="20" t="str">
        <f t="shared" si="32"/>
        <v/>
      </c>
      <c r="Z124" s="20" t="str">
        <f t="shared" si="33"/>
        <v/>
      </c>
      <c r="AA124" s="20" t="str">
        <f t="shared" si="34"/>
        <v/>
      </c>
      <c r="AB124" s="20" t="str">
        <f t="shared" si="35"/>
        <v/>
      </c>
      <c r="AC124" s="20" t="str">
        <f t="shared" si="36"/>
        <v/>
      </c>
      <c r="AD124" s="20" t="str">
        <f t="shared" si="37"/>
        <v/>
      </c>
      <c r="AE124" s="20" t="str">
        <f t="shared" si="38"/>
        <v/>
      </c>
      <c r="AF124" s="20" t="str">
        <f t="shared" si="39"/>
        <v/>
      </c>
      <c r="AG124" s="20" t="str">
        <f t="shared" si="40"/>
        <v/>
      </c>
      <c r="AH124" s="20" t="str">
        <f t="shared" si="41"/>
        <v/>
      </c>
      <c r="AI124" s="20" t="str">
        <f t="shared" si="42"/>
        <v/>
      </c>
      <c r="AJ124" s="20" t="str">
        <f t="shared" si="43"/>
        <v/>
      </c>
      <c r="AK124" s="20" t="str">
        <f t="shared" si="44"/>
        <v/>
      </c>
      <c r="AL124" s="20" t="str">
        <f t="shared" si="45"/>
        <v/>
      </c>
      <c r="AM124" s="20" t="str">
        <f t="shared" si="46"/>
        <v/>
      </c>
      <c r="AN124" s="20" t="str">
        <f t="shared" si="47"/>
        <v/>
      </c>
      <c r="AO124" s="20" t="str">
        <f t="shared" si="48"/>
        <v/>
      </c>
      <c r="AP124" s="20" t="str">
        <f t="shared" si="49"/>
        <v/>
      </c>
      <c r="AQ124" s="20" t="str">
        <f t="shared" si="50"/>
        <v/>
      </c>
      <c r="AR124" s="20" t="str">
        <f t="shared" si="51"/>
        <v/>
      </c>
      <c r="AS124" s="20" t="str">
        <f t="shared" si="52"/>
        <v/>
      </c>
      <c r="AT124" s="20" t="str">
        <f t="shared" si="53"/>
        <v/>
      </c>
      <c r="AU124" s="20" t="str">
        <f t="shared" si="54"/>
        <v/>
      </c>
      <c r="AV124" s="20" t="str">
        <f t="shared" si="55"/>
        <v/>
      </c>
      <c r="AW124" s="20" t="str">
        <f t="shared" si="56"/>
        <v/>
      </c>
      <c r="BD124" s="78" t="s">
        <v>555</v>
      </c>
      <c r="BE124" s="78" t="s">
        <v>828</v>
      </c>
      <c r="BF124" s="78" t="s">
        <v>741</v>
      </c>
      <c r="BG124" s="78" t="s">
        <v>127</v>
      </c>
      <c r="BH124" s="78" t="s">
        <v>58</v>
      </c>
      <c r="BI124" s="78" t="s">
        <v>919</v>
      </c>
      <c r="BJ124" s="78"/>
      <c r="BK124" s="78" t="s">
        <v>745</v>
      </c>
      <c r="BL124" s="78" t="s">
        <v>745</v>
      </c>
      <c r="BM124" s="78" t="s">
        <v>485</v>
      </c>
      <c r="BN124" s="78" t="s">
        <v>743</v>
      </c>
      <c r="BO124" s="78" t="s">
        <v>569</v>
      </c>
      <c r="BP124" s="78" t="s">
        <v>636</v>
      </c>
      <c r="BQ124" s="78" t="s">
        <v>741</v>
      </c>
      <c r="BR124" s="78" t="s">
        <v>1037</v>
      </c>
      <c r="BS124" s="78" t="s">
        <v>52</v>
      </c>
      <c r="BT124" s="78"/>
      <c r="BU124" s="78" t="s">
        <v>70</v>
      </c>
      <c r="BV124" s="78"/>
      <c r="BW124" s="78"/>
      <c r="BX124" s="78">
        <v>824</v>
      </c>
      <c r="BY124" s="78">
        <v>204336</v>
      </c>
      <c r="BZ124" s="78"/>
      <c r="CA124" s="78"/>
      <c r="CB124" s="78" t="s">
        <v>58</v>
      </c>
      <c r="CC124" s="78" t="s">
        <v>569</v>
      </c>
      <c r="CD124" s="78" t="s">
        <v>744</v>
      </c>
      <c r="CE124" s="78" t="s">
        <v>111</v>
      </c>
      <c r="CF124" s="78" t="s">
        <v>1132</v>
      </c>
      <c r="CG124" s="78" t="s">
        <v>828</v>
      </c>
      <c r="CH124" s="78" t="s">
        <v>555</v>
      </c>
      <c r="CI124" s="78">
        <v>5239</v>
      </c>
      <c r="CJ124" s="78" t="b">
        <v>1</v>
      </c>
      <c r="CK124" s="78" t="b">
        <v>0</v>
      </c>
      <c r="CL124" s="78" t="b">
        <v>0</v>
      </c>
      <c r="CM124" s="78" t="b">
        <v>0</v>
      </c>
      <c r="CN124" s="78" t="b">
        <v>0</v>
      </c>
      <c r="CO124" s="78" t="s">
        <v>61</v>
      </c>
      <c r="CW124" s="17" t="s">
        <v>248</v>
      </c>
      <c r="CX124" s="10" t="s">
        <v>72</v>
      </c>
    </row>
    <row r="125" spans="1:108" ht="16.5" x14ac:dyDescent="0.25">
      <c r="A125" s="97"/>
      <c r="B125" s="97"/>
      <c r="C125" s="97"/>
      <c r="D125" s="97"/>
      <c r="E125" s="97"/>
      <c r="F125" s="97"/>
      <c r="G125" s="98"/>
      <c r="H125" s="97"/>
      <c r="I125" s="97"/>
      <c r="J125" s="97"/>
      <c r="K125" s="97"/>
      <c r="L125" s="97"/>
      <c r="M125" s="97"/>
      <c r="N125" s="97"/>
      <c r="O125" s="97"/>
      <c r="P125" s="97"/>
      <c r="Q125" s="100"/>
      <c r="R125" s="101"/>
      <c r="S125" s="99"/>
      <c r="T125" s="99"/>
      <c r="U125" s="97"/>
      <c r="V125" s="20" t="str">
        <f t="shared" si="29"/>
        <v/>
      </c>
      <c r="W125" s="20" t="str">
        <f t="shared" si="30"/>
        <v/>
      </c>
      <c r="X125" s="20" t="str">
        <f t="shared" si="31"/>
        <v/>
      </c>
      <c r="Y125" s="20" t="str">
        <f t="shared" si="32"/>
        <v/>
      </c>
      <c r="Z125" s="20" t="str">
        <f t="shared" si="33"/>
        <v/>
      </c>
      <c r="AA125" s="20" t="str">
        <f t="shared" si="34"/>
        <v/>
      </c>
      <c r="AB125" s="20" t="str">
        <f t="shared" si="35"/>
        <v/>
      </c>
      <c r="AC125" s="20" t="str">
        <f t="shared" si="36"/>
        <v/>
      </c>
      <c r="AD125" s="20" t="str">
        <f t="shared" si="37"/>
        <v/>
      </c>
      <c r="AE125" s="20" t="str">
        <f t="shared" si="38"/>
        <v/>
      </c>
      <c r="AF125" s="20" t="str">
        <f t="shared" si="39"/>
        <v/>
      </c>
      <c r="AG125" s="20" t="str">
        <f t="shared" si="40"/>
        <v/>
      </c>
      <c r="AH125" s="20" t="str">
        <f t="shared" si="41"/>
        <v/>
      </c>
      <c r="AI125" s="20" t="str">
        <f t="shared" si="42"/>
        <v/>
      </c>
      <c r="AJ125" s="20" t="str">
        <f t="shared" si="43"/>
        <v/>
      </c>
      <c r="AK125" s="20" t="str">
        <f t="shared" si="44"/>
        <v/>
      </c>
      <c r="AL125" s="20" t="str">
        <f t="shared" si="45"/>
        <v/>
      </c>
      <c r="AM125" s="20" t="str">
        <f t="shared" si="46"/>
        <v/>
      </c>
      <c r="AN125" s="20" t="str">
        <f t="shared" si="47"/>
        <v/>
      </c>
      <c r="AO125" s="20" t="str">
        <f t="shared" si="48"/>
        <v/>
      </c>
      <c r="AP125" s="20" t="str">
        <f t="shared" si="49"/>
        <v/>
      </c>
      <c r="AQ125" s="20" t="str">
        <f t="shared" si="50"/>
        <v/>
      </c>
      <c r="AR125" s="20" t="str">
        <f t="shared" si="51"/>
        <v/>
      </c>
      <c r="AS125" s="20" t="str">
        <f t="shared" si="52"/>
        <v/>
      </c>
      <c r="AT125" s="20" t="str">
        <f t="shared" si="53"/>
        <v/>
      </c>
      <c r="AU125" s="20" t="str">
        <f t="shared" si="54"/>
        <v/>
      </c>
      <c r="AV125" s="20" t="str">
        <f t="shared" si="55"/>
        <v/>
      </c>
      <c r="AW125" s="20" t="str">
        <f t="shared" si="56"/>
        <v/>
      </c>
      <c r="BD125" s="78" t="s">
        <v>555</v>
      </c>
      <c r="BE125" s="78" t="s">
        <v>828</v>
      </c>
      <c r="BF125" s="78" t="s">
        <v>741</v>
      </c>
      <c r="BG125" s="78" t="s">
        <v>596</v>
      </c>
      <c r="BH125" s="78" t="s">
        <v>147</v>
      </c>
      <c r="BI125" s="78" t="s">
        <v>920</v>
      </c>
      <c r="BJ125" s="78"/>
      <c r="BK125" s="78" t="s">
        <v>746</v>
      </c>
      <c r="BL125" s="78" t="s">
        <v>746</v>
      </c>
      <c r="BM125" s="78" t="s">
        <v>330</v>
      </c>
      <c r="BN125" s="78" t="s">
        <v>743</v>
      </c>
      <c r="BO125" s="78" t="s">
        <v>569</v>
      </c>
      <c r="BP125" s="78" t="s">
        <v>636</v>
      </c>
      <c r="BQ125" s="78" t="s">
        <v>741</v>
      </c>
      <c r="BR125" s="78"/>
      <c r="BS125" s="78" t="s">
        <v>52</v>
      </c>
      <c r="BT125" s="78"/>
      <c r="BU125" s="78" t="s">
        <v>70</v>
      </c>
      <c r="BV125" s="78"/>
      <c r="BW125" s="78"/>
      <c r="BX125" s="78">
        <v>124</v>
      </c>
      <c r="BY125" s="78">
        <v>204336</v>
      </c>
      <c r="BZ125" s="78"/>
      <c r="CA125" s="78"/>
      <c r="CB125" s="78" t="s">
        <v>83</v>
      </c>
      <c r="CC125" s="78" t="s">
        <v>569</v>
      </c>
      <c r="CD125" s="78" t="s">
        <v>744</v>
      </c>
      <c r="CE125" s="78" t="s">
        <v>111</v>
      </c>
      <c r="CF125" s="78" t="s">
        <v>1132</v>
      </c>
      <c r="CG125" s="78" t="s">
        <v>828</v>
      </c>
      <c r="CH125" s="78" t="s">
        <v>555</v>
      </c>
      <c r="CI125" s="78">
        <v>5239</v>
      </c>
      <c r="CJ125" s="78" t="b">
        <v>0</v>
      </c>
      <c r="CK125" s="78" t="b">
        <v>0</v>
      </c>
      <c r="CL125" s="78" t="b">
        <v>0</v>
      </c>
      <c r="CM125" s="78" t="b">
        <v>1</v>
      </c>
      <c r="CN125" s="78" t="b">
        <v>0</v>
      </c>
      <c r="CO125" s="78" t="s">
        <v>61</v>
      </c>
      <c r="CW125" s="17" t="s">
        <v>251</v>
      </c>
      <c r="CX125" s="10" t="s">
        <v>72</v>
      </c>
    </row>
    <row r="126" spans="1:108" ht="16.5" x14ac:dyDescent="0.25">
      <c r="A126" s="97"/>
      <c r="B126" s="97"/>
      <c r="C126" s="97"/>
      <c r="D126" s="97"/>
      <c r="E126" s="97"/>
      <c r="F126" s="97"/>
      <c r="G126" s="98"/>
      <c r="H126" s="97"/>
      <c r="I126" s="97"/>
      <c r="J126" s="97"/>
      <c r="K126" s="97"/>
      <c r="L126" s="97"/>
      <c r="M126" s="97"/>
      <c r="N126" s="97"/>
      <c r="O126" s="97"/>
      <c r="P126" s="97"/>
      <c r="Q126" s="100"/>
      <c r="R126" s="101"/>
      <c r="S126" s="99"/>
      <c r="T126" s="99"/>
      <c r="U126" s="97"/>
      <c r="V126" s="20" t="str">
        <f t="shared" si="29"/>
        <v/>
      </c>
      <c r="W126" s="20" t="str">
        <f t="shared" si="30"/>
        <v/>
      </c>
      <c r="X126" s="20" t="str">
        <f t="shared" si="31"/>
        <v/>
      </c>
      <c r="Y126" s="20" t="str">
        <f t="shared" si="32"/>
        <v/>
      </c>
      <c r="Z126" s="20" t="str">
        <f t="shared" si="33"/>
        <v/>
      </c>
      <c r="AA126" s="20" t="str">
        <f t="shared" si="34"/>
        <v/>
      </c>
      <c r="AB126" s="20" t="str">
        <f t="shared" si="35"/>
        <v/>
      </c>
      <c r="AC126" s="20" t="str">
        <f t="shared" si="36"/>
        <v/>
      </c>
      <c r="AD126" s="20" t="str">
        <f t="shared" si="37"/>
        <v/>
      </c>
      <c r="AE126" s="20" t="str">
        <f t="shared" si="38"/>
        <v/>
      </c>
      <c r="AF126" s="20" t="str">
        <f t="shared" si="39"/>
        <v/>
      </c>
      <c r="AG126" s="20" t="str">
        <f t="shared" si="40"/>
        <v/>
      </c>
      <c r="AH126" s="20" t="str">
        <f t="shared" si="41"/>
        <v/>
      </c>
      <c r="AI126" s="20" t="str">
        <f t="shared" si="42"/>
        <v/>
      </c>
      <c r="AJ126" s="20" t="str">
        <f t="shared" si="43"/>
        <v/>
      </c>
      <c r="AK126" s="20" t="str">
        <f t="shared" si="44"/>
        <v/>
      </c>
      <c r="AL126" s="20" t="str">
        <f t="shared" si="45"/>
        <v/>
      </c>
      <c r="AM126" s="20" t="str">
        <f t="shared" si="46"/>
        <v/>
      </c>
      <c r="AN126" s="20" t="str">
        <f t="shared" si="47"/>
        <v/>
      </c>
      <c r="AO126" s="20" t="str">
        <f t="shared" si="48"/>
        <v/>
      </c>
      <c r="AP126" s="20" t="str">
        <f t="shared" si="49"/>
        <v/>
      </c>
      <c r="AQ126" s="20" t="str">
        <f t="shared" si="50"/>
        <v/>
      </c>
      <c r="AR126" s="20" t="str">
        <f t="shared" si="51"/>
        <v/>
      </c>
      <c r="AS126" s="20" t="str">
        <f t="shared" si="52"/>
        <v/>
      </c>
      <c r="AT126" s="20" t="str">
        <f t="shared" si="53"/>
        <v/>
      </c>
      <c r="AU126" s="20" t="str">
        <f t="shared" si="54"/>
        <v/>
      </c>
      <c r="AV126" s="20" t="str">
        <f t="shared" si="55"/>
        <v/>
      </c>
      <c r="AW126" s="20" t="str">
        <f t="shared" si="56"/>
        <v/>
      </c>
      <c r="BD126" s="78" t="s">
        <v>555</v>
      </c>
      <c r="BE126" s="78" t="s">
        <v>828</v>
      </c>
      <c r="BF126" s="78" t="s">
        <v>741</v>
      </c>
      <c r="BG126" s="78" t="s">
        <v>596</v>
      </c>
      <c r="BH126" s="78" t="s">
        <v>92</v>
      </c>
      <c r="BI126" s="78" t="s">
        <v>921</v>
      </c>
      <c r="BJ126" s="78"/>
      <c r="BK126" s="78" t="s">
        <v>747</v>
      </c>
      <c r="BL126" s="78" t="s">
        <v>747</v>
      </c>
      <c r="BM126" s="78" t="s">
        <v>486</v>
      </c>
      <c r="BN126" s="78" t="s">
        <v>743</v>
      </c>
      <c r="BO126" s="78" t="s">
        <v>569</v>
      </c>
      <c r="BP126" s="78" t="s">
        <v>636</v>
      </c>
      <c r="BQ126" s="78" t="s">
        <v>741</v>
      </c>
      <c r="BR126" s="78"/>
      <c r="BS126" s="78" t="s">
        <v>52</v>
      </c>
      <c r="BT126" s="78"/>
      <c r="BU126" s="78" t="s">
        <v>70</v>
      </c>
      <c r="BV126" s="78"/>
      <c r="BW126" s="78"/>
      <c r="BX126" s="78">
        <v>124</v>
      </c>
      <c r="BY126" s="78">
        <v>204336</v>
      </c>
      <c r="BZ126" s="78"/>
      <c r="CA126" s="78"/>
      <c r="CB126" s="78" t="s">
        <v>83</v>
      </c>
      <c r="CC126" s="78" t="s">
        <v>569</v>
      </c>
      <c r="CD126" s="78" t="s">
        <v>744</v>
      </c>
      <c r="CE126" s="78" t="s">
        <v>111</v>
      </c>
      <c r="CF126" s="78" t="s">
        <v>1132</v>
      </c>
      <c r="CG126" s="78" t="s">
        <v>828</v>
      </c>
      <c r="CH126" s="78" t="s">
        <v>555</v>
      </c>
      <c r="CI126" s="78">
        <v>5239</v>
      </c>
      <c r="CJ126" s="78" t="b">
        <v>0</v>
      </c>
      <c r="CK126" s="78" t="b">
        <v>0</v>
      </c>
      <c r="CL126" s="78" t="b">
        <v>0</v>
      </c>
      <c r="CM126" s="78" t="b">
        <v>1</v>
      </c>
      <c r="CN126" s="78" t="b">
        <v>0</v>
      </c>
      <c r="CO126" s="78" t="s">
        <v>61</v>
      </c>
      <c r="CW126" s="9" t="s">
        <v>253</v>
      </c>
      <c r="CX126" s="17" t="s">
        <v>59</v>
      </c>
    </row>
    <row r="127" spans="1:108" ht="16.5" x14ac:dyDescent="0.25">
      <c r="A127" s="97"/>
      <c r="B127" s="97"/>
      <c r="C127" s="97"/>
      <c r="D127" s="97"/>
      <c r="E127" s="97"/>
      <c r="F127" s="97"/>
      <c r="G127" s="98"/>
      <c r="H127" s="97"/>
      <c r="I127" s="97"/>
      <c r="J127" s="97"/>
      <c r="K127" s="97"/>
      <c r="L127" s="97"/>
      <c r="M127" s="97"/>
      <c r="N127" s="97"/>
      <c r="O127" s="97"/>
      <c r="P127" s="97"/>
      <c r="Q127" s="100"/>
      <c r="R127" s="101"/>
      <c r="S127" s="99"/>
      <c r="T127" s="99"/>
      <c r="U127" s="97"/>
      <c r="V127" s="20" t="str">
        <f t="shared" si="29"/>
        <v/>
      </c>
      <c r="W127" s="20" t="str">
        <f t="shared" si="30"/>
        <v/>
      </c>
      <c r="X127" s="20" t="str">
        <f t="shared" si="31"/>
        <v/>
      </c>
      <c r="Y127" s="20" t="str">
        <f t="shared" si="32"/>
        <v/>
      </c>
      <c r="Z127" s="20" t="str">
        <f t="shared" si="33"/>
        <v/>
      </c>
      <c r="AA127" s="20" t="str">
        <f t="shared" si="34"/>
        <v/>
      </c>
      <c r="AB127" s="20" t="str">
        <f t="shared" si="35"/>
        <v/>
      </c>
      <c r="AC127" s="20" t="str">
        <f t="shared" si="36"/>
        <v/>
      </c>
      <c r="AD127" s="20" t="str">
        <f t="shared" si="37"/>
        <v/>
      </c>
      <c r="AE127" s="20" t="str">
        <f t="shared" si="38"/>
        <v/>
      </c>
      <c r="AF127" s="20" t="str">
        <f t="shared" si="39"/>
        <v/>
      </c>
      <c r="AG127" s="20" t="str">
        <f t="shared" si="40"/>
        <v/>
      </c>
      <c r="AH127" s="20" t="str">
        <f t="shared" si="41"/>
        <v/>
      </c>
      <c r="AI127" s="20" t="str">
        <f t="shared" si="42"/>
        <v/>
      </c>
      <c r="AJ127" s="20" t="str">
        <f t="shared" si="43"/>
        <v/>
      </c>
      <c r="AK127" s="20" t="str">
        <f t="shared" si="44"/>
        <v/>
      </c>
      <c r="AL127" s="20" t="str">
        <f t="shared" si="45"/>
        <v/>
      </c>
      <c r="AM127" s="20" t="str">
        <f t="shared" si="46"/>
        <v/>
      </c>
      <c r="AN127" s="20" t="str">
        <f t="shared" si="47"/>
        <v/>
      </c>
      <c r="AO127" s="20" t="str">
        <f t="shared" si="48"/>
        <v/>
      </c>
      <c r="AP127" s="20" t="str">
        <f t="shared" si="49"/>
        <v/>
      </c>
      <c r="AQ127" s="20" t="str">
        <f t="shared" si="50"/>
        <v/>
      </c>
      <c r="AR127" s="20" t="str">
        <f t="shared" si="51"/>
        <v/>
      </c>
      <c r="AS127" s="20" t="str">
        <f t="shared" si="52"/>
        <v/>
      </c>
      <c r="AT127" s="20" t="str">
        <f t="shared" si="53"/>
        <v/>
      </c>
      <c r="AU127" s="20" t="str">
        <f t="shared" si="54"/>
        <v/>
      </c>
      <c r="AV127" s="20" t="str">
        <f t="shared" si="55"/>
        <v/>
      </c>
      <c r="AW127" s="20" t="str">
        <f t="shared" si="56"/>
        <v/>
      </c>
      <c r="BD127" s="78" t="s">
        <v>266</v>
      </c>
      <c r="BE127" s="78" t="s">
        <v>828</v>
      </c>
      <c r="BF127" s="78" t="s">
        <v>713</v>
      </c>
      <c r="BG127" s="78" t="s">
        <v>595</v>
      </c>
      <c r="BH127" s="78" t="s">
        <v>58</v>
      </c>
      <c r="BI127" s="78" t="s">
        <v>922</v>
      </c>
      <c r="BJ127" s="78"/>
      <c r="BK127" s="78" t="s">
        <v>785</v>
      </c>
      <c r="BL127" s="78" t="s">
        <v>785</v>
      </c>
      <c r="BM127" s="78" t="s">
        <v>495</v>
      </c>
      <c r="BN127" s="78" t="s">
        <v>786</v>
      </c>
      <c r="BO127" s="78" t="s">
        <v>120</v>
      </c>
      <c r="BP127" s="78" t="s">
        <v>636</v>
      </c>
      <c r="BQ127" s="78" t="s">
        <v>713</v>
      </c>
      <c r="BR127" s="78" t="s">
        <v>1038</v>
      </c>
      <c r="BS127" s="78" t="s">
        <v>715</v>
      </c>
      <c r="BT127" s="78"/>
      <c r="BU127" s="78" t="s">
        <v>70</v>
      </c>
      <c r="BV127" s="78"/>
      <c r="BW127" s="78"/>
      <c r="BX127" s="78">
        <v>827</v>
      </c>
      <c r="BY127" s="78">
        <v>205373</v>
      </c>
      <c r="BZ127" s="78"/>
      <c r="CA127" s="78"/>
      <c r="CB127" s="78" t="s">
        <v>58</v>
      </c>
      <c r="CC127" s="78" t="s">
        <v>574</v>
      </c>
      <c r="CD127" s="78" t="s">
        <v>714</v>
      </c>
      <c r="CE127" s="78" t="s">
        <v>64</v>
      </c>
      <c r="CF127" s="78" t="s">
        <v>1132</v>
      </c>
      <c r="CG127" s="78" t="s">
        <v>828</v>
      </c>
      <c r="CH127" s="78" t="s">
        <v>266</v>
      </c>
      <c r="CI127" s="78">
        <v>5300</v>
      </c>
      <c r="CJ127" s="78" t="b">
        <v>1</v>
      </c>
      <c r="CK127" s="78" t="b">
        <v>0</v>
      </c>
      <c r="CL127" s="78" t="b">
        <v>0</v>
      </c>
      <c r="CM127" s="78" t="b">
        <v>0</v>
      </c>
      <c r="CN127" s="78" t="b">
        <v>0</v>
      </c>
      <c r="CO127" s="78" t="s">
        <v>61</v>
      </c>
      <c r="CW127" s="9" t="s">
        <v>255</v>
      </c>
      <c r="CX127" s="17" t="s">
        <v>59</v>
      </c>
    </row>
    <row r="128" spans="1:108" ht="16.5" x14ac:dyDescent="0.25">
      <c r="A128" s="97"/>
      <c r="B128" s="97"/>
      <c r="C128" s="97"/>
      <c r="D128" s="97"/>
      <c r="E128" s="97"/>
      <c r="F128" s="97"/>
      <c r="G128" s="98"/>
      <c r="H128" s="97"/>
      <c r="I128" s="97"/>
      <c r="J128" s="97"/>
      <c r="K128" s="97"/>
      <c r="L128" s="97"/>
      <c r="M128" s="97"/>
      <c r="N128" s="97"/>
      <c r="O128" s="97"/>
      <c r="P128" s="97"/>
      <c r="Q128" s="100"/>
      <c r="R128" s="101"/>
      <c r="S128" s="99"/>
      <c r="T128" s="99"/>
      <c r="U128" s="97"/>
      <c r="V128" s="20" t="str">
        <f t="shared" si="29"/>
        <v/>
      </c>
      <c r="W128" s="20" t="str">
        <f t="shared" si="30"/>
        <v/>
      </c>
      <c r="X128" s="20" t="str">
        <f t="shared" si="31"/>
        <v/>
      </c>
      <c r="Y128" s="20" t="str">
        <f t="shared" si="32"/>
        <v/>
      </c>
      <c r="Z128" s="20" t="str">
        <f t="shared" si="33"/>
        <v/>
      </c>
      <c r="AA128" s="20" t="str">
        <f t="shared" si="34"/>
        <v/>
      </c>
      <c r="AB128" s="20" t="str">
        <f t="shared" si="35"/>
        <v/>
      </c>
      <c r="AC128" s="20" t="str">
        <f t="shared" si="36"/>
        <v/>
      </c>
      <c r="AD128" s="20" t="str">
        <f t="shared" si="37"/>
        <v/>
      </c>
      <c r="AE128" s="20" t="str">
        <f t="shared" si="38"/>
        <v/>
      </c>
      <c r="AF128" s="20" t="str">
        <f t="shared" si="39"/>
        <v/>
      </c>
      <c r="AG128" s="20" t="str">
        <f t="shared" si="40"/>
        <v/>
      </c>
      <c r="AH128" s="20" t="str">
        <f t="shared" si="41"/>
        <v/>
      </c>
      <c r="AI128" s="20" t="str">
        <f t="shared" si="42"/>
        <v/>
      </c>
      <c r="AJ128" s="20" t="str">
        <f t="shared" si="43"/>
        <v/>
      </c>
      <c r="AK128" s="20" t="str">
        <f t="shared" si="44"/>
        <v/>
      </c>
      <c r="AL128" s="20" t="str">
        <f t="shared" si="45"/>
        <v/>
      </c>
      <c r="AM128" s="20" t="str">
        <f t="shared" si="46"/>
        <v/>
      </c>
      <c r="AN128" s="20" t="str">
        <f t="shared" si="47"/>
        <v/>
      </c>
      <c r="AO128" s="20" t="str">
        <f t="shared" si="48"/>
        <v/>
      </c>
      <c r="AP128" s="20" t="str">
        <f t="shared" si="49"/>
        <v/>
      </c>
      <c r="AQ128" s="20" t="str">
        <f t="shared" si="50"/>
        <v/>
      </c>
      <c r="AR128" s="20" t="str">
        <f t="shared" si="51"/>
        <v/>
      </c>
      <c r="AS128" s="20" t="str">
        <f t="shared" si="52"/>
        <v/>
      </c>
      <c r="AT128" s="20" t="str">
        <f t="shared" si="53"/>
        <v/>
      </c>
      <c r="AU128" s="20" t="str">
        <f t="shared" si="54"/>
        <v/>
      </c>
      <c r="AV128" s="20" t="str">
        <f t="shared" si="55"/>
        <v/>
      </c>
      <c r="AW128" s="20" t="str">
        <f t="shared" si="56"/>
        <v/>
      </c>
      <c r="BD128" s="78" t="s">
        <v>266</v>
      </c>
      <c r="BE128" s="78" t="s">
        <v>828</v>
      </c>
      <c r="BF128" s="78" t="s">
        <v>713</v>
      </c>
      <c r="BG128" s="78" t="s">
        <v>596</v>
      </c>
      <c r="BH128" s="78" t="s">
        <v>147</v>
      </c>
      <c r="BI128" s="78" t="s">
        <v>923</v>
      </c>
      <c r="BJ128" s="78"/>
      <c r="BK128" s="78" t="s">
        <v>787</v>
      </c>
      <c r="BL128" s="78" t="s">
        <v>787</v>
      </c>
      <c r="BM128" s="78" t="s">
        <v>336</v>
      </c>
      <c r="BN128" s="78" t="s">
        <v>786</v>
      </c>
      <c r="BO128" s="78" t="s">
        <v>120</v>
      </c>
      <c r="BP128" s="78" t="s">
        <v>636</v>
      </c>
      <c r="BQ128" s="78" t="s">
        <v>713</v>
      </c>
      <c r="BR128" s="78" t="s">
        <v>1038</v>
      </c>
      <c r="BS128" s="78" t="s">
        <v>715</v>
      </c>
      <c r="BT128" s="78"/>
      <c r="BU128" s="78" t="s">
        <v>70</v>
      </c>
      <c r="BV128" s="78"/>
      <c r="BW128" s="78"/>
      <c r="BX128" s="78">
        <v>124</v>
      </c>
      <c r="BY128" s="78">
        <v>205373</v>
      </c>
      <c r="BZ128" s="78"/>
      <c r="CA128" s="78"/>
      <c r="CB128" s="78" t="s">
        <v>83</v>
      </c>
      <c r="CC128" s="78" t="s">
        <v>574</v>
      </c>
      <c r="CD128" s="78" t="s">
        <v>714</v>
      </c>
      <c r="CE128" s="78" t="s">
        <v>64</v>
      </c>
      <c r="CF128" s="78" t="s">
        <v>1132</v>
      </c>
      <c r="CG128" s="78" t="s">
        <v>828</v>
      </c>
      <c r="CH128" s="78" t="s">
        <v>266</v>
      </c>
      <c r="CI128" s="78">
        <v>5300</v>
      </c>
      <c r="CJ128" s="78" t="b">
        <v>0</v>
      </c>
      <c r="CK128" s="78" t="b">
        <v>0</v>
      </c>
      <c r="CL128" s="78" t="b">
        <v>0</v>
      </c>
      <c r="CM128" s="78" t="b">
        <v>1</v>
      </c>
      <c r="CN128" s="78" t="b">
        <v>0</v>
      </c>
      <c r="CO128" s="78" t="s">
        <v>61</v>
      </c>
      <c r="CW128" s="17" t="s">
        <v>258</v>
      </c>
      <c r="CX128" s="10" t="s">
        <v>72</v>
      </c>
    </row>
    <row r="129" spans="1:102" ht="16.5" x14ac:dyDescent="0.25">
      <c r="A129" s="97"/>
      <c r="B129" s="97"/>
      <c r="C129" s="97"/>
      <c r="D129" s="97"/>
      <c r="E129" s="97"/>
      <c r="F129" s="97"/>
      <c r="G129" s="98"/>
      <c r="H129" s="97"/>
      <c r="I129" s="97"/>
      <c r="J129" s="97"/>
      <c r="K129" s="97"/>
      <c r="L129" s="97"/>
      <c r="M129" s="97"/>
      <c r="N129" s="97"/>
      <c r="O129" s="97"/>
      <c r="P129" s="97"/>
      <c r="Q129" s="100"/>
      <c r="R129" s="101"/>
      <c r="S129" s="99"/>
      <c r="T129" s="99"/>
      <c r="U129" s="97"/>
      <c r="V129" s="20" t="str">
        <f t="shared" si="29"/>
        <v/>
      </c>
      <c r="W129" s="20" t="str">
        <f t="shared" si="30"/>
        <v/>
      </c>
      <c r="X129" s="20" t="str">
        <f t="shared" si="31"/>
        <v/>
      </c>
      <c r="Y129" s="20" t="str">
        <f t="shared" si="32"/>
        <v/>
      </c>
      <c r="Z129" s="20" t="str">
        <f t="shared" si="33"/>
        <v/>
      </c>
      <c r="AA129" s="20" t="str">
        <f t="shared" si="34"/>
        <v/>
      </c>
      <c r="AB129" s="20" t="str">
        <f t="shared" si="35"/>
        <v/>
      </c>
      <c r="AC129" s="20" t="str">
        <f t="shared" si="36"/>
        <v/>
      </c>
      <c r="AD129" s="20" t="str">
        <f t="shared" si="37"/>
        <v/>
      </c>
      <c r="AE129" s="20" t="str">
        <f t="shared" si="38"/>
        <v/>
      </c>
      <c r="AF129" s="20" t="str">
        <f t="shared" si="39"/>
        <v/>
      </c>
      <c r="AG129" s="20" t="str">
        <f t="shared" si="40"/>
        <v/>
      </c>
      <c r="AH129" s="20" t="str">
        <f t="shared" si="41"/>
        <v/>
      </c>
      <c r="AI129" s="20" t="str">
        <f t="shared" si="42"/>
        <v/>
      </c>
      <c r="AJ129" s="20" t="str">
        <f t="shared" si="43"/>
        <v/>
      </c>
      <c r="AK129" s="20" t="str">
        <f t="shared" si="44"/>
        <v/>
      </c>
      <c r="AL129" s="20" t="str">
        <f t="shared" si="45"/>
        <v/>
      </c>
      <c r="AM129" s="20" t="str">
        <f t="shared" si="46"/>
        <v/>
      </c>
      <c r="AN129" s="20" t="str">
        <f t="shared" si="47"/>
        <v/>
      </c>
      <c r="AO129" s="20" t="str">
        <f t="shared" si="48"/>
        <v/>
      </c>
      <c r="AP129" s="20" t="str">
        <f t="shared" si="49"/>
        <v/>
      </c>
      <c r="AQ129" s="20" t="str">
        <f t="shared" si="50"/>
        <v/>
      </c>
      <c r="AR129" s="20" t="str">
        <f t="shared" si="51"/>
        <v/>
      </c>
      <c r="AS129" s="20" t="str">
        <f t="shared" si="52"/>
        <v/>
      </c>
      <c r="AT129" s="20" t="str">
        <f t="shared" si="53"/>
        <v/>
      </c>
      <c r="AU129" s="20" t="str">
        <f t="shared" si="54"/>
        <v/>
      </c>
      <c r="AV129" s="20" t="str">
        <f t="shared" si="55"/>
        <v/>
      </c>
      <c r="AW129" s="20" t="str">
        <f t="shared" si="56"/>
        <v/>
      </c>
      <c r="BD129" s="78" t="s">
        <v>266</v>
      </c>
      <c r="BE129" s="78" t="s">
        <v>828</v>
      </c>
      <c r="BF129" s="78" t="s">
        <v>713</v>
      </c>
      <c r="BG129" s="78" t="s">
        <v>596</v>
      </c>
      <c r="BH129" s="78" t="s">
        <v>92</v>
      </c>
      <c r="BI129" s="78" t="s">
        <v>924</v>
      </c>
      <c r="BJ129" s="78"/>
      <c r="BK129" s="78" t="s">
        <v>788</v>
      </c>
      <c r="BL129" s="78" t="s">
        <v>788</v>
      </c>
      <c r="BM129" s="78" t="s">
        <v>496</v>
      </c>
      <c r="BN129" s="78" t="s">
        <v>786</v>
      </c>
      <c r="BO129" s="78" t="s">
        <v>120</v>
      </c>
      <c r="BP129" s="78" t="s">
        <v>636</v>
      </c>
      <c r="BQ129" s="78" t="s">
        <v>713</v>
      </c>
      <c r="BR129" s="78" t="s">
        <v>1038</v>
      </c>
      <c r="BS129" s="78" t="s">
        <v>715</v>
      </c>
      <c r="BT129" s="78"/>
      <c r="BU129" s="78" t="s">
        <v>70</v>
      </c>
      <c r="BV129" s="78"/>
      <c r="BW129" s="78"/>
      <c r="BX129" s="78">
        <v>124</v>
      </c>
      <c r="BY129" s="78">
        <v>205373</v>
      </c>
      <c r="BZ129" s="78"/>
      <c r="CA129" s="78"/>
      <c r="CB129" s="78" t="s">
        <v>83</v>
      </c>
      <c r="CC129" s="78" t="s">
        <v>574</v>
      </c>
      <c r="CD129" s="78" t="s">
        <v>714</v>
      </c>
      <c r="CE129" s="78" t="s">
        <v>64</v>
      </c>
      <c r="CF129" s="78" t="s">
        <v>1132</v>
      </c>
      <c r="CG129" s="78" t="s">
        <v>828</v>
      </c>
      <c r="CH129" s="78" t="s">
        <v>266</v>
      </c>
      <c r="CI129" s="78">
        <v>5300</v>
      </c>
      <c r="CJ129" s="78" t="b">
        <v>0</v>
      </c>
      <c r="CK129" s="78" t="b">
        <v>0</v>
      </c>
      <c r="CL129" s="78" t="b">
        <v>0</v>
      </c>
      <c r="CM129" s="78" t="b">
        <v>1</v>
      </c>
      <c r="CN129" s="78" t="b">
        <v>0</v>
      </c>
      <c r="CO129" s="78" t="s">
        <v>61</v>
      </c>
      <c r="CW129" s="17" t="s">
        <v>259</v>
      </c>
      <c r="CX129" s="10" t="s">
        <v>72</v>
      </c>
    </row>
    <row r="130" spans="1:102" ht="16.5" x14ac:dyDescent="0.25">
      <c r="A130" s="97"/>
      <c r="B130" s="97"/>
      <c r="C130" s="97"/>
      <c r="D130" s="97"/>
      <c r="E130" s="97"/>
      <c r="F130" s="97"/>
      <c r="G130" s="98"/>
      <c r="H130" s="97"/>
      <c r="I130" s="97"/>
      <c r="J130" s="97"/>
      <c r="K130" s="97"/>
      <c r="L130" s="97"/>
      <c r="M130" s="97"/>
      <c r="N130" s="97"/>
      <c r="O130" s="97"/>
      <c r="P130" s="97"/>
      <c r="Q130" s="100"/>
      <c r="R130" s="101"/>
      <c r="S130" s="99"/>
      <c r="T130" s="99"/>
      <c r="U130" s="97"/>
      <c r="V130" s="20" t="str">
        <f t="shared" si="29"/>
        <v/>
      </c>
      <c r="W130" s="20" t="str">
        <f t="shared" si="30"/>
        <v/>
      </c>
      <c r="X130" s="20" t="str">
        <f t="shared" si="31"/>
        <v/>
      </c>
      <c r="Y130" s="20" t="str">
        <f t="shared" si="32"/>
        <v/>
      </c>
      <c r="Z130" s="20" t="str">
        <f t="shared" si="33"/>
        <v/>
      </c>
      <c r="AA130" s="20" t="str">
        <f t="shared" si="34"/>
        <v/>
      </c>
      <c r="AB130" s="20" t="str">
        <f t="shared" si="35"/>
        <v/>
      </c>
      <c r="AC130" s="20" t="str">
        <f t="shared" si="36"/>
        <v/>
      </c>
      <c r="AD130" s="20" t="str">
        <f t="shared" si="37"/>
        <v/>
      </c>
      <c r="AE130" s="20" t="str">
        <f t="shared" si="38"/>
        <v/>
      </c>
      <c r="AF130" s="20" t="str">
        <f t="shared" si="39"/>
        <v/>
      </c>
      <c r="AG130" s="20" t="str">
        <f t="shared" si="40"/>
        <v/>
      </c>
      <c r="AH130" s="20" t="str">
        <f t="shared" si="41"/>
        <v/>
      </c>
      <c r="AI130" s="20" t="str">
        <f t="shared" si="42"/>
        <v/>
      </c>
      <c r="AJ130" s="20" t="str">
        <f t="shared" si="43"/>
        <v/>
      </c>
      <c r="AK130" s="20" t="str">
        <f t="shared" si="44"/>
        <v/>
      </c>
      <c r="AL130" s="20" t="str">
        <f t="shared" si="45"/>
        <v/>
      </c>
      <c r="AM130" s="20" t="str">
        <f t="shared" si="46"/>
        <v/>
      </c>
      <c r="AN130" s="20" t="str">
        <f t="shared" si="47"/>
        <v/>
      </c>
      <c r="AO130" s="20" t="str">
        <f t="shared" si="48"/>
        <v/>
      </c>
      <c r="AP130" s="20" t="str">
        <f t="shared" si="49"/>
        <v/>
      </c>
      <c r="AQ130" s="20" t="str">
        <f t="shared" si="50"/>
        <v/>
      </c>
      <c r="AR130" s="20" t="str">
        <f t="shared" si="51"/>
        <v/>
      </c>
      <c r="AS130" s="20" t="str">
        <f t="shared" si="52"/>
        <v/>
      </c>
      <c r="AT130" s="20" t="str">
        <f t="shared" si="53"/>
        <v/>
      </c>
      <c r="AU130" s="20" t="str">
        <f t="shared" si="54"/>
        <v/>
      </c>
      <c r="AV130" s="20" t="str">
        <f t="shared" si="55"/>
        <v/>
      </c>
      <c r="AW130" s="20" t="str">
        <f t="shared" si="56"/>
        <v/>
      </c>
      <c r="BD130" s="78" t="s">
        <v>233</v>
      </c>
      <c r="BE130" s="78" t="s">
        <v>593</v>
      </c>
      <c r="BF130" s="78" t="s">
        <v>755</v>
      </c>
      <c r="BG130" s="78" t="s">
        <v>595</v>
      </c>
      <c r="BH130" s="78" t="s">
        <v>58</v>
      </c>
      <c r="BI130" s="78" t="s">
        <v>756</v>
      </c>
      <c r="BJ130" s="78"/>
      <c r="BK130" s="78">
        <v>360447</v>
      </c>
      <c r="BL130" s="78" t="s">
        <v>753</v>
      </c>
      <c r="BM130" s="78" t="s">
        <v>757</v>
      </c>
      <c r="BN130" s="78" t="s">
        <v>308</v>
      </c>
      <c r="BO130" s="78" t="s">
        <v>758</v>
      </c>
      <c r="BP130" s="78" t="s">
        <v>636</v>
      </c>
      <c r="BQ130" s="78" t="s">
        <v>755</v>
      </c>
      <c r="BR130" s="78" t="s">
        <v>1026</v>
      </c>
      <c r="BS130" s="78" t="s">
        <v>517</v>
      </c>
      <c r="BT130" s="78"/>
      <c r="BU130" s="78"/>
      <c r="BV130" s="78" t="s">
        <v>58</v>
      </c>
      <c r="BW130" s="78"/>
      <c r="BX130" s="78">
        <v>802</v>
      </c>
      <c r="BY130" s="78">
        <v>202302</v>
      </c>
      <c r="BZ130" s="17" t="s">
        <v>970</v>
      </c>
      <c r="CA130" s="78"/>
      <c r="CB130" s="78" t="s">
        <v>58</v>
      </c>
      <c r="CC130" s="78" t="s">
        <v>759</v>
      </c>
      <c r="CD130" s="78" t="s">
        <v>760</v>
      </c>
      <c r="CE130" s="78" t="s">
        <v>76</v>
      </c>
      <c r="CF130" s="78" t="s">
        <v>1131</v>
      </c>
      <c r="CG130" s="78" t="s">
        <v>518</v>
      </c>
      <c r="CH130" s="78" t="s">
        <v>233</v>
      </c>
      <c r="CI130" s="78">
        <v>7541</v>
      </c>
      <c r="CJ130" s="78" t="b">
        <v>1</v>
      </c>
      <c r="CK130" s="78" t="b">
        <v>0</v>
      </c>
      <c r="CL130" s="78" t="b">
        <v>0</v>
      </c>
      <c r="CM130" s="78" t="b">
        <v>0</v>
      </c>
      <c r="CN130" s="78" t="b">
        <v>0</v>
      </c>
      <c r="CO130" s="78" t="s">
        <v>1133</v>
      </c>
      <c r="CW130" s="17" t="s">
        <v>333</v>
      </c>
      <c r="CX130" s="17" t="s">
        <v>59</v>
      </c>
    </row>
    <row r="131" spans="1:102" ht="16.5" x14ac:dyDescent="0.25">
      <c r="A131" s="97"/>
      <c r="B131" s="97"/>
      <c r="C131" s="97"/>
      <c r="D131" s="97"/>
      <c r="E131" s="97"/>
      <c r="F131" s="97"/>
      <c r="G131" s="98"/>
      <c r="H131" s="97"/>
      <c r="I131" s="97"/>
      <c r="J131" s="97"/>
      <c r="K131" s="97"/>
      <c r="L131" s="97"/>
      <c r="M131" s="97"/>
      <c r="N131" s="97"/>
      <c r="O131" s="97"/>
      <c r="P131" s="97"/>
      <c r="Q131" s="100"/>
      <c r="R131" s="101"/>
      <c r="S131" s="99"/>
      <c r="T131" s="99"/>
      <c r="U131" s="97"/>
      <c r="V131" s="20" t="str">
        <f t="shared" ref="V131:V194" si="58">IF(ISNA(VLOOKUP(J131&amp;H131&amp;I131&amp;L131&amp;K131,$BI:$CO,3,FALSE)),"",VLOOKUP(J131&amp;H131&amp;I131&amp;L131&amp;K131,$BI:$CO,3,FALSE))</f>
        <v/>
      </c>
      <c r="W131" s="20" t="str">
        <f t="shared" ref="W131:W194" si="59">IF(ISNA(VLOOKUP(J131&amp;H131&amp;I131&amp;L131&amp;K131,$BI:$CO,5,FALSE)),"",VLOOKUP(J131&amp;H131&amp;I131&amp;L131&amp;K131,$BI:$CO,5,FALSE))</f>
        <v/>
      </c>
      <c r="X131" s="20" t="str">
        <f t="shared" ref="X131:X194" si="60">IF(ISNA(VLOOKUP(J131&amp;H131&amp;I131&amp;L131&amp;K131,$BI:$CO,6,FALSE)),"",VLOOKUP(J131&amp;H131&amp;I131&amp;L131&amp;K131,$BI:$CO,6,FALSE))</f>
        <v/>
      </c>
      <c r="Y131" s="20" t="str">
        <f t="shared" ref="Y131:Y194" si="61">IF(ISNA(VLOOKUP(J131&amp;H131&amp;I131&amp;L131&amp;K131,$BI:$CO,10,FALSE)),"",VLOOKUP(J131&amp;H131&amp;I131&amp;L131&amp;K131,$BI:$CO,10,FALSE))</f>
        <v/>
      </c>
      <c r="Z131" s="20" t="str">
        <f t="shared" ref="Z131:Z194" si="62">IF(ISNA(VLOOKUP(J131&amp;H131&amp;I131&amp;L131&amp;K131,$BI:$CO,12,FALSE)),"",VLOOKUP(J131&amp;H131&amp;I131&amp;L131&amp;K131,$BI:$CO,12,FALSE))</f>
        <v/>
      </c>
      <c r="AA131" s="20" t="str">
        <f t="shared" ref="AA131:AA194" si="63">IF(ISNA(VLOOKUP(J131&amp;H131&amp;I131&amp;L131&amp;K131,$BI:$CO,7,FALSE)),"",VLOOKUP(J131&amp;H131&amp;I131&amp;L131&amp;K131,$BI:$CO,7,FALSE))</f>
        <v/>
      </c>
      <c r="AB131" s="20" t="str">
        <f t="shared" ref="AB131:AB194" si="64">IF(ISNA(VLOOKUP(J131&amp;H131&amp;I131&amp;L131&amp;K131,$BI:$CO,8,FALSE)),"",VLOOKUP(J131&amp;H131&amp;I131&amp;L131&amp;K131,$BI:$CO,8,FALSE))</f>
        <v/>
      </c>
      <c r="AC131" s="20" t="str">
        <f t="shared" ref="AC131:AC194" si="65">IF(ISNA(VLOOKUP(J131&amp;H131&amp;I131&amp;L131&amp;K131,$BI:$CO,9,FALSE)),"",VLOOKUP(J131&amp;H131&amp;I131&amp;L131&amp;K131,$BI:$CO,9,FALSE))</f>
        <v/>
      </c>
      <c r="AD131" s="20" t="str">
        <f t="shared" ref="AD131:AD194" si="66">IF(ISNA(VLOOKUP(J131&amp;H131&amp;I131&amp;L131&amp;K131,$BI:$CO,13,FALSE)),"",VLOOKUP(J131&amp;H131&amp;I131&amp;L131&amp;K131,$BI:$CO,13,FALSE))</f>
        <v/>
      </c>
      <c r="AE131" s="20" t="str">
        <f t="shared" ref="AE131:AE194" si="67">IF(ISNA(VLOOKUP(J131&amp;H131&amp;I131&amp;L131&amp;K131,$BI:$CO,11,FALSE)),"",VLOOKUP(J131&amp;H131&amp;I131&amp;L131&amp;K131,$BI:$CO,11,FALSE))</f>
        <v/>
      </c>
      <c r="AF131" s="20" t="str">
        <f t="shared" ref="AF131:AF194" si="68">IF(ISNA(VLOOKUP(J131&amp;H131&amp;I131&amp;L131&amp;K131,$BI:$CO,14,FALSE)),"",VLOOKUP(J131&amp;H131&amp;I131&amp;L131&amp;K131,$BI:$CO,14,FALSE))</f>
        <v/>
      </c>
      <c r="AG131" s="20" t="str">
        <f t="shared" ref="AG131:AG194" si="69">IF(ISNA(VLOOKUP(J131&amp;H131&amp;I131&amp;L131&amp;K131,$BI:$CO,16,FALSE)),"",VLOOKUP(J131&amp;H131&amp;I131&amp;L131&amp;K131,$BI:$CO,16,FALSE))</f>
        <v/>
      </c>
      <c r="AH131" s="20" t="str">
        <f t="shared" ref="AH131:AH194" si="70">IF(ISNA(VLOOKUP(J131&amp;H131&amp;I131&amp;L131&amp;K131,$BI:$CO,17,FALSE)),"",VLOOKUP(J131&amp;H131&amp;I131&amp;L131&amp;K131,$BI:$CO,17,FALSE))</f>
        <v/>
      </c>
      <c r="AI131" s="20" t="str">
        <f t="shared" ref="AI131:AI194" si="71">IF(ISNA(VLOOKUP(J131&amp;H131&amp;I131&amp;L131&amp;K131,$BI:$CO,18,FALSE)),"",VLOOKUP(J131&amp;H131&amp;I131&amp;L131&amp;K131,$BI:$CO,18,FALSE))</f>
        <v/>
      </c>
      <c r="AJ131" s="20" t="str">
        <f t="shared" ref="AJ131:AJ194" si="72">IF(ISNA(VLOOKUP(J131&amp;H131&amp;I131&amp;L131&amp;K131,$BI:$CO,20,FALSE)),"",VLOOKUP(J131&amp;H131&amp;I131&amp;L131&amp;K131,$BI:$CO,20,FALSE))</f>
        <v/>
      </c>
      <c r="AK131" s="20" t="str">
        <f t="shared" ref="AK131:AK194" si="73">IF(ISNA(VLOOKUP(J131&amp;H131&amp;I131&amp;L131&amp;K131,$BI:$CO,21,FALSE)),"",VLOOKUP(J131&amp;H131&amp;I131&amp;L131&amp;K131,$BI:$CO,21,FALSE))</f>
        <v/>
      </c>
      <c r="AL131" s="20" t="str">
        <f t="shared" ref="AL131:AL194" si="74">IF(ISNA(VLOOKUP(J131&amp;H131&amp;I131&amp;L131&amp;K131,$BI:$CO,22,FALSE)),"",VLOOKUP(J131&amp;H131&amp;I131&amp;L131&amp;K131,$BI:$CO,22,FALSE))</f>
        <v/>
      </c>
      <c r="AM131" s="20" t="str">
        <f t="shared" ref="AM131:AM194" si="75">IF(ISNA(VLOOKUP(J131&amp;H131&amp;I131&amp;L131&amp;K131,$BI:$CO,23,FALSE)),"",VLOOKUP(J131&amp;H131&amp;I131&amp;L131&amp;K131,$BI:$CO,23,FALSE))</f>
        <v/>
      </c>
      <c r="AN131" s="20" t="str">
        <f t="shared" ref="AN131:AN194" si="76">IF(ISNA(VLOOKUP(J131&amp;H131&amp;I131&amp;L131&amp;K131,$BI:$CO,24,FALSE)),"",VLOOKUP(J131&amp;H131&amp;I131&amp;L131&amp;K131,$BI:$CO,24,FALSE))</f>
        <v/>
      </c>
      <c r="AO131" s="20" t="str">
        <f t="shared" ref="AO131:AO194" si="77">IF(ISNA(VLOOKUP(J131&amp;H131&amp;I131&amp;L131&amp;K131,$BI:$CO,25,FALSE)),"",VLOOKUP(J131&amp;H131&amp;I131&amp;L131&amp;K131,$BI:$CO,25,FALSE))</f>
        <v/>
      </c>
      <c r="AP131" s="20" t="str">
        <f t="shared" ref="AP131:AP194" si="78">IF(ISNA(VLOOKUP(J131&amp;H131&amp;I131&amp;L131&amp;K131,$BI:$CO,26,FALSE)),"",VLOOKUP(J131&amp;H131&amp;I131&amp;L131&amp;K131,$BI:$CO,26,FALSE))</f>
        <v/>
      </c>
      <c r="AQ131" s="20" t="str">
        <f t="shared" ref="AQ131:AQ194" si="79">IF(ISNA(VLOOKUP(J131&amp;H131&amp;I131&amp;L131&amp;K131,$BI:$CO,28,FALSE)),"",VLOOKUP(J131&amp;H131&amp;I131&amp;L131&amp;K131,$BI:$CO,28,FALSE))</f>
        <v/>
      </c>
      <c r="AR131" s="20" t="str">
        <f t="shared" ref="AR131:AR194" si="80">IF(ISNA(VLOOKUP(J131&amp;H131&amp;I131&amp;L131&amp;K131,$BI:$CO,29,FALSE)),"",VLOOKUP(J131&amp;H131&amp;I131&amp;L131&amp;K131,$BI:$CO,29,FALSE))</f>
        <v/>
      </c>
      <c r="AS131" s="20" t="str">
        <f t="shared" ref="AS131:AS194" si="81">IF(ISNA(VLOOKUP(J131&amp;H131&amp;I131&amp;L131&amp;K131,$BI:$CO,30,FALSE)),"",VLOOKUP(J131&amp;H131&amp;I131&amp;L131&amp;K131,$BI:$CO,30,FALSE))</f>
        <v/>
      </c>
      <c r="AT131" s="20" t="str">
        <f t="shared" ref="AT131:AT194" si="82">IF(ISNA(VLOOKUP(J131&amp;H131&amp;I131&amp;L131&amp;K131,$BI:$CO,31,FALSE)),"",VLOOKUP(J131&amp;H131&amp;I131&amp;L131&amp;K131,$BI:$CO,31,FALSE))</f>
        <v/>
      </c>
      <c r="AU131" s="20" t="str">
        <f t="shared" ref="AU131:AU194" si="83">IF(ISNA(VLOOKUP(J131&amp;H131&amp;I131&amp;L131&amp;K131,$BI:$CO,32,FALSE)),"",VLOOKUP(J131&amp;H131&amp;I131&amp;L131&amp;K131,$BI:$CO,32,FALSE))</f>
        <v/>
      </c>
      <c r="AV131" s="20" t="str">
        <f t="shared" ref="AV131:AV194" si="84">IF(ISNA(VLOOKUP(J131&amp;H131&amp;I131&amp;L131&amp;K131,$BI:$CO,33,FALSE)),"",VLOOKUP(J131&amp;H131&amp;I131&amp;L131&amp;K131,$BI:$CO,33,FALSE))</f>
        <v/>
      </c>
      <c r="AW131" s="20" t="str">
        <f t="shared" ref="AW131:AW194" si="85">TRIM(N131)</f>
        <v/>
      </c>
      <c r="BD131" s="78" t="s">
        <v>233</v>
      </c>
      <c r="BE131" s="78" t="s">
        <v>593</v>
      </c>
      <c r="BF131" s="78" t="s">
        <v>755</v>
      </c>
      <c r="BG131" s="78" t="s">
        <v>596</v>
      </c>
      <c r="BH131" s="78" t="s">
        <v>92</v>
      </c>
      <c r="BI131" s="78" t="s">
        <v>761</v>
      </c>
      <c r="BJ131" s="78"/>
      <c r="BK131" s="78">
        <v>360449</v>
      </c>
      <c r="BL131" s="78" t="s">
        <v>754</v>
      </c>
      <c r="BM131" s="78" t="s">
        <v>546</v>
      </c>
      <c r="BN131" s="78" t="s">
        <v>308</v>
      </c>
      <c r="BO131" s="78" t="s">
        <v>758</v>
      </c>
      <c r="BP131" s="78" t="s">
        <v>636</v>
      </c>
      <c r="BQ131" s="78" t="s">
        <v>755</v>
      </c>
      <c r="BR131" s="78" t="s">
        <v>1026</v>
      </c>
      <c r="BS131" s="78" t="s">
        <v>517</v>
      </c>
      <c r="BT131" s="78"/>
      <c r="BU131" s="78"/>
      <c r="BV131" s="78" t="s">
        <v>83</v>
      </c>
      <c r="BW131" s="78"/>
      <c r="BX131" s="78">
        <v>803</v>
      </c>
      <c r="BY131" s="78">
        <v>202302</v>
      </c>
      <c r="BZ131" s="17" t="s">
        <v>970</v>
      </c>
      <c r="CA131" s="78"/>
      <c r="CB131" s="78" t="s">
        <v>83</v>
      </c>
      <c r="CC131" s="78" t="s">
        <v>759</v>
      </c>
      <c r="CD131" s="78" t="s">
        <v>760</v>
      </c>
      <c r="CE131" s="78" t="s">
        <v>76</v>
      </c>
      <c r="CF131" s="78" t="s">
        <v>1131</v>
      </c>
      <c r="CG131" s="78" t="s">
        <v>518</v>
      </c>
      <c r="CH131" s="78" t="s">
        <v>233</v>
      </c>
      <c r="CI131" s="78">
        <v>7541</v>
      </c>
      <c r="CJ131" s="78" t="b">
        <v>0</v>
      </c>
      <c r="CK131" s="78" t="b">
        <v>0</v>
      </c>
      <c r="CL131" s="78" t="b">
        <v>0</v>
      </c>
      <c r="CM131" s="78" t="b">
        <v>1</v>
      </c>
      <c r="CN131" s="78" t="b">
        <v>0</v>
      </c>
      <c r="CO131" s="78" t="s">
        <v>1133</v>
      </c>
      <c r="CW131" s="17" t="s">
        <v>334</v>
      </c>
      <c r="CX131" s="17" t="s">
        <v>59</v>
      </c>
    </row>
    <row r="132" spans="1:102" ht="16.5" x14ac:dyDescent="0.25">
      <c r="A132" s="97"/>
      <c r="B132" s="97"/>
      <c r="C132" s="97"/>
      <c r="D132" s="97"/>
      <c r="E132" s="97"/>
      <c r="F132" s="97"/>
      <c r="G132" s="98"/>
      <c r="H132" s="97"/>
      <c r="I132" s="97"/>
      <c r="J132" s="97"/>
      <c r="K132" s="97"/>
      <c r="L132" s="97"/>
      <c r="M132" s="97"/>
      <c r="N132" s="97"/>
      <c r="O132" s="97"/>
      <c r="P132" s="97"/>
      <c r="Q132" s="100"/>
      <c r="R132" s="101"/>
      <c r="S132" s="99"/>
      <c r="T132" s="99"/>
      <c r="U132" s="97"/>
      <c r="V132" s="20" t="str">
        <f t="shared" si="58"/>
        <v/>
      </c>
      <c r="W132" s="20" t="str">
        <f t="shared" si="59"/>
        <v/>
      </c>
      <c r="X132" s="20" t="str">
        <f t="shared" si="60"/>
        <v/>
      </c>
      <c r="Y132" s="20" t="str">
        <f t="shared" si="61"/>
        <v/>
      </c>
      <c r="Z132" s="20" t="str">
        <f t="shared" si="62"/>
        <v/>
      </c>
      <c r="AA132" s="20" t="str">
        <f t="shared" si="63"/>
        <v/>
      </c>
      <c r="AB132" s="20" t="str">
        <f t="shared" si="64"/>
        <v/>
      </c>
      <c r="AC132" s="20" t="str">
        <f t="shared" si="65"/>
        <v/>
      </c>
      <c r="AD132" s="20" t="str">
        <f t="shared" si="66"/>
        <v/>
      </c>
      <c r="AE132" s="20" t="str">
        <f t="shared" si="67"/>
        <v/>
      </c>
      <c r="AF132" s="20" t="str">
        <f t="shared" si="68"/>
        <v/>
      </c>
      <c r="AG132" s="20" t="str">
        <f t="shared" si="69"/>
        <v/>
      </c>
      <c r="AH132" s="20" t="str">
        <f t="shared" si="70"/>
        <v/>
      </c>
      <c r="AI132" s="20" t="str">
        <f t="shared" si="71"/>
        <v/>
      </c>
      <c r="AJ132" s="20" t="str">
        <f t="shared" si="72"/>
        <v/>
      </c>
      <c r="AK132" s="20" t="str">
        <f t="shared" si="73"/>
        <v/>
      </c>
      <c r="AL132" s="20" t="str">
        <f t="shared" si="74"/>
        <v/>
      </c>
      <c r="AM132" s="20" t="str">
        <f t="shared" si="75"/>
        <v/>
      </c>
      <c r="AN132" s="20" t="str">
        <f t="shared" si="76"/>
        <v/>
      </c>
      <c r="AO132" s="20" t="str">
        <f t="shared" si="77"/>
        <v/>
      </c>
      <c r="AP132" s="20" t="str">
        <f t="shared" si="78"/>
        <v/>
      </c>
      <c r="AQ132" s="20" t="str">
        <f t="shared" si="79"/>
        <v/>
      </c>
      <c r="AR132" s="20" t="str">
        <f t="shared" si="80"/>
        <v/>
      </c>
      <c r="AS132" s="20" t="str">
        <f t="shared" si="81"/>
        <v/>
      </c>
      <c r="AT132" s="20" t="str">
        <f t="shared" si="82"/>
        <v/>
      </c>
      <c r="AU132" s="20" t="str">
        <f t="shared" si="83"/>
        <v/>
      </c>
      <c r="AV132" s="20" t="str">
        <f t="shared" si="84"/>
        <v/>
      </c>
      <c r="AW132" s="20" t="str">
        <f t="shared" si="85"/>
        <v/>
      </c>
      <c r="BD132" s="78" t="s">
        <v>233</v>
      </c>
      <c r="BE132" s="78" t="s">
        <v>828</v>
      </c>
      <c r="BF132" s="78" t="s">
        <v>316</v>
      </c>
      <c r="BG132" s="78" t="s">
        <v>127</v>
      </c>
      <c r="BH132" s="78" t="s">
        <v>58</v>
      </c>
      <c r="BI132" s="78" t="s">
        <v>925</v>
      </c>
      <c r="BJ132" s="78"/>
      <c r="BK132" s="78" t="s">
        <v>748</v>
      </c>
      <c r="BL132" s="78" t="s">
        <v>748</v>
      </c>
      <c r="BM132" s="78" t="s">
        <v>497</v>
      </c>
      <c r="BN132" s="78" t="s">
        <v>308</v>
      </c>
      <c r="BO132" s="78" t="s">
        <v>237</v>
      </c>
      <c r="BP132" s="78" t="s">
        <v>636</v>
      </c>
      <c r="BQ132" s="78" t="s">
        <v>316</v>
      </c>
      <c r="BR132" s="78" t="s">
        <v>1039</v>
      </c>
      <c r="BS132" s="78" t="s">
        <v>52</v>
      </c>
      <c r="BT132" s="78"/>
      <c r="BU132" s="78" t="s">
        <v>70</v>
      </c>
      <c r="BV132" s="78"/>
      <c r="BW132" s="78"/>
      <c r="BX132" s="78">
        <v>823</v>
      </c>
      <c r="BY132" s="78">
        <v>204337</v>
      </c>
      <c r="BZ132" s="78"/>
      <c r="CA132" s="78"/>
      <c r="CB132" s="78" t="s">
        <v>58</v>
      </c>
      <c r="CC132" s="78" t="s">
        <v>749</v>
      </c>
      <c r="CD132" s="78" t="s">
        <v>750</v>
      </c>
      <c r="CE132" s="78" t="s">
        <v>76</v>
      </c>
      <c r="CF132" s="78" t="s">
        <v>1132</v>
      </c>
      <c r="CG132" s="78" t="s">
        <v>828</v>
      </c>
      <c r="CH132" s="78" t="s">
        <v>233</v>
      </c>
      <c r="CI132" s="78">
        <v>5256</v>
      </c>
      <c r="CJ132" s="78" t="b">
        <v>1</v>
      </c>
      <c r="CK132" s="78" t="b">
        <v>0</v>
      </c>
      <c r="CL132" s="78" t="b">
        <v>0</v>
      </c>
      <c r="CM132" s="78" t="b">
        <v>0</v>
      </c>
      <c r="CN132" s="78" t="b">
        <v>0</v>
      </c>
      <c r="CO132" s="78" t="s">
        <v>61</v>
      </c>
    </row>
    <row r="133" spans="1:102" ht="16.5" x14ac:dyDescent="0.25">
      <c r="A133" s="97"/>
      <c r="B133" s="97"/>
      <c r="C133" s="97"/>
      <c r="D133" s="97"/>
      <c r="E133" s="97"/>
      <c r="F133" s="97"/>
      <c r="G133" s="98"/>
      <c r="H133" s="97"/>
      <c r="I133" s="97"/>
      <c r="J133" s="97"/>
      <c r="K133" s="97"/>
      <c r="L133" s="97"/>
      <c r="M133" s="97"/>
      <c r="N133" s="97"/>
      <c r="O133" s="97"/>
      <c r="P133" s="97"/>
      <c r="Q133" s="100"/>
      <c r="R133" s="101"/>
      <c r="S133" s="99"/>
      <c r="T133" s="99"/>
      <c r="U133" s="97"/>
      <c r="V133" s="20" t="str">
        <f t="shared" si="58"/>
        <v/>
      </c>
      <c r="W133" s="20" t="str">
        <f t="shared" si="59"/>
        <v/>
      </c>
      <c r="X133" s="20" t="str">
        <f t="shared" si="60"/>
        <v/>
      </c>
      <c r="Y133" s="20" t="str">
        <f t="shared" si="61"/>
        <v/>
      </c>
      <c r="Z133" s="20" t="str">
        <f t="shared" si="62"/>
        <v/>
      </c>
      <c r="AA133" s="20" t="str">
        <f t="shared" si="63"/>
        <v/>
      </c>
      <c r="AB133" s="20" t="str">
        <f t="shared" si="64"/>
        <v/>
      </c>
      <c r="AC133" s="20" t="str">
        <f t="shared" si="65"/>
        <v/>
      </c>
      <c r="AD133" s="20" t="str">
        <f t="shared" si="66"/>
        <v/>
      </c>
      <c r="AE133" s="20" t="str">
        <f t="shared" si="67"/>
        <v/>
      </c>
      <c r="AF133" s="20" t="str">
        <f t="shared" si="68"/>
        <v/>
      </c>
      <c r="AG133" s="20" t="str">
        <f t="shared" si="69"/>
        <v/>
      </c>
      <c r="AH133" s="20" t="str">
        <f t="shared" si="70"/>
        <v/>
      </c>
      <c r="AI133" s="20" t="str">
        <f t="shared" si="71"/>
        <v/>
      </c>
      <c r="AJ133" s="20" t="str">
        <f t="shared" si="72"/>
        <v/>
      </c>
      <c r="AK133" s="20" t="str">
        <f t="shared" si="73"/>
        <v/>
      </c>
      <c r="AL133" s="20" t="str">
        <f t="shared" si="74"/>
        <v/>
      </c>
      <c r="AM133" s="20" t="str">
        <f t="shared" si="75"/>
        <v/>
      </c>
      <c r="AN133" s="20" t="str">
        <f t="shared" si="76"/>
        <v/>
      </c>
      <c r="AO133" s="20" t="str">
        <f t="shared" si="77"/>
        <v/>
      </c>
      <c r="AP133" s="20" t="str">
        <f t="shared" si="78"/>
        <v/>
      </c>
      <c r="AQ133" s="20" t="str">
        <f t="shared" si="79"/>
        <v/>
      </c>
      <c r="AR133" s="20" t="str">
        <f t="shared" si="80"/>
        <v/>
      </c>
      <c r="AS133" s="20" t="str">
        <f t="shared" si="81"/>
        <v/>
      </c>
      <c r="AT133" s="20" t="str">
        <f t="shared" si="82"/>
        <v/>
      </c>
      <c r="AU133" s="20" t="str">
        <f t="shared" si="83"/>
        <v/>
      </c>
      <c r="AV133" s="20" t="str">
        <f t="shared" si="84"/>
        <v/>
      </c>
      <c r="AW133" s="20" t="str">
        <f t="shared" si="85"/>
        <v/>
      </c>
      <c r="BD133" s="78" t="s">
        <v>233</v>
      </c>
      <c r="BE133" s="78" t="s">
        <v>828</v>
      </c>
      <c r="BF133" s="78" t="s">
        <v>316</v>
      </c>
      <c r="BG133" s="78" t="s">
        <v>596</v>
      </c>
      <c r="BH133" s="78" t="s">
        <v>147</v>
      </c>
      <c r="BI133" s="78" t="s">
        <v>926</v>
      </c>
      <c r="BJ133" s="78"/>
      <c r="BK133" s="78" t="s">
        <v>751</v>
      </c>
      <c r="BL133" s="78" t="s">
        <v>751</v>
      </c>
      <c r="BM133" s="78" t="s">
        <v>337</v>
      </c>
      <c r="BN133" s="78" t="s">
        <v>308</v>
      </c>
      <c r="BO133" s="78" t="s">
        <v>237</v>
      </c>
      <c r="BP133" s="78" t="s">
        <v>636</v>
      </c>
      <c r="BQ133" s="78" t="s">
        <v>316</v>
      </c>
      <c r="BR133" s="78"/>
      <c r="BS133" s="78" t="s">
        <v>52</v>
      </c>
      <c r="BT133" s="78"/>
      <c r="BU133" s="78" t="s">
        <v>70</v>
      </c>
      <c r="BV133" s="78"/>
      <c r="BW133" s="78"/>
      <c r="BX133" s="78">
        <v>124</v>
      </c>
      <c r="BY133" s="78">
        <v>204337</v>
      </c>
      <c r="BZ133" s="78"/>
      <c r="CA133" s="78"/>
      <c r="CB133" s="78" t="s">
        <v>83</v>
      </c>
      <c r="CC133" s="78" t="s">
        <v>749</v>
      </c>
      <c r="CD133" s="78" t="s">
        <v>750</v>
      </c>
      <c r="CE133" s="78" t="s">
        <v>76</v>
      </c>
      <c r="CF133" s="78" t="s">
        <v>1132</v>
      </c>
      <c r="CG133" s="78" t="s">
        <v>828</v>
      </c>
      <c r="CH133" s="78" t="s">
        <v>233</v>
      </c>
      <c r="CI133" s="78">
        <v>5256</v>
      </c>
      <c r="CJ133" s="78" t="b">
        <v>0</v>
      </c>
      <c r="CK133" s="78" t="b">
        <v>0</v>
      </c>
      <c r="CL133" s="78" t="b">
        <v>0</v>
      </c>
      <c r="CM133" s="78" t="b">
        <v>1</v>
      </c>
      <c r="CN133" s="78" t="b">
        <v>0</v>
      </c>
      <c r="CO133" s="78" t="s">
        <v>61</v>
      </c>
    </row>
    <row r="134" spans="1:102" ht="16.5" x14ac:dyDescent="0.25">
      <c r="A134" s="97"/>
      <c r="B134" s="97"/>
      <c r="C134" s="97"/>
      <c r="D134" s="97"/>
      <c r="E134" s="97"/>
      <c r="F134" s="97"/>
      <c r="G134" s="98"/>
      <c r="H134" s="97"/>
      <c r="I134" s="97"/>
      <c r="J134" s="97"/>
      <c r="K134" s="97"/>
      <c r="L134" s="97"/>
      <c r="M134" s="97"/>
      <c r="N134" s="97"/>
      <c r="O134" s="97"/>
      <c r="P134" s="97"/>
      <c r="Q134" s="100"/>
      <c r="R134" s="101"/>
      <c r="S134" s="99"/>
      <c r="T134" s="99"/>
      <c r="U134" s="97"/>
      <c r="V134" s="20" t="str">
        <f t="shared" si="58"/>
        <v/>
      </c>
      <c r="W134" s="20" t="str">
        <f t="shared" si="59"/>
        <v/>
      </c>
      <c r="X134" s="20" t="str">
        <f t="shared" si="60"/>
        <v/>
      </c>
      <c r="Y134" s="20" t="str">
        <f t="shared" si="61"/>
        <v/>
      </c>
      <c r="Z134" s="20" t="str">
        <f t="shared" si="62"/>
        <v/>
      </c>
      <c r="AA134" s="20" t="str">
        <f t="shared" si="63"/>
        <v/>
      </c>
      <c r="AB134" s="20" t="str">
        <f t="shared" si="64"/>
        <v/>
      </c>
      <c r="AC134" s="20" t="str">
        <f t="shared" si="65"/>
        <v/>
      </c>
      <c r="AD134" s="20" t="str">
        <f t="shared" si="66"/>
        <v/>
      </c>
      <c r="AE134" s="20" t="str">
        <f t="shared" si="67"/>
        <v/>
      </c>
      <c r="AF134" s="20" t="str">
        <f t="shared" si="68"/>
        <v/>
      </c>
      <c r="AG134" s="20" t="str">
        <f t="shared" si="69"/>
        <v/>
      </c>
      <c r="AH134" s="20" t="str">
        <f t="shared" si="70"/>
        <v/>
      </c>
      <c r="AI134" s="20" t="str">
        <f t="shared" si="71"/>
        <v/>
      </c>
      <c r="AJ134" s="20" t="str">
        <f t="shared" si="72"/>
        <v/>
      </c>
      <c r="AK134" s="20" t="str">
        <f t="shared" si="73"/>
        <v/>
      </c>
      <c r="AL134" s="20" t="str">
        <f t="shared" si="74"/>
        <v/>
      </c>
      <c r="AM134" s="20" t="str">
        <f t="shared" si="75"/>
        <v/>
      </c>
      <c r="AN134" s="20" t="str">
        <f t="shared" si="76"/>
        <v/>
      </c>
      <c r="AO134" s="20" t="str">
        <f t="shared" si="77"/>
        <v/>
      </c>
      <c r="AP134" s="20" t="str">
        <f t="shared" si="78"/>
        <v/>
      </c>
      <c r="AQ134" s="20" t="str">
        <f t="shared" si="79"/>
        <v/>
      </c>
      <c r="AR134" s="20" t="str">
        <f t="shared" si="80"/>
        <v/>
      </c>
      <c r="AS134" s="20" t="str">
        <f t="shared" si="81"/>
        <v/>
      </c>
      <c r="AT134" s="20" t="str">
        <f t="shared" si="82"/>
        <v/>
      </c>
      <c r="AU134" s="20" t="str">
        <f t="shared" si="83"/>
        <v/>
      </c>
      <c r="AV134" s="20" t="str">
        <f t="shared" si="84"/>
        <v/>
      </c>
      <c r="AW134" s="20" t="str">
        <f t="shared" si="85"/>
        <v/>
      </c>
      <c r="BD134" s="78" t="s">
        <v>233</v>
      </c>
      <c r="BE134" s="78" t="s">
        <v>828</v>
      </c>
      <c r="BF134" s="78" t="s">
        <v>316</v>
      </c>
      <c r="BG134" s="78" t="s">
        <v>596</v>
      </c>
      <c r="BH134" s="78" t="s">
        <v>92</v>
      </c>
      <c r="BI134" s="78" t="s">
        <v>927</v>
      </c>
      <c r="BJ134" s="78"/>
      <c r="BK134" s="78" t="s">
        <v>752</v>
      </c>
      <c r="BL134" s="78" t="s">
        <v>752</v>
      </c>
      <c r="BM134" s="78" t="s">
        <v>498</v>
      </c>
      <c r="BN134" s="78" t="s">
        <v>308</v>
      </c>
      <c r="BO134" s="78" t="s">
        <v>237</v>
      </c>
      <c r="BP134" s="78" t="s">
        <v>636</v>
      </c>
      <c r="BQ134" s="78" t="s">
        <v>316</v>
      </c>
      <c r="BR134" s="78"/>
      <c r="BS134" s="78" t="s">
        <v>52</v>
      </c>
      <c r="BT134" s="78"/>
      <c r="BU134" s="78" t="s">
        <v>70</v>
      </c>
      <c r="BV134" s="78"/>
      <c r="BW134" s="78"/>
      <c r="BX134" s="78">
        <v>124</v>
      </c>
      <c r="BY134" s="78">
        <v>204337</v>
      </c>
      <c r="BZ134" s="78"/>
      <c r="CA134" s="78"/>
      <c r="CB134" s="78" t="s">
        <v>83</v>
      </c>
      <c r="CC134" s="78" t="s">
        <v>749</v>
      </c>
      <c r="CD134" s="78" t="s">
        <v>750</v>
      </c>
      <c r="CE134" s="78" t="s">
        <v>76</v>
      </c>
      <c r="CF134" s="78" t="s">
        <v>1132</v>
      </c>
      <c r="CG134" s="78" t="s">
        <v>828</v>
      </c>
      <c r="CH134" s="78" t="s">
        <v>233</v>
      </c>
      <c r="CI134" s="78">
        <v>5256</v>
      </c>
      <c r="CJ134" s="78" t="b">
        <v>0</v>
      </c>
      <c r="CK134" s="78" t="b">
        <v>0</v>
      </c>
      <c r="CL134" s="78" t="b">
        <v>0</v>
      </c>
      <c r="CM134" s="78" t="b">
        <v>1</v>
      </c>
      <c r="CN134" s="78" t="b">
        <v>0</v>
      </c>
      <c r="CO134" s="78" t="s">
        <v>61</v>
      </c>
    </row>
    <row r="135" spans="1:102" ht="16.5" x14ac:dyDescent="0.25">
      <c r="A135" s="97"/>
      <c r="B135" s="97"/>
      <c r="C135" s="97"/>
      <c r="D135" s="97"/>
      <c r="E135" s="97"/>
      <c r="F135" s="97"/>
      <c r="G135" s="98"/>
      <c r="H135" s="97"/>
      <c r="I135" s="97"/>
      <c r="J135" s="97"/>
      <c r="K135" s="97"/>
      <c r="L135" s="97"/>
      <c r="M135" s="97"/>
      <c r="N135" s="97"/>
      <c r="O135" s="97"/>
      <c r="P135" s="97"/>
      <c r="Q135" s="100"/>
      <c r="R135" s="101"/>
      <c r="S135" s="99"/>
      <c r="T135" s="99"/>
      <c r="U135" s="97"/>
      <c r="V135" s="20" t="str">
        <f t="shared" si="58"/>
        <v/>
      </c>
      <c r="W135" s="20" t="str">
        <f t="shared" si="59"/>
        <v/>
      </c>
      <c r="X135" s="20" t="str">
        <f t="shared" si="60"/>
        <v/>
      </c>
      <c r="Y135" s="20" t="str">
        <f t="shared" si="61"/>
        <v/>
      </c>
      <c r="Z135" s="20" t="str">
        <f t="shared" si="62"/>
        <v/>
      </c>
      <c r="AA135" s="20" t="str">
        <f t="shared" si="63"/>
        <v/>
      </c>
      <c r="AB135" s="20" t="str">
        <f t="shared" si="64"/>
        <v/>
      </c>
      <c r="AC135" s="20" t="str">
        <f t="shared" si="65"/>
        <v/>
      </c>
      <c r="AD135" s="20" t="str">
        <f t="shared" si="66"/>
        <v/>
      </c>
      <c r="AE135" s="20" t="str">
        <f t="shared" si="67"/>
        <v/>
      </c>
      <c r="AF135" s="20" t="str">
        <f t="shared" si="68"/>
        <v/>
      </c>
      <c r="AG135" s="20" t="str">
        <f t="shared" si="69"/>
        <v/>
      </c>
      <c r="AH135" s="20" t="str">
        <f t="shared" si="70"/>
        <v/>
      </c>
      <c r="AI135" s="20" t="str">
        <f t="shared" si="71"/>
        <v/>
      </c>
      <c r="AJ135" s="20" t="str">
        <f t="shared" si="72"/>
        <v/>
      </c>
      <c r="AK135" s="20" t="str">
        <f t="shared" si="73"/>
        <v/>
      </c>
      <c r="AL135" s="20" t="str">
        <f t="shared" si="74"/>
        <v/>
      </c>
      <c r="AM135" s="20" t="str">
        <f t="shared" si="75"/>
        <v/>
      </c>
      <c r="AN135" s="20" t="str">
        <f t="shared" si="76"/>
        <v/>
      </c>
      <c r="AO135" s="20" t="str">
        <f t="shared" si="77"/>
        <v/>
      </c>
      <c r="AP135" s="20" t="str">
        <f t="shared" si="78"/>
        <v/>
      </c>
      <c r="AQ135" s="20" t="str">
        <f t="shared" si="79"/>
        <v/>
      </c>
      <c r="AR135" s="20" t="str">
        <f t="shared" si="80"/>
        <v/>
      </c>
      <c r="AS135" s="20" t="str">
        <f t="shared" si="81"/>
        <v/>
      </c>
      <c r="AT135" s="20" t="str">
        <f t="shared" si="82"/>
        <v/>
      </c>
      <c r="AU135" s="20" t="str">
        <f t="shared" si="83"/>
        <v/>
      </c>
      <c r="AV135" s="20" t="str">
        <f t="shared" si="84"/>
        <v/>
      </c>
      <c r="AW135" s="20" t="str">
        <f t="shared" si="85"/>
        <v/>
      </c>
      <c r="BD135" s="78" t="s">
        <v>727</v>
      </c>
      <c r="BE135" s="78" t="s">
        <v>828</v>
      </c>
      <c r="BF135" s="78" t="s">
        <v>547</v>
      </c>
      <c r="BG135" s="78" t="s">
        <v>595</v>
      </c>
      <c r="BH135" s="78" t="s">
        <v>58</v>
      </c>
      <c r="BI135" s="78" t="s">
        <v>928</v>
      </c>
      <c r="BJ135" s="78"/>
      <c r="BK135" s="78" t="s">
        <v>728</v>
      </c>
      <c r="BL135" s="78" t="s">
        <v>728</v>
      </c>
      <c r="BM135" s="78" t="s">
        <v>729</v>
      </c>
      <c r="BN135" s="78" t="s">
        <v>730</v>
      </c>
      <c r="BO135" s="78" t="s">
        <v>86</v>
      </c>
      <c r="BP135" s="78" t="s">
        <v>636</v>
      </c>
      <c r="BQ135" s="78" t="s">
        <v>547</v>
      </c>
      <c r="BR135" s="78" t="s">
        <v>1040</v>
      </c>
      <c r="BS135" s="78" t="s">
        <v>715</v>
      </c>
      <c r="BT135" s="78"/>
      <c r="BU135" s="78" t="s">
        <v>70</v>
      </c>
      <c r="BV135" s="78"/>
      <c r="BW135" s="78"/>
      <c r="BX135" s="78">
        <v>822</v>
      </c>
      <c r="BY135" s="78">
        <v>204334</v>
      </c>
      <c r="BZ135" s="78"/>
      <c r="CA135" s="78"/>
      <c r="CB135" s="78" t="s">
        <v>58</v>
      </c>
      <c r="CC135" s="78" t="s">
        <v>569</v>
      </c>
      <c r="CD135" s="78" t="s">
        <v>579</v>
      </c>
      <c r="CE135" s="78" t="s">
        <v>76</v>
      </c>
      <c r="CF135" s="78" t="s">
        <v>1132</v>
      </c>
      <c r="CG135" s="78" t="s">
        <v>828</v>
      </c>
      <c r="CH135" s="78" t="s">
        <v>727</v>
      </c>
      <c r="CI135" s="78">
        <v>7245</v>
      </c>
      <c r="CJ135" s="78" t="b">
        <v>1</v>
      </c>
      <c r="CK135" s="78" t="b">
        <v>0</v>
      </c>
      <c r="CL135" s="78" t="b">
        <v>0</v>
      </c>
      <c r="CM135" s="78" t="b">
        <v>0</v>
      </c>
      <c r="CN135" s="78" t="b">
        <v>0</v>
      </c>
      <c r="CO135" s="78" t="s">
        <v>61</v>
      </c>
    </row>
    <row r="136" spans="1:102" ht="16.5" x14ac:dyDescent="0.25">
      <c r="A136" s="97"/>
      <c r="B136" s="97"/>
      <c r="C136" s="97"/>
      <c r="D136" s="97"/>
      <c r="E136" s="97"/>
      <c r="F136" s="97"/>
      <c r="G136" s="98"/>
      <c r="H136" s="97"/>
      <c r="I136" s="97"/>
      <c r="J136" s="97"/>
      <c r="K136" s="97"/>
      <c r="L136" s="97"/>
      <c r="M136" s="97"/>
      <c r="N136" s="97"/>
      <c r="O136" s="97"/>
      <c r="P136" s="97"/>
      <c r="Q136" s="100"/>
      <c r="R136" s="101"/>
      <c r="S136" s="99"/>
      <c r="T136" s="99"/>
      <c r="U136" s="97"/>
      <c r="V136" s="20" t="str">
        <f t="shared" si="58"/>
        <v/>
      </c>
      <c r="W136" s="20" t="str">
        <f t="shared" si="59"/>
        <v/>
      </c>
      <c r="X136" s="20" t="str">
        <f t="shared" si="60"/>
        <v/>
      </c>
      <c r="Y136" s="20" t="str">
        <f t="shared" si="61"/>
        <v/>
      </c>
      <c r="Z136" s="20" t="str">
        <f t="shared" si="62"/>
        <v/>
      </c>
      <c r="AA136" s="20" t="str">
        <f t="shared" si="63"/>
        <v/>
      </c>
      <c r="AB136" s="20" t="str">
        <f t="shared" si="64"/>
        <v/>
      </c>
      <c r="AC136" s="20" t="str">
        <f t="shared" si="65"/>
        <v/>
      </c>
      <c r="AD136" s="20" t="str">
        <f t="shared" si="66"/>
        <v/>
      </c>
      <c r="AE136" s="20" t="str">
        <f t="shared" si="67"/>
        <v/>
      </c>
      <c r="AF136" s="20" t="str">
        <f t="shared" si="68"/>
        <v/>
      </c>
      <c r="AG136" s="20" t="str">
        <f t="shared" si="69"/>
        <v/>
      </c>
      <c r="AH136" s="20" t="str">
        <f t="shared" si="70"/>
        <v/>
      </c>
      <c r="AI136" s="20" t="str">
        <f t="shared" si="71"/>
        <v/>
      </c>
      <c r="AJ136" s="20" t="str">
        <f t="shared" si="72"/>
        <v/>
      </c>
      <c r="AK136" s="20" t="str">
        <f t="shared" si="73"/>
        <v/>
      </c>
      <c r="AL136" s="20" t="str">
        <f t="shared" si="74"/>
        <v/>
      </c>
      <c r="AM136" s="20" t="str">
        <f t="shared" si="75"/>
        <v/>
      </c>
      <c r="AN136" s="20" t="str">
        <f t="shared" si="76"/>
        <v/>
      </c>
      <c r="AO136" s="20" t="str">
        <f t="shared" si="77"/>
        <v/>
      </c>
      <c r="AP136" s="20" t="str">
        <f t="shared" si="78"/>
        <v/>
      </c>
      <c r="AQ136" s="20" t="str">
        <f t="shared" si="79"/>
        <v/>
      </c>
      <c r="AR136" s="20" t="str">
        <f t="shared" si="80"/>
        <v/>
      </c>
      <c r="AS136" s="20" t="str">
        <f t="shared" si="81"/>
        <v/>
      </c>
      <c r="AT136" s="20" t="str">
        <f t="shared" si="82"/>
        <v/>
      </c>
      <c r="AU136" s="20" t="str">
        <f t="shared" si="83"/>
        <v/>
      </c>
      <c r="AV136" s="20" t="str">
        <f t="shared" si="84"/>
        <v/>
      </c>
      <c r="AW136" s="20" t="str">
        <f t="shared" si="85"/>
        <v/>
      </c>
      <c r="BD136" s="78" t="s">
        <v>727</v>
      </c>
      <c r="BE136" s="78" t="s">
        <v>828</v>
      </c>
      <c r="BF136" s="78" t="s">
        <v>547</v>
      </c>
      <c r="BG136" s="78" t="s">
        <v>596</v>
      </c>
      <c r="BH136" s="78" t="s">
        <v>147</v>
      </c>
      <c r="BI136" s="78" t="s">
        <v>929</v>
      </c>
      <c r="BJ136" s="78"/>
      <c r="BK136" s="78" t="s">
        <v>731</v>
      </c>
      <c r="BL136" s="78" t="s">
        <v>731</v>
      </c>
      <c r="BM136" s="78" t="s">
        <v>732</v>
      </c>
      <c r="BN136" s="78" t="s">
        <v>730</v>
      </c>
      <c r="BO136" s="78" t="s">
        <v>86</v>
      </c>
      <c r="BP136" s="78" t="s">
        <v>636</v>
      </c>
      <c r="BQ136" s="78" t="s">
        <v>547</v>
      </c>
      <c r="BR136" s="78"/>
      <c r="BS136" s="78" t="s">
        <v>715</v>
      </c>
      <c r="BT136" s="78"/>
      <c r="BU136" s="78" t="s">
        <v>70</v>
      </c>
      <c r="BV136" s="78"/>
      <c r="BW136" s="78"/>
      <c r="BX136" s="78">
        <v>124</v>
      </c>
      <c r="BY136" s="78">
        <v>204334</v>
      </c>
      <c r="BZ136" s="78"/>
      <c r="CA136" s="78"/>
      <c r="CB136" s="78" t="s">
        <v>83</v>
      </c>
      <c r="CC136" s="78" t="s">
        <v>569</v>
      </c>
      <c r="CD136" s="78" t="s">
        <v>579</v>
      </c>
      <c r="CE136" s="78" t="s">
        <v>76</v>
      </c>
      <c r="CF136" s="78" t="s">
        <v>1132</v>
      </c>
      <c r="CG136" s="78" t="s">
        <v>828</v>
      </c>
      <c r="CH136" s="78" t="s">
        <v>727</v>
      </c>
      <c r="CI136" s="78">
        <v>7245</v>
      </c>
      <c r="CJ136" s="78" t="b">
        <v>0</v>
      </c>
      <c r="CK136" s="78" t="b">
        <v>0</v>
      </c>
      <c r="CL136" s="78" t="b">
        <v>0</v>
      </c>
      <c r="CM136" s="78" t="b">
        <v>1</v>
      </c>
      <c r="CN136" s="78" t="b">
        <v>0</v>
      </c>
      <c r="CO136" s="78" t="s">
        <v>61</v>
      </c>
    </row>
    <row r="137" spans="1:102" ht="16.5" x14ac:dyDescent="0.25">
      <c r="A137" s="97"/>
      <c r="B137" s="97"/>
      <c r="C137" s="97"/>
      <c r="D137" s="97"/>
      <c r="E137" s="97"/>
      <c r="F137" s="97"/>
      <c r="G137" s="98"/>
      <c r="H137" s="97"/>
      <c r="I137" s="97"/>
      <c r="J137" s="97"/>
      <c r="K137" s="97"/>
      <c r="L137" s="97"/>
      <c r="M137" s="97"/>
      <c r="N137" s="97"/>
      <c r="O137" s="97"/>
      <c r="P137" s="97"/>
      <c r="Q137" s="100"/>
      <c r="R137" s="101"/>
      <c r="S137" s="99"/>
      <c r="T137" s="99"/>
      <c r="U137" s="97"/>
      <c r="V137" s="20" t="str">
        <f t="shared" si="58"/>
        <v/>
      </c>
      <c r="W137" s="20" t="str">
        <f t="shared" si="59"/>
        <v/>
      </c>
      <c r="X137" s="20" t="str">
        <f t="shared" si="60"/>
        <v/>
      </c>
      <c r="Y137" s="20" t="str">
        <f t="shared" si="61"/>
        <v/>
      </c>
      <c r="Z137" s="20" t="str">
        <f t="shared" si="62"/>
        <v/>
      </c>
      <c r="AA137" s="20" t="str">
        <f t="shared" si="63"/>
        <v/>
      </c>
      <c r="AB137" s="20" t="str">
        <f t="shared" si="64"/>
        <v/>
      </c>
      <c r="AC137" s="20" t="str">
        <f t="shared" si="65"/>
        <v/>
      </c>
      <c r="AD137" s="20" t="str">
        <f t="shared" si="66"/>
        <v/>
      </c>
      <c r="AE137" s="20" t="str">
        <f t="shared" si="67"/>
        <v/>
      </c>
      <c r="AF137" s="20" t="str">
        <f t="shared" si="68"/>
        <v/>
      </c>
      <c r="AG137" s="20" t="str">
        <f t="shared" si="69"/>
        <v/>
      </c>
      <c r="AH137" s="20" t="str">
        <f t="shared" si="70"/>
        <v/>
      </c>
      <c r="AI137" s="20" t="str">
        <f t="shared" si="71"/>
        <v/>
      </c>
      <c r="AJ137" s="20" t="str">
        <f t="shared" si="72"/>
        <v/>
      </c>
      <c r="AK137" s="20" t="str">
        <f t="shared" si="73"/>
        <v/>
      </c>
      <c r="AL137" s="20" t="str">
        <f t="shared" si="74"/>
        <v/>
      </c>
      <c r="AM137" s="20" t="str">
        <f t="shared" si="75"/>
        <v/>
      </c>
      <c r="AN137" s="20" t="str">
        <f t="shared" si="76"/>
        <v/>
      </c>
      <c r="AO137" s="20" t="str">
        <f t="shared" si="77"/>
        <v/>
      </c>
      <c r="AP137" s="20" t="str">
        <f t="shared" si="78"/>
        <v/>
      </c>
      <c r="AQ137" s="20" t="str">
        <f t="shared" si="79"/>
        <v/>
      </c>
      <c r="AR137" s="20" t="str">
        <f t="shared" si="80"/>
        <v/>
      </c>
      <c r="AS137" s="20" t="str">
        <f t="shared" si="81"/>
        <v/>
      </c>
      <c r="AT137" s="20" t="str">
        <f t="shared" si="82"/>
        <v/>
      </c>
      <c r="AU137" s="20" t="str">
        <f t="shared" si="83"/>
        <v/>
      </c>
      <c r="AV137" s="20" t="str">
        <f t="shared" si="84"/>
        <v/>
      </c>
      <c r="AW137" s="20" t="str">
        <f t="shared" si="85"/>
        <v/>
      </c>
      <c r="BD137" s="78" t="s">
        <v>727</v>
      </c>
      <c r="BE137" s="78" t="s">
        <v>828</v>
      </c>
      <c r="BF137" s="78" t="s">
        <v>547</v>
      </c>
      <c r="BG137" s="78" t="s">
        <v>596</v>
      </c>
      <c r="BH137" s="78" t="s">
        <v>92</v>
      </c>
      <c r="BI137" s="78" t="s">
        <v>930</v>
      </c>
      <c r="BJ137" s="78"/>
      <c r="BK137" s="78" t="s">
        <v>733</v>
      </c>
      <c r="BL137" s="78" t="s">
        <v>733</v>
      </c>
      <c r="BM137" s="78" t="s">
        <v>734</v>
      </c>
      <c r="BN137" s="78" t="s">
        <v>730</v>
      </c>
      <c r="BO137" s="78" t="s">
        <v>86</v>
      </c>
      <c r="BP137" s="78" t="s">
        <v>636</v>
      </c>
      <c r="BQ137" s="78" t="s">
        <v>547</v>
      </c>
      <c r="BR137" s="78" t="s">
        <v>1040</v>
      </c>
      <c r="BS137" s="78" t="s">
        <v>715</v>
      </c>
      <c r="BT137" s="78"/>
      <c r="BU137" s="78" t="s">
        <v>70</v>
      </c>
      <c r="BV137" s="78"/>
      <c r="BW137" s="78"/>
      <c r="BX137" s="78">
        <v>124</v>
      </c>
      <c r="BY137" s="78">
        <v>204334</v>
      </c>
      <c r="BZ137" s="78"/>
      <c r="CA137" s="78"/>
      <c r="CB137" s="78" t="s">
        <v>83</v>
      </c>
      <c r="CC137" s="78" t="s">
        <v>569</v>
      </c>
      <c r="CD137" s="78" t="s">
        <v>579</v>
      </c>
      <c r="CE137" s="78" t="s">
        <v>76</v>
      </c>
      <c r="CF137" s="78" t="s">
        <v>1132</v>
      </c>
      <c r="CG137" s="78" t="s">
        <v>828</v>
      </c>
      <c r="CH137" s="78" t="s">
        <v>727</v>
      </c>
      <c r="CI137" s="78">
        <v>7245</v>
      </c>
      <c r="CJ137" s="78" t="b">
        <v>0</v>
      </c>
      <c r="CK137" s="78" t="b">
        <v>0</v>
      </c>
      <c r="CL137" s="78" t="b">
        <v>0</v>
      </c>
      <c r="CM137" s="78" t="b">
        <v>1</v>
      </c>
      <c r="CN137" s="78" t="b">
        <v>0</v>
      </c>
      <c r="CO137" s="78" t="s">
        <v>61</v>
      </c>
    </row>
    <row r="138" spans="1:102" ht="16.5" x14ac:dyDescent="0.25">
      <c r="A138" s="97"/>
      <c r="B138" s="97"/>
      <c r="C138" s="97"/>
      <c r="D138" s="97"/>
      <c r="E138" s="97"/>
      <c r="F138" s="97"/>
      <c r="G138" s="98"/>
      <c r="H138" s="97"/>
      <c r="I138" s="97"/>
      <c r="J138" s="97"/>
      <c r="K138" s="97"/>
      <c r="L138" s="97"/>
      <c r="M138" s="97"/>
      <c r="N138" s="97"/>
      <c r="O138" s="97"/>
      <c r="P138" s="97"/>
      <c r="Q138" s="100"/>
      <c r="R138" s="101"/>
      <c r="S138" s="99"/>
      <c r="T138" s="99"/>
      <c r="U138" s="97"/>
      <c r="V138" s="20" t="str">
        <f t="shared" si="58"/>
        <v/>
      </c>
      <c r="W138" s="20" t="str">
        <f t="shared" si="59"/>
        <v/>
      </c>
      <c r="X138" s="20" t="str">
        <f t="shared" si="60"/>
        <v/>
      </c>
      <c r="Y138" s="20" t="str">
        <f t="shared" si="61"/>
        <v/>
      </c>
      <c r="Z138" s="20" t="str">
        <f t="shared" si="62"/>
        <v/>
      </c>
      <c r="AA138" s="20" t="str">
        <f t="shared" si="63"/>
        <v/>
      </c>
      <c r="AB138" s="20" t="str">
        <f t="shared" si="64"/>
        <v/>
      </c>
      <c r="AC138" s="20" t="str">
        <f t="shared" si="65"/>
        <v/>
      </c>
      <c r="AD138" s="20" t="str">
        <f t="shared" si="66"/>
        <v/>
      </c>
      <c r="AE138" s="20" t="str">
        <f t="shared" si="67"/>
        <v/>
      </c>
      <c r="AF138" s="20" t="str">
        <f t="shared" si="68"/>
        <v/>
      </c>
      <c r="AG138" s="20" t="str">
        <f t="shared" si="69"/>
        <v/>
      </c>
      <c r="AH138" s="20" t="str">
        <f t="shared" si="70"/>
        <v/>
      </c>
      <c r="AI138" s="20" t="str">
        <f t="shared" si="71"/>
        <v/>
      </c>
      <c r="AJ138" s="20" t="str">
        <f t="shared" si="72"/>
        <v/>
      </c>
      <c r="AK138" s="20" t="str">
        <f t="shared" si="73"/>
        <v/>
      </c>
      <c r="AL138" s="20" t="str">
        <f t="shared" si="74"/>
        <v/>
      </c>
      <c r="AM138" s="20" t="str">
        <f t="shared" si="75"/>
        <v/>
      </c>
      <c r="AN138" s="20" t="str">
        <f t="shared" si="76"/>
        <v/>
      </c>
      <c r="AO138" s="20" t="str">
        <f t="shared" si="77"/>
        <v/>
      </c>
      <c r="AP138" s="20" t="str">
        <f t="shared" si="78"/>
        <v/>
      </c>
      <c r="AQ138" s="20" t="str">
        <f t="shared" si="79"/>
        <v/>
      </c>
      <c r="AR138" s="20" t="str">
        <f t="shared" si="80"/>
        <v/>
      </c>
      <c r="AS138" s="20" t="str">
        <f t="shared" si="81"/>
        <v/>
      </c>
      <c r="AT138" s="20" t="str">
        <f t="shared" si="82"/>
        <v/>
      </c>
      <c r="AU138" s="20" t="str">
        <f t="shared" si="83"/>
        <v/>
      </c>
      <c r="AV138" s="20" t="str">
        <f t="shared" si="84"/>
        <v/>
      </c>
      <c r="AW138" s="20" t="str">
        <f t="shared" si="85"/>
        <v/>
      </c>
      <c r="BD138" s="78" t="s">
        <v>178</v>
      </c>
      <c r="BE138" s="78" t="s">
        <v>828</v>
      </c>
      <c r="BF138" s="78" t="s">
        <v>931</v>
      </c>
      <c r="BG138" s="78" t="s">
        <v>127</v>
      </c>
      <c r="BH138" s="78" t="s">
        <v>58</v>
      </c>
      <c r="BI138" s="78" t="str">
        <f t="shared" ref="BI138:BI145" si="86">BE138&amp;BD138&amp;BF138&amp;BG138&amp;BH138</f>
        <v>WMCOMIbexPHL_PPAChatAgent</v>
      </c>
      <c r="BJ138" s="78"/>
      <c r="BK138" s="78" t="s">
        <v>934</v>
      </c>
      <c r="BL138" s="78" t="s">
        <v>934</v>
      </c>
      <c r="BM138" s="78" t="s">
        <v>491</v>
      </c>
      <c r="BN138" s="78" t="s">
        <v>933</v>
      </c>
      <c r="BO138" s="78" t="s">
        <v>74</v>
      </c>
      <c r="BP138" s="78" t="s">
        <v>103</v>
      </c>
      <c r="BQ138" s="78" t="s">
        <v>937</v>
      </c>
      <c r="BR138" s="78" t="s">
        <v>1041</v>
      </c>
      <c r="BS138" s="107" t="s">
        <v>52</v>
      </c>
      <c r="BT138" s="78"/>
      <c r="BU138" s="78" t="s">
        <v>70</v>
      </c>
      <c r="BV138" s="78"/>
      <c r="BW138" s="78"/>
      <c r="BX138" s="78">
        <v>847</v>
      </c>
      <c r="BY138" s="78">
        <v>207009</v>
      </c>
      <c r="BZ138" s="78"/>
      <c r="CA138" s="78"/>
      <c r="CB138" s="78" t="s">
        <v>58</v>
      </c>
      <c r="CC138" s="78" t="s">
        <v>568</v>
      </c>
      <c r="CD138" s="78" t="s">
        <v>938</v>
      </c>
      <c r="CE138" s="78" t="s">
        <v>98</v>
      </c>
      <c r="CF138" s="78" t="s">
        <v>1132</v>
      </c>
      <c r="CG138" s="78" t="s">
        <v>828</v>
      </c>
      <c r="CH138" s="78" t="s">
        <v>178</v>
      </c>
      <c r="CI138" s="78">
        <v>5274</v>
      </c>
      <c r="CJ138" s="78" t="b">
        <v>0</v>
      </c>
      <c r="CK138" s="78" t="b">
        <v>1</v>
      </c>
      <c r="CL138" s="78" t="b">
        <v>0</v>
      </c>
      <c r="CM138" s="78" t="b">
        <v>0</v>
      </c>
      <c r="CN138" s="78" t="b">
        <v>0</v>
      </c>
      <c r="CO138" s="78" t="s">
        <v>61</v>
      </c>
    </row>
    <row r="139" spans="1:102" ht="16.5" x14ac:dyDescent="0.25">
      <c r="A139" s="97"/>
      <c r="B139" s="97"/>
      <c r="C139" s="97"/>
      <c r="D139" s="97"/>
      <c r="E139" s="97"/>
      <c r="F139" s="97"/>
      <c r="G139" s="98"/>
      <c r="H139" s="97"/>
      <c r="I139" s="97"/>
      <c r="J139" s="97"/>
      <c r="K139" s="97"/>
      <c r="L139" s="97"/>
      <c r="M139" s="97"/>
      <c r="N139" s="97"/>
      <c r="O139" s="97"/>
      <c r="P139" s="97"/>
      <c r="Q139" s="100"/>
      <c r="R139" s="101"/>
      <c r="S139" s="99"/>
      <c r="T139" s="99"/>
      <c r="U139" s="97"/>
      <c r="V139" s="20" t="str">
        <f t="shared" si="58"/>
        <v/>
      </c>
      <c r="W139" s="20" t="str">
        <f t="shared" si="59"/>
        <v/>
      </c>
      <c r="X139" s="20" t="str">
        <f t="shared" si="60"/>
        <v/>
      </c>
      <c r="Y139" s="20" t="str">
        <f t="shared" si="61"/>
        <v/>
      </c>
      <c r="Z139" s="20" t="str">
        <f t="shared" si="62"/>
        <v/>
      </c>
      <c r="AA139" s="20" t="str">
        <f t="shared" si="63"/>
        <v/>
      </c>
      <c r="AB139" s="20" t="str">
        <f t="shared" si="64"/>
        <v/>
      </c>
      <c r="AC139" s="20" t="str">
        <f t="shared" si="65"/>
        <v/>
      </c>
      <c r="AD139" s="20" t="str">
        <f t="shared" si="66"/>
        <v/>
      </c>
      <c r="AE139" s="20" t="str">
        <f t="shared" si="67"/>
        <v/>
      </c>
      <c r="AF139" s="20" t="str">
        <f t="shared" si="68"/>
        <v/>
      </c>
      <c r="AG139" s="20" t="str">
        <f t="shared" si="69"/>
        <v/>
      </c>
      <c r="AH139" s="20" t="str">
        <f t="shared" si="70"/>
        <v/>
      </c>
      <c r="AI139" s="20" t="str">
        <f t="shared" si="71"/>
        <v/>
      </c>
      <c r="AJ139" s="20" t="str">
        <f t="shared" si="72"/>
        <v/>
      </c>
      <c r="AK139" s="20" t="str">
        <f t="shared" si="73"/>
        <v/>
      </c>
      <c r="AL139" s="20" t="str">
        <f t="shared" si="74"/>
        <v/>
      </c>
      <c r="AM139" s="20" t="str">
        <f t="shared" si="75"/>
        <v/>
      </c>
      <c r="AN139" s="20" t="str">
        <f t="shared" si="76"/>
        <v/>
      </c>
      <c r="AO139" s="20" t="str">
        <f t="shared" si="77"/>
        <v/>
      </c>
      <c r="AP139" s="20" t="str">
        <f t="shared" si="78"/>
        <v/>
      </c>
      <c r="AQ139" s="20" t="str">
        <f t="shared" si="79"/>
        <v/>
      </c>
      <c r="AR139" s="20" t="str">
        <f t="shared" si="80"/>
        <v/>
      </c>
      <c r="AS139" s="20" t="str">
        <f t="shared" si="81"/>
        <v/>
      </c>
      <c r="AT139" s="20" t="str">
        <f t="shared" si="82"/>
        <v/>
      </c>
      <c r="AU139" s="20" t="str">
        <f t="shared" si="83"/>
        <v/>
      </c>
      <c r="AV139" s="20" t="str">
        <f t="shared" si="84"/>
        <v/>
      </c>
      <c r="AW139" s="20" t="str">
        <f t="shared" si="85"/>
        <v/>
      </c>
      <c r="BD139" s="78" t="s">
        <v>178</v>
      </c>
      <c r="BE139" s="78" t="s">
        <v>828</v>
      </c>
      <c r="BF139" s="78" t="s">
        <v>931</v>
      </c>
      <c r="BG139" s="78" t="s">
        <v>596</v>
      </c>
      <c r="BH139" s="78" t="s">
        <v>92</v>
      </c>
      <c r="BI139" s="78" t="str">
        <f t="shared" si="86"/>
        <v>WMCOMIbexPHL_PPABackofficeSupervisor/Team Lead</v>
      </c>
      <c r="BJ139" s="78"/>
      <c r="BK139" s="78" t="s">
        <v>935</v>
      </c>
      <c r="BL139" s="78" t="s">
        <v>935</v>
      </c>
      <c r="BM139" s="78" t="s">
        <v>492</v>
      </c>
      <c r="BN139" s="78" t="s">
        <v>933</v>
      </c>
      <c r="BO139" s="78" t="s">
        <v>74</v>
      </c>
      <c r="BP139" s="78" t="s">
        <v>103</v>
      </c>
      <c r="BQ139" s="78" t="s">
        <v>937</v>
      </c>
      <c r="BR139" s="78"/>
      <c r="BS139" s="107" t="s">
        <v>52</v>
      </c>
      <c r="BT139" s="78"/>
      <c r="BU139" s="78" t="s">
        <v>70</v>
      </c>
      <c r="BV139" s="78"/>
      <c r="BW139" s="78"/>
      <c r="BX139" s="78">
        <v>124</v>
      </c>
      <c r="BY139" s="78">
        <v>207009</v>
      </c>
      <c r="BZ139" s="78"/>
      <c r="CA139" s="78"/>
      <c r="CB139" s="78" t="s">
        <v>83</v>
      </c>
      <c r="CC139" s="78" t="s">
        <v>568</v>
      </c>
      <c r="CD139" s="78" t="s">
        <v>938</v>
      </c>
      <c r="CE139" s="78" t="s">
        <v>98</v>
      </c>
      <c r="CF139" s="78" t="s">
        <v>1132</v>
      </c>
      <c r="CG139" s="78" t="s">
        <v>828</v>
      </c>
      <c r="CH139" s="78" t="s">
        <v>178</v>
      </c>
      <c r="CI139" s="78">
        <v>5274</v>
      </c>
      <c r="CJ139" s="78" t="b">
        <v>0</v>
      </c>
      <c r="CK139" s="78" t="b">
        <v>0</v>
      </c>
      <c r="CL139" s="78" t="b">
        <v>0</v>
      </c>
      <c r="CM139" s="78" t="b">
        <v>1</v>
      </c>
      <c r="CN139" s="78" t="b">
        <v>0</v>
      </c>
      <c r="CO139" s="78" t="s">
        <v>61</v>
      </c>
    </row>
    <row r="140" spans="1:102" ht="16.5" x14ac:dyDescent="0.25">
      <c r="A140" s="97"/>
      <c r="B140" s="97"/>
      <c r="C140" s="97"/>
      <c r="D140" s="97"/>
      <c r="E140" s="97"/>
      <c r="F140" s="97"/>
      <c r="G140" s="98"/>
      <c r="H140" s="97"/>
      <c r="I140" s="97"/>
      <c r="J140" s="97"/>
      <c r="K140" s="97"/>
      <c r="L140" s="97"/>
      <c r="M140" s="97"/>
      <c r="N140" s="97"/>
      <c r="O140" s="97"/>
      <c r="P140" s="97"/>
      <c r="Q140" s="100"/>
      <c r="R140" s="101"/>
      <c r="S140" s="99"/>
      <c r="T140" s="99"/>
      <c r="U140" s="97"/>
      <c r="V140" s="20" t="str">
        <f t="shared" si="58"/>
        <v/>
      </c>
      <c r="W140" s="20" t="str">
        <f t="shared" si="59"/>
        <v/>
      </c>
      <c r="X140" s="20" t="str">
        <f t="shared" si="60"/>
        <v/>
      </c>
      <c r="Y140" s="20" t="str">
        <f t="shared" si="61"/>
        <v/>
      </c>
      <c r="Z140" s="20" t="str">
        <f t="shared" si="62"/>
        <v/>
      </c>
      <c r="AA140" s="20" t="str">
        <f t="shared" si="63"/>
        <v/>
      </c>
      <c r="AB140" s="20" t="str">
        <f t="shared" si="64"/>
        <v/>
      </c>
      <c r="AC140" s="20" t="str">
        <f t="shared" si="65"/>
        <v/>
      </c>
      <c r="AD140" s="20" t="str">
        <f t="shared" si="66"/>
        <v/>
      </c>
      <c r="AE140" s="20" t="str">
        <f t="shared" si="67"/>
        <v/>
      </c>
      <c r="AF140" s="20" t="str">
        <f t="shared" si="68"/>
        <v/>
      </c>
      <c r="AG140" s="20" t="str">
        <f t="shared" si="69"/>
        <v/>
      </c>
      <c r="AH140" s="20" t="str">
        <f t="shared" si="70"/>
        <v/>
      </c>
      <c r="AI140" s="20" t="str">
        <f t="shared" si="71"/>
        <v/>
      </c>
      <c r="AJ140" s="20" t="str">
        <f t="shared" si="72"/>
        <v/>
      </c>
      <c r="AK140" s="20" t="str">
        <f t="shared" si="73"/>
        <v/>
      </c>
      <c r="AL140" s="20" t="str">
        <f t="shared" si="74"/>
        <v/>
      </c>
      <c r="AM140" s="20" t="str">
        <f t="shared" si="75"/>
        <v/>
      </c>
      <c r="AN140" s="20" t="str">
        <f t="shared" si="76"/>
        <v/>
      </c>
      <c r="AO140" s="20" t="str">
        <f t="shared" si="77"/>
        <v/>
      </c>
      <c r="AP140" s="20" t="str">
        <f t="shared" si="78"/>
        <v/>
      </c>
      <c r="AQ140" s="20" t="str">
        <f t="shared" si="79"/>
        <v/>
      </c>
      <c r="AR140" s="20" t="str">
        <f t="shared" si="80"/>
        <v/>
      </c>
      <c r="AS140" s="20" t="str">
        <f t="shared" si="81"/>
        <v/>
      </c>
      <c r="AT140" s="20" t="str">
        <f t="shared" si="82"/>
        <v/>
      </c>
      <c r="AU140" s="20" t="str">
        <f t="shared" si="83"/>
        <v/>
      </c>
      <c r="AV140" s="20" t="str">
        <f t="shared" si="84"/>
        <v/>
      </c>
      <c r="AW140" s="20" t="str">
        <f t="shared" si="85"/>
        <v/>
      </c>
      <c r="BD140" s="78" t="s">
        <v>178</v>
      </c>
      <c r="BE140" s="78" t="s">
        <v>828</v>
      </c>
      <c r="BF140" s="78" t="s">
        <v>931</v>
      </c>
      <c r="BG140" s="78" t="s">
        <v>596</v>
      </c>
      <c r="BH140" s="78" t="s">
        <v>147</v>
      </c>
      <c r="BI140" s="78" t="str">
        <f t="shared" si="86"/>
        <v>WMCOMIbexPHL_PPABackofficeReporting</v>
      </c>
      <c r="BJ140" s="78"/>
      <c r="BK140" s="78" t="s">
        <v>936</v>
      </c>
      <c r="BL140" s="78" t="s">
        <v>936</v>
      </c>
      <c r="BM140" s="78" t="s">
        <v>335</v>
      </c>
      <c r="BN140" s="78" t="s">
        <v>933</v>
      </c>
      <c r="BO140" s="78" t="s">
        <v>74</v>
      </c>
      <c r="BP140" s="78" t="s">
        <v>103</v>
      </c>
      <c r="BQ140" s="78" t="s">
        <v>937</v>
      </c>
      <c r="BR140" s="78"/>
      <c r="BS140" s="107" t="s">
        <v>52</v>
      </c>
      <c r="BT140" s="78"/>
      <c r="BU140" s="78" t="s">
        <v>70</v>
      </c>
      <c r="BV140" s="78"/>
      <c r="BW140" s="78"/>
      <c r="BX140" s="78">
        <v>124</v>
      </c>
      <c r="BY140" s="78">
        <v>207009</v>
      </c>
      <c r="BZ140" s="78"/>
      <c r="CA140" s="78"/>
      <c r="CB140" s="78" t="s">
        <v>83</v>
      </c>
      <c r="CC140" s="78" t="s">
        <v>568</v>
      </c>
      <c r="CD140" s="78" t="s">
        <v>938</v>
      </c>
      <c r="CE140" s="78" t="s">
        <v>98</v>
      </c>
      <c r="CF140" s="78" t="s">
        <v>1132</v>
      </c>
      <c r="CG140" s="78" t="s">
        <v>828</v>
      </c>
      <c r="CH140" s="78" t="s">
        <v>178</v>
      </c>
      <c r="CI140" s="78">
        <v>5274</v>
      </c>
      <c r="CJ140" s="78" t="b">
        <v>0</v>
      </c>
      <c r="CK140" s="78" t="b">
        <v>0</v>
      </c>
      <c r="CL140" s="78" t="b">
        <v>0</v>
      </c>
      <c r="CM140" s="78" t="b">
        <v>1</v>
      </c>
      <c r="CN140" s="78" t="b">
        <v>0</v>
      </c>
      <c r="CO140" s="78" t="s">
        <v>61</v>
      </c>
    </row>
    <row r="141" spans="1:102" ht="16.5" x14ac:dyDescent="0.25">
      <c r="A141" s="97"/>
      <c r="B141" s="97"/>
      <c r="C141" s="97"/>
      <c r="D141" s="97"/>
      <c r="E141" s="97"/>
      <c r="F141" s="97"/>
      <c r="G141" s="98"/>
      <c r="H141" s="97"/>
      <c r="I141" s="97"/>
      <c r="J141" s="97"/>
      <c r="K141" s="97"/>
      <c r="L141" s="97"/>
      <c r="M141" s="97"/>
      <c r="N141" s="97"/>
      <c r="O141" s="97"/>
      <c r="P141" s="97"/>
      <c r="Q141" s="100"/>
      <c r="R141" s="101"/>
      <c r="S141" s="99"/>
      <c r="T141" s="99"/>
      <c r="U141" s="97"/>
      <c r="V141" s="20" t="str">
        <f t="shared" si="58"/>
        <v/>
      </c>
      <c r="W141" s="20" t="str">
        <f t="shared" si="59"/>
        <v/>
      </c>
      <c r="X141" s="20" t="str">
        <f t="shared" si="60"/>
        <v/>
      </c>
      <c r="Y141" s="20" t="str">
        <f t="shared" si="61"/>
        <v/>
      </c>
      <c r="Z141" s="20" t="str">
        <f t="shared" si="62"/>
        <v/>
      </c>
      <c r="AA141" s="20" t="str">
        <f t="shared" si="63"/>
        <v/>
      </c>
      <c r="AB141" s="20" t="str">
        <f t="shared" si="64"/>
        <v/>
      </c>
      <c r="AC141" s="20" t="str">
        <f t="shared" si="65"/>
        <v/>
      </c>
      <c r="AD141" s="20" t="str">
        <f t="shared" si="66"/>
        <v/>
      </c>
      <c r="AE141" s="20" t="str">
        <f t="shared" si="67"/>
        <v/>
      </c>
      <c r="AF141" s="20" t="str">
        <f t="shared" si="68"/>
        <v/>
      </c>
      <c r="AG141" s="20" t="str">
        <f t="shared" si="69"/>
        <v/>
      </c>
      <c r="AH141" s="20" t="str">
        <f t="shared" si="70"/>
        <v/>
      </c>
      <c r="AI141" s="20" t="str">
        <f t="shared" si="71"/>
        <v/>
      </c>
      <c r="AJ141" s="20" t="str">
        <f t="shared" si="72"/>
        <v/>
      </c>
      <c r="AK141" s="20" t="str">
        <f t="shared" si="73"/>
        <v/>
      </c>
      <c r="AL141" s="20" t="str">
        <f t="shared" si="74"/>
        <v/>
      </c>
      <c r="AM141" s="20" t="str">
        <f t="shared" si="75"/>
        <v/>
      </c>
      <c r="AN141" s="20" t="str">
        <f t="shared" si="76"/>
        <v/>
      </c>
      <c r="AO141" s="20" t="str">
        <f t="shared" si="77"/>
        <v/>
      </c>
      <c r="AP141" s="20" t="str">
        <f t="shared" si="78"/>
        <v/>
      </c>
      <c r="AQ141" s="20" t="str">
        <f t="shared" si="79"/>
        <v/>
      </c>
      <c r="AR141" s="20" t="str">
        <f t="shared" si="80"/>
        <v/>
      </c>
      <c r="AS141" s="20" t="str">
        <f t="shared" si="81"/>
        <v/>
      </c>
      <c r="AT141" s="20" t="str">
        <f t="shared" si="82"/>
        <v/>
      </c>
      <c r="AU141" s="20" t="str">
        <f t="shared" si="83"/>
        <v/>
      </c>
      <c r="AV141" s="20" t="str">
        <f t="shared" si="84"/>
        <v/>
      </c>
      <c r="AW141" s="20" t="str">
        <f t="shared" si="85"/>
        <v/>
      </c>
      <c r="BD141" s="78" t="s">
        <v>204</v>
      </c>
      <c r="BE141" s="78" t="s">
        <v>828</v>
      </c>
      <c r="BF141" s="78" t="s">
        <v>932</v>
      </c>
      <c r="BG141" s="78" t="s">
        <v>595</v>
      </c>
      <c r="BH141" s="78" t="s">
        <v>58</v>
      </c>
      <c r="BI141" s="78" t="str">
        <f t="shared" si="86"/>
        <v>WMCOMiQorPHL_QZTPhoneAgent</v>
      </c>
      <c r="BJ141" s="78"/>
      <c r="BK141" s="78" t="s">
        <v>939</v>
      </c>
      <c r="BL141" s="78" t="s">
        <v>939</v>
      </c>
      <c r="BM141" s="78" t="s">
        <v>493</v>
      </c>
      <c r="BN141" s="78" t="s">
        <v>688</v>
      </c>
      <c r="BO141" s="78" t="s">
        <v>74</v>
      </c>
      <c r="BP141" s="78" t="s">
        <v>103</v>
      </c>
      <c r="BQ141" s="78" t="s">
        <v>943</v>
      </c>
      <c r="BR141" s="78" t="s">
        <v>1042</v>
      </c>
      <c r="BS141" s="78" t="s">
        <v>715</v>
      </c>
      <c r="BT141" s="78"/>
      <c r="BU141" s="78" t="s">
        <v>70</v>
      </c>
      <c r="BV141" s="78"/>
      <c r="BW141" s="78"/>
      <c r="BX141" s="78">
        <v>848</v>
      </c>
      <c r="BY141" s="78">
        <v>207010</v>
      </c>
      <c r="BZ141" s="78"/>
      <c r="CA141" s="78"/>
      <c r="CB141" s="78" t="s">
        <v>58</v>
      </c>
      <c r="CC141" s="78" t="s">
        <v>568</v>
      </c>
      <c r="CD141" s="78" t="s">
        <v>942</v>
      </c>
      <c r="CE141" s="78" t="s">
        <v>111</v>
      </c>
      <c r="CF141" s="78" t="s">
        <v>1132</v>
      </c>
      <c r="CG141" s="78" t="s">
        <v>828</v>
      </c>
      <c r="CH141" s="78" t="s">
        <v>204</v>
      </c>
      <c r="CI141" s="78">
        <v>5278</v>
      </c>
      <c r="CJ141" s="78" t="b">
        <v>1</v>
      </c>
      <c r="CK141" s="78" t="b">
        <v>0</v>
      </c>
      <c r="CL141" s="78" t="b">
        <v>0</v>
      </c>
      <c r="CM141" s="78" t="b">
        <v>1</v>
      </c>
      <c r="CN141" s="78" t="b">
        <v>0</v>
      </c>
      <c r="CO141" s="78" t="s">
        <v>61</v>
      </c>
    </row>
    <row r="142" spans="1:102" ht="16.5" x14ac:dyDescent="0.25">
      <c r="A142" s="97"/>
      <c r="B142" s="97"/>
      <c r="C142" s="97"/>
      <c r="D142" s="97"/>
      <c r="E142" s="97"/>
      <c r="F142" s="97"/>
      <c r="G142" s="98"/>
      <c r="H142" s="97"/>
      <c r="I142" s="97"/>
      <c r="J142" s="97"/>
      <c r="K142" s="97"/>
      <c r="L142" s="97"/>
      <c r="M142" s="97"/>
      <c r="N142" s="97"/>
      <c r="O142" s="97"/>
      <c r="P142" s="97"/>
      <c r="Q142" s="100"/>
      <c r="R142" s="101"/>
      <c r="S142" s="99"/>
      <c r="T142" s="99"/>
      <c r="U142" s="97"/>
      <c r="V142" s="20" t="str">
        <f t="shared" si="58"/>
        <v/>
      </c>
      <c r="W142" s="20" t="str">
        <f t="shared" si="59"/>
        <v/>
      </c>
      <c r="X142" s="20" t="str">
        <f t="shared" si="60"/>
        <v/>
      </c>
      <c r="Y142" s="20" t="str">
        <f t="shared" si="61"/>
        <v/>
      </c>
      <c r="Z142" s="20" t="str">
        <f t="shared" si="62"/>
        <v/>
      </c>
      <c r="AA142" s="20" t="str">
        <f t="shared" si="63"/>
        <v/>
      </c>
      <c r="AB142" s="20" t="str">
        <f t="shared" si="64"/>
        <v/>
      </c>
      <c r="AC142" s="20" t="str">
        <f t="shared" si="65"/>
        <v/>
      </c>
      <c r="AD142" s="20" t="str">
        <f t="shared" si="66"/>
        <v/>
      </c>
      <c r="AE142" s="20" t="str">
        <f t="shared" si="67"/>
        <v/>
      </c>
      <c r="AF142" s="20" t="str">
        <f t="shared" si="68"/>
        <v/>
      </c>
      <c r="AG142" s="20" t="str">
        <f t="shared" si="69"/>
        <v/>
      </c>
      <c r="AH142" s="20" t="str">
        <f t="shared" si="70"/>
        <v/>
      </c>
      <c r="AI142" s="20" t="str">
        <f t="shared" si="71"/>
        <v/>
      </c>
      <c r="AJ142" s="20" t="str">
        <f t="shared" si="72"/>
        <v/>
      </c>
      <c r="AK142" s="20" t="str">
        <f t="shared" si="73"/>
        <v/>
      </c>
      <c r="AL142" s="20" t="str">
        <f t="shared" si="74"/>
        <v/>
      </c>
      <c r="AM142" s="20" t="str">
        <f t="shared" si="75"/>
        <v/>
      </c>
      <c r="AN142" s="20" t="str">
        <f t="shared" si="76"/>
        <v/>
      </c>
      <c r="AO142" s="20" t="str">
        <f t="shared" si="77"/>
        <v/>
      </c>
      <c r="AP142" s="20" t="str">
        <f t="shared" si="78"/>
        <v/>
      </c>
      <c r="AQ142" s="20" t="str">
        <f t="shared" si="79"/>
        <v/>
      </c>
      <c r="AR142" s="20" t="str">
        <f t="shared" si="80"/>
        <v/>
      </c>
      <c r="AS142" s="20" t="str">
        <f t="shared" si="81"/>
        <v/>
      </c>
      <c r="AT142" s="20" t="str">
        <f t="shared" si="82"/>
        <v/>
      </c>
      <c r="AU142" s="20" t="str">
        <f t="shared" si="83"/>
        <v/>
      </c>
      <c r="AV142" s="20" t="str">
        <f t="shared" si="84"/>
        <v/>
      </c>
      <c r="AW142" s="20" t="str">
        <f t="shared" si="85"/>
        <v/>
      </c>
      <c r="BD142" s="78" t="s">
        <v>204</v>
      </c>
      <c r="BE142" s="78" t="s">
        <v>828</v>
      </c>
      <c r="BF142" s="78" t="s">
        <v>932</v>
      </c>
      <c r="BG142" s="78" t="s">
        <v>596</v>
      </c>
      <c r="BH142" s="78" t="s">
        <v>92</v>
      </c>
      <c r="BI142" s="78" t="str">
        <f t="shared" si="86"/>
        <v>WMCOMiQorPHL_QZTBackofficeSupervisor/Team Lead</v>
      </c>
      <c r="BJ142" s="78"/>
      <c r="BK142" s="78" t="s">
        <v>940</v>
      </c>
      <c r="BL142" s="78" t="s">
        <v>940</v>
      </c>
      <c r="BM142" s="78" t="s">
        <v>494</v>
      </c>
      <c r="BN142" s="78" t="s">
        <v>688</v>
      </c>
      <c r="BO142" s="78" t="s">
        <v>74</v>
      </c>
      <c r="BP142" s="78" t="s">
        <v>103</v>
      </c>
      <c r="BQ142" s="78" t="s">
        <v>943</v>
      </c>
      <c r="BR142" s="78"/>
      <c r="BS142" s="78" t="s">
        <v>715</v>
      </c>
      <c r="BT142" s="78"/>
      <c r="BU142" s="78" t="s">
        <v>70</v>
      </c>
      <c r="BV142" s="78"/>
      <c r="BW142" s="78"/>
      <c r="BX142" s="78">
        <v>124</v>
      </c>
      <c r="BY142" s="78">
        <v>207010</v>
      </c>
      <c r="BZ142" s="78"/>
      <c r="CA142" s="78"/>
      <c r="CB142" s="78" t="s">
        <v>83</v>
      </c>
      <c r="CC142" s="78" t="s">
        <v>568</v>
      </c>
      <c r="CD142" s="78" t="s">
        <v>942</v>
      </c>
      <c r="CE142" s="78" t="s">
        <v>111</v>
      </c>
      <c r="CF142" s="78" t="s">
        <v>1132</v>
      </c>
      <c r="CG142" s="78" t="s">
        <v>828</v>
      </c>
      <c r="CH142" s="78" t="s">
        <v>204</v>
      </c>
      <c r="CI142" s="78">
        <v>5278</v>
      </c>
      <c r="CJ142" s="78" t="b">
        <v>0</v>
      </c>
      <c r="CK142" s="78" t="b">
        <v>0</v>
      </c>
      <c r="CL142" s="78" t="b">
        <v>0</v>
      </c>
      <c r="CM142" s="78" t="b">
        <v>1</v>
      </c>
      <c r="CN142" s="78" t="b">
        <v>0</v>
      </c>
      <c r="CO142" s="78" t="s">
        <v>61</v>
      </c>
    </row>
    <row r="143" spans="1:102" ht="16.5" x14ac:dyDescent="0.25">
      <c r="A143" s="97"/>
      <c r="B143" s="97"/>
      <c r="C143" s="97"/>
      <c r="D143" s="97"/>
      <c r="E143" s="97"/>
      <c r="F143" s="97"/>
      <c r="G143" s="98"/>
      <c r="H143" s="97"/>
      <c r="I143" s="97"/>
      <c r="J143" s="97"/>
      <c r="K143" s="97"/>
      <c r="L143" s="97"/>
      <c r="M143" s="97"/>
      <c r="N143" s="97"/>
      <c r="O143" s="97"/>
      <c r="P143" s="97"/>
      <c r="Q143" s="100"/>
      <c r="R143" s="101"/>
      <c r="S143" s="99"/>
      <c r="T143" s="99"/>
      <c r="U143" s="97"/>
      <c r="V143" s="20" t="str">
        <f t="shared" si="58"/>
        <v/>
      </c>
      <c r="W143" s="20" t="str">
        <f t="shared" si="59"/>
        <v/>
      </c>
      <c r="X143" s="20" t="str">
        <f t="shared" si="60"/>
        <v/>
      </c>
      <c r="Y143" s="20" t="str">
        <f t="shared" si="61"/>
        <v/>
      </c>
      <c r="Z143" s="20" t="str">
        <f t="shared" si="62"/>
        <v/>
      </c>
      <c r="AA143" s="20" t="str">
        <f t="shared" si="63"/>
        <v/>
      </c>
      <c r="AB143" s="20" t="str">
        <f t="shared" si="64"/>
        <v/>
      </c>
      <c r="AC143" s="20" t="str">
        <f t="shared" si="65"/>
        <v/>
      </c>
      <c r="AD143" s="20" t="str">
        <f t="shared" si="66"/>
        <v/>
      </c>
      <c r="AE143" s="20" t="str">
        <f t="shared" si="67"/>
        <v/>
      </c>
      <c r="AF143" s="20" t="str">
        <f t="shared" si="68"/>
        <v/>
      </c>
      <c r="AG143" s="20" t="str">
        <f t="shared" si="69"/>
        <v/>
      </c>
      <c r="AH143" s="20" t="str">
        <f t="shared" si="70"/>
        <v/>
      </c>
      <c r="AI143" s="20" t="str">
        <f t="shared" si="71"/>
        <v/>
      </c>
      <c r="AJ143" s="20" t="str">
        <f t="shared" si="72"/>
        <v/>
      </c>
      <c r="AK143" s="20" t="str">
        <f t="shared" si="73"/>
        <v/>
      </c>
      <c r="AL143" s="20" t="str">
        <f t="shared" si="74"/>
        <v/>
      </c>
      <c r="AM143" s="20" t="str">
        <f t="shared" si="75"/>
        <v/>
      </c>
      <c r="AN143" s="20" t="str">
        <f t="shared" si="76"/>
        <v/>
      </c>
      <c r="AO143" s="20" t="str">
        <f t="shared" si="77"/>
        <v/>
      </c>
      <c r="AP143" s="20" t="str">
        <f t="shared" si="78"/>
        <v/>
      </c>
      <c r="AQ143" s="20" t="str">
        <f t="shared" si="79"/>
        <v/>
      </c>
      <c r="AR143" s="20" t="str">
        <f t="shared" si="80"/>
        <v/>
      </c>
      <c r="AS143" s="20" t="str">
        <f t="shared" si="81"/>
        <v/>
      </c>
      <c r="AT143" s="20" t="str">
        <f t="shared" si="82"/>
        <v/>
      </c>
      <c r="AU143" s="20" t="str">
        <f t="shared" si="83"/>
        <v/>
      </c>
      <c r="AV143" s="20" t="str">
        <f t="shared" si="84"/>
        <v/>
      </c>
      <c r="AW143" s="20" t="str">
        <f t="shared" si="85"/>
        <v/>
      </c>
      <c r="BD143" s="78" t="s">
        <v>204</v>
      </c>
      <c r="BE143" s="78" t="s">
        <v>828</v>
      </c>
      <c r="BF143" s="78" t="s">
        <v>932</v>
      </c>
      <c r="BG143" s="78" t="s">
        <v>596</v>
      </c>
      <c r="BH143" s="78" t="s">
        <v>147</v>
      </c>
      <c r="BI143" s="78" t="str">
        <f t="shared" si="86"/>
        <v>WMCOMiQorPHL_QZTBackofficeReporting</v>
      </c>
      <c r="BJ143" s="78"/>
      <c r="BK143" s="78" t="s">
        <v>941</v>
      </c>
      <c r="BL143" s="78" t="s">
        <v>941</v>
      </c>
      <c r="BM143" s="78" t="s">
        <v>687</v>
      </c>
      <c r="BN143" s="78" t="s">
        <v>688</v>
      </c>
      <c r="BO143" s="78" t="s">
        <v>74</v>
      </c>
      <c r="BP143" s="78" t="s">
        <v>103</v>
      </c>
      <c r="BQ143" s="78" t="s">
        <v>943</v>
      </c>
      <c r="BR143" s="78"/>
      <c r="BS143" s="78" t="s">
        <v>715</v>
      </c>
      <c r="BT143" s="78"/>
      <c r="BU143" s="78" t="s">
        <v>70</v>
      </c>
      <c r="BV143" s="78"/>
      <c r="BW143" s="78"/>
      <c r="BX143" s="78">
        <v>124</v>
      </c>
      <c r="BY143" s="78">
        <v>207010</v>
      </c>
      <c r="BZ143" s="78"/>
      <c r="CA143" s="78"/>
      <c r="CB143" s="78" t="s">
        <v>83</v>
      </c>
      <c r="CC143" s="78" t="s">
        <v>568</v>
      </c>
      <c r="CD143" s="78" t="s">
        <v>942</v>
      </c>
      <c r="CE143" s="78" t="s">
        <v>111</v>
      </c>
      <c r="CF143" s="78" t="s">
        <v>1132</v>
      </c>
      <c r="CG143" s="78" t="s">
        <v>828</v>
      </c>
      <c r="CH143" s="78" t="s">
        <v>204</v>
      </c>
      <c r="CI143" s="78">
        <v>5278</v>
      </c>
      <c r="CJ143" s="78" t="b">
        <v>0</v>
      </c>
      <c r="CK143" s="78" t="b">
        <v>0</v>
      </c>
      <c r="CL143" s="78" t="b">
        <v>0</v>
      </c>
      <c r="CM143" s="78" t="b">
        <v>1</v>
      </c>
      <c r="CN143" s="78" t="b">
        <v>0</v>
      </c>
      <c r="CO143" s="78" t="s">
        <v>61</v>
      </c>
    </row>
    <row r="144" spans="1:102" ht="16.5" x14ac:dyDescent="0.3">
      <c r="A144" s="97"/>
      <c r="B144" s="97"/>
      <c r="C144" s="97"/>
      <c r="D144" s="97"/>
      <c r="E144" s="97"/>
      <c r="F144" s="97"/>
      <c r="G144" s="98"/>
      <c r="H144" s="97"/>
      <c r="I144" s="97"/>
      <c r="J144" s="97"/>
      <c r="K144" s="97"/>
      <c r="L144" s="97"/>
      <c r="M144" s="97"/>
      <c r="N144" s="97"/>
      <c r="O144" s="97"/>
      <c r="P144" s="97"/>
      <c r="Q144" s="100"/>
      <c r="R144" s="101"/>
      <c r="S144" s="99"/>
      <c r="T144" s="99"/>
      <c r="U144" s="97"/>
      <c r="V144" s="20" t="str">
        <f t="shared" si="58"/>
        <v/>
      </c>
      <c r="W144" s="20" t="str">
        <f t="shared" si="59"/>
        <v/>
      </c>
      <c r="X144" s="20" t="str">
        <f t="shared" si="60"/>
        <v/>
      </c>
      <c r="Y144" s="20" t="str">
        <f t="shared" si="61"/>
        <v/>
      </c>
      <c r="Z144" s="20" t="str">
        <f t="shared" si="62"/>
        <v/>
      </c>
      <c r="AA144" s="20" t="str">
        <f t="shared" si="63"/>
        <v/>
      </c>
      <c r="AB144" s="20" t="str">
        <f t="shared" si="64"/>
        <v/>
      </c>
      <c r="AC144" s="20" t="str">
        <f t="shared" si="65"/>
        <v/>
      </c>
      <c r="AD144" s="20" t="str">
        <f t="shared" si="66"/>
        <v/>
      </c>
      <c r="AE144" s="20" t="str">
        <f t="shared" si="67"/>
        <v/>
      </c>
      <c r="AF144" s="20" t="str">
        <f t="shared" si="68"/>
        <v/>
      </c>
      <c r="AG144" s="20" t="str">
        <f t="shared" si="69"/>
        <v/>
      </c>
      <c r="AH144" s="20" t="str">
        <f t="shared" si="70"/>
        <v/>
      </c>
      <c r="AI144" s="20" t="str">
        <f t="shared" si="71"/>
        <v/>
      </c>
      <c r="AJ144" s="20" t="str">
        <f t="shared" si="72"/>
        <v/>
      </c>
      <c r="AK144" s="20" t="str">
        <f t="shared" si="73"/>
        <v/>
      </c>
      <c r="AL144" s="20" t="str">
        <f t="shared" si="74"/>
        <v/>
      </c>
      <c r="AM144" s="20" t="str">
        <f t="shared" si="75"/>
        <v/>
      </c>
      <c r="AN144" s="20" t="str">
        <f t="shared" si="76"/>
        <v/>
      </c>
      <c r="AO144" s="20" t="str">
        <f t="shared" si="77"/>
        <v/>
      </c>
      <c r="AP144" s="20" t="str">
        <f t="shared" si="78"/>
        <v/>
      </c>
      <c r="AQ144" s="20" t="str">
        <f t="shared" si="79"/>
        <v/>
      </c>
      <c r="AR144" s="20" t="str">
        <f t="shared" si="80"/>
        <v/>
      </c>
      <c r="AS144" s="20" t="str">
        <f t="shared" si="81"/>
        <v/>
      </c>
      <c r="AT144" s="20" t="str">
        <f t="shared" si="82"/>
        <v/>
      </c>
      <c r="AU144" s="20" t="str">
        <f t="shared" si="83"/>
        <v/>
      </c>
      <c r="AV144" s="20" t="str">
        <f t="shared" si="84"/>
        <v/>
      </c>
      <c r="AW144" s="20" t="str">
        <f t="shared" si="85"/>
        <v/>
      </c>
      <c r="BD144" s="17" t="s">
        <v>87</v>
      </c>
      <c r="BE144" s="17" t="s">
        <v>594</v>
      </c>
      <c r="BF144" s="78" t="s">
        <v>944</v>
      </c>
      <c r="BG144" s="78" t="s">
        <v>595</v>
      </c>
      <c r="BH144" s="78" t="s">
        <v>58</v>
      </c>
      <c r="BI144" s="78" t="str">
        <f t="shared" si="86"/>
        <v>Spark Driver24-7 IntouchJAM_MBJPhoneAgent</v>
      </c>
      <c r="BJ144" s="78"/>
      <c r="BK144" s="78">
        <v>360729</v>
      </c>
      <c r="BL144" s="108" t="s">
        <v>947</v>
      </c>
      <c r="BM144" s="108" t="s">
        <v>945</v>
      </c>
      <c r="BN144" s="99" t="s">
        <v>548</v>
      </c>
      <c r="BO144" s="78" t="s">
        <v>184</v>
      </c>
      <c r="BP144" s="78" t="s">
        <v>950</v>
      </c>
      <c r="BQ144" s="78" t="s">
        <v>949</v>
      </c>
      <c r="BR144" s="78"/>
      <c r="BS144" s="22" t="s">
        <v>517</v>
      </c>
      <c r="BT144" s="78"/>
      <c r="BU144" s="78" t="s">
        <v>70</v>
      </c>
      <c r="BV144" s="17" t="s">
        <v>58</v>
      </c>
      <c r="BW144" s="78"/>
      <c r="BX144" s="78">
        <v>349</v>
      </c>
      <c r="BY144" s="78">
        <v>161999</v>
      </c>
      <c r="BZ144" s="17" t="s">
        <v>543</v>
      </c>
      <c r="CA144" s="78"/>
      <c r="CB144" s="78" t="s">
        <v>58</v>
      </c>
      <c r="CC144" s="78" t="s">
        <v>572</v>
      </c>
      <c r="CD144" s="78" t="s">
        <v>951</v>
      </c>
      <c r="CE144" s="17" t="s">
        <v>64</v>
      </c>
      <c r="CF144" s="17" t="s">
        <v>1131</v>
      </c>
      <c r="CG144" s="17" t="s">
        <v>518</v>
      </c>
      <c r="CH144" s="17" t="s">
        <v>566</v>
      </c>
      <c r="CI144" s="23">
        <v>5284</v>
      </c>
      <c r="CJ144" s="23" t="b">
        <v>1</v>
      </c>
      <c r="CK144" s="23" t="b">
        <v>0</v>
      </c>
      <c r="CL144" s="23" t="b">
        <v>0</v>
      </c>
      <c r="CM144" s="23" t="b">
        <v>0</v>
      </c>
      <c r="CN144" s="23" t="b">
        <v>0</v>
      </c>
      <c r="CO144" s="17" t="s">
        <v>562</v>
      </c>
    </row>
    <row r="145" spans="1:93" ht="16.5" x14ac:dyDescent="0.3">
      <c r="A145" s="97"/>
      <c r="B145" s="97"/>
      <c r="C145" s="97"/>
      <c r="D145" s="97"/>
      <c r="E145" s="97"/>
      <c r="F145" s="97"/>
      <c r="G145" s="98"/>
      <c r="H145" s="97"/>
      <c r="I145" s="97"/>
      <c r="J145" s="97"/>
      <c r="K145" s="97"/>
      <c r="L145" s="97"/>
      <c r="M145" s="97"/>
      <c r="N145" s="97"/>
      <c r="O145" s="97"/>
      <c r="P145" s="97"/>
      <c r="Q145" s="100"/>
      <c r="R145" s="101"/>
      <c r="S145" s="99"/>
      <c r="T145" s="99"/>
      <c r="U145" s="97"/>
      <c r="V145" s="20" t="str">
        <f t="shared" si="58"/>
        <v/>
      </c>
      <c r="W145" s="20" t="str">
        <f t="shared" si="59"/>
        <v/>
      </c>
      <c r="X145" s="20" t="str">
        <f t="shared" si="60"/>
        <v/>
      </c>
      <c r="Y145" s="20" t="str">
        <f t="shared" si="61"/>
        <v/>
      </c>
      <c r="Z145" s="20" t="str">
        <f t="shared" si="62"/>
        <v/>
      </c>
      <c r="AA145" s="20" t="str">
        <f t="shared" si="63"/>
        <v/>
      </c>
      <c r="AB145" s="20" t="str">
        <f t="shared" si="64"/>
        <v/>
      </c>
      <c r="AC145" s="20" t="str">
        <f t="shared" si="65"/>
        <v/>
      </c>
      <c r="AD145" s="20" t="str">
        <f t="shared" si="66"/>
        <v/>
      </c>
      <c r="AE145" s="20" t="str">
        <f t="shared" si="67"/>
        <v/>
      </c>
      <c r="AF145" s="20" t="str">
        <f t="shared" si="68"/>
        <v/>
      </c>
      <c r="AG145" s="20" t="str">
        <f t="shared" si="69"/>
        <v/>
      </c>
      <c r="AH145" s="20" t="str">
        <f t="shared" si="70"/>
        <v/>
      </c>
      <c r="AI145" s="20" t="str">
        <f t="shared" si="71"/>
        <v/>
      </c>
      <c r="AJ145" s="20" t="str">
        <f t="shared" si="72"/>
        <v/>
      </c>
      <c r="AK145" s="20" t="str">
        <f t="shared" si="73"/>
        <v/>
      </c>
      <c r="AL145" s="20" t="str">
        <f t="shared" si="74"/>
        <v/>
      </c>
      <c r="AM145" s="20" t="str">
        <f t="shared" si="75"/>
        <v/>
      </c>
      <c r="AN145" s="20" t="str">
        <f t="shared" si="76"/>
        <v/>
      </c>
      <c r="AO145" s="20" t="str">
        <f t="shared" si="77"/>
        <v/>
      </c>
      <c r="AP145" s="20" t="str">
        <f t="shared" si="78"/>
        <v/>
      </c>
      <c r="AQ145" s="20" t="str">
        <f t="shared" si="79"/>
        <v/>
      </c>
      <c r="AR145" s="20" t="str">
        <f t="shared" si="80"/>
        <v/>
      </c>
      <c r="AS145" s="20" t="str">
        <f t="shared" si="81"/>
        <v/>
      </c>
      <c r="AT145" s="20" t="str">
        <f t="shared" si="82"/>
        <v/>
      </c>
      <c r="AU145" s="20" t="str">
        <f t="shared" si="83"/>
        <v/>
      </c>
      <c r="AV145" s="20" t="str">
        <f t="shared" si="84"/>
        <v/>
      </c>
      <c r="AW145" s="20" t="str">
        <f t="shared" si="85"/>
        <v/>
      </c>
      <c r="BD145" s="17" t="s">
        <v>87</v>
      </c>
      <c r="BE145" s="17" t="s">
        <v>594</v>
      </c>
      <c r="BF145" s="78" t="s">
        <v>944</v>
      </c>
      <c r="BG145" s="78" t="s">
        <v>596</v>
      </c>
      <c r="BH145" s="78" t="s">
        <v>92</v>
      </c>
      <c r="BI145" s="78" t="str">
        <f t="shared" si="86"/>
        <v>Spark Driver24-7 IntouchJAM_MBJBackofficeSupervisor/Team Lead</v>
      </c>
      <c r="BJ145" s="78"/>
      <c r="BK145" s="78">
        <v>360730</v>
      </c>
      <c r="BL145" s="108" t="s">
        <v>948</v>
      </c>
      <c r="BM145" s="108" t="s">
        <v>946</v>
      </c>
      <c r="BN145" s="99" t="s">
        <v>548</v>
      </c>
      <c r="BO145" s="78" t="s">
        <v>184</v>
      </c>
      <c r="BP145" s="78" t="s">
        <v>950</v>
      </c>
      <c r="BQ145" s="78" t="s">
        <v>949</v>
      </c>
      <c r="BR145" s="78"/>
      <c r="BS145" s="22" t="s">
        <v>517</v>
      </c>
      <c r="BT145" s="78"/>
      <c r="BU145" s="78" t="s">
        <v>70</v>
      </c>
      <c r="BV145" s="17" t="s">
        <v>83</v>
      </c>
      <c r="BW145" s="78"/>
      <c r="BX145" s="78">
        <v>348</v>
      </c>
      <c r="BY145" s="78">
        <v>162000</v>
      </c>
      <c r="BZ145" s="17" t="s">
        <v>543</v>
      </c>
      <c r="CA145" s="78"/>
      <c r="CB145" s="78" t="s">
        <v>83</v>
      </c>
      <c r="CC145" s="78" t="s">
        <v>572</v>
      </c>
      <c r="CD145" s="78" t="s">
        <v>951</v>
      </c>
      <c r="CE145" s="17" t="s">
        <v>64</v>
      </c>
      <c r="CF145" s="17" t="s">
        <v>1131</v>
      </c>
      <c r="CG145" s="17" t="s">
        <v>518</v>
      </c>
      <c r="CH145" s="17" t="s">
        <v>566</v>
      </c>
      <c r="CI145" s="23">
        <v>5284</v>
      </c>
      <c r="CJ145" s="23" t="b">
        <v>0</v>
      </c>
      <c r="CK145" s="23" t="b">
        <v>0</v>
      </c>
      <c r="CL145" s="23" t="b">
        <v>0</v>
      </c>
      <c r="CM145" s="23" t="b">
        <v>1</v>
      </c>
      <c r="CN145" s="23" t="b">
        <v>0</v>
      </c>
      <c r="CO145" s="17" t="s">
        <v>562</v>
      </c>
    </row>
    <row r="146" spans="1:93" ht="16.5" x14ac:dyDescent="0.25">
      <c r="A146" s="97"/>
      <c r="B146" s="97"/>
      <c r="C146" s="97"/>
      <c r="D146" s="97"/>
      <c r="E146" s="97"/>
      <c r="F146" s="97"/>
      <c r="G146" s="98"/>
      <c r="H146" s="97"/>
      <c r="I146" s="97"/>
      <c r="J146" s="97"/>
      <c r="K146" s="97"/>
      <c r="L146" s="97"/>
      <c r="M146" s="97"/>
      <c r="N146" s="97"/>
      <c r="O146" s="97"/>
      <c r="P146" s="97"/>
      <c r="Q146" s="100"/>
      <c r="R146" s="101"/>
      <c r="S146" s="99"/>
      <c r="T146" s="99"/>
      <c r="U146" s="97"/>
      <c r="V146" s="20" t="str">
        <f t="shared" si="58"/>
        <v/>
      </c>
      <c r="W146" s="20" t="str">
        <f t="shared" si="59"/>
        <v/>
      </c>
      <c r="X146" s="20" t="str">
        <f t="shared" si="60"/>
        <v/>
      </c>
      <c r="Y146" s="20" t="str">
        <f t="shared" si="61"/>
        <v/>
      </c>
      <c r="Z146" s="20" t="str">
        <f t="shared" si="62"/>
        <v/>
      </c>
      <c r="AA146" s="20" t="str">
        <f t="shared" si="63"/>
        <v/>
      </c>
      <c r="AB146" s="20" t="str">
        <f t="shared" si="64"/>
        <v/>
      </c>
      <c r="AC146" s="20" t="str">
        <f t="shared" si="65"/>
        <v/>
      </c>
      <c r="AD146" s="20" t="str">
        <f t="shared" si="66"/>
        <v/>
      </c>
      <c r="AE146" s="20" t="str">
        <f t="shared" si="67"/>
        <v/>
      </c>
      <c r="AF146" s="20" t="str">
        <f t="shared" si="68"/>
        <v/>
      </c>
      <c r="AG146" s="20" t="str">
        <f t="shared" si="69"/>
        <v/>
      </c>
      <c r="AH146" s="20" t="str">
        <f t="shared" si="70"/>
        <v/>
      </c>
      <c r="AI146" s="20" t="str">
        <f t="shared" si="71"/>
        <v/>
      </c>
      <c r="AJ146" s="20" t="str">
        <f t="shared" si="72"/>
        <v/>
      </c>
      <c r="AK146" s="20" t="str">
        <f t="shared" si="73"/>
        <v/>
      </c>
      <c r="AL146" s="20" t="str">
        <f t="shared" si="74"/>
        <v/>
      </c>
      <c r="AM146" s="20" t="str">
        <f t="shared" si="75"/>
        <v/>
      </c>
      <c r="AN146" s="20" t="str">
        <f t="shared" si="76"/>
        <v/>
      </c>
      <c r="AO146" s="20" t="str">
        <f t="shared" si="77"/>
        <v/>
      </c>
      <c r="AP146" s="20" t="str">
        <f t="shared" si="78"/>
        <v/>
      </c>
      <c r="AQ146" s="20" t="str">
        <f t="shared" si="79"/>
        <v/>
      </c>
      <c r="AR146" s="20" t="str">
        <f t="shared" si="80"/>
        <v/>
      </c>
      <c r="AS146" s="20" t="str">
        <f t="shared" si="81"/>
        <v/>
      </c>
      <c r="AT146" s="20" t="str">
        <f t="shared" si="82"/>
        <v/>
      </c>
      <c r="AU146" s="20" t="str">
        <f t="shared" si="83"/>
        <v/>
      </c>
      <c r="AV146" s="20" t="str">
        <f t="shared" si="84"/>
        <v/>
      </c>
      <c r="AW146" s="20" t="str">
        <f t="shared" si="85"/>
        <v/>
      </c>
      <c r="BD146" s="78" t="s">
        <v>204</v>
      </c>
      <c r="BE146" s="78" t="s">
        <v>828</v>
      </c>
      <c r="BF146" s="78" t="s">
        <v>952</v>
      </c>
      <c r="BG146" s="78" t="s">
        <v>127</v>
      </c>
      <c r="BH146" s="78" t="s">
        <v>58</v>
      </c>
      <c r="BI146" s="78" t="str">
        <f t="shared" ref="BI146:BI163" si="87">BE146&amp;BD146&amp;BF146&amp;BG146&amp;BH146</f>
        <v>WMCOMiQorIND_DELChatAgent</v>
      </c>
      <c r="BJ146" s="78"/>
      <c r="BK146" s="97" t="s">
        <v>953</v>
      </c>
      <c r="BL146" t="s">
        <v>953</v>
      </c>
      <c r="BM146" s="78" t="s">
        <v>493</v>
      </c>
      <c r="BN146" s="78" t="s">
        <v>956</v>
      </c>
      <c r="BO146" s="78" t="s">
        <v>109</v>
      </c>
      <c r="BP146" s="78" t="s">
        <v>636</v>
      </c>
      <c r="BQ146" s="78" t="s">
        <v>957</v>
      </c>
      <c r="BR146" s="78" t="s">
        <v>1043</v>
      </c>
      <c r="BS146" s="107" t="s">
        <v>52</v>
      </c>
      <c r="BT146" s="78"/>
      <c r="BU146" s="78" t="s">
        <v>70</v>
      </c>
      <c r="BV146" s="78"/>
      <c r="BW146" s="78"/>
      <c r="BX146" s="78">
        <v>850</v>
      </c>
      <c r="BY146" s="78">
        <v>207312</v>
      </c>
      <c r="BZ146" s="78"/>
      <c r="CA146" s="78"/>
      <c r="CB146" s="78" t="s">
        <v>58</v>
      </c>
      <c r="CC146" s="78" t="s">
        <v>570</v>
      </c>
      <c r="CD146" s="78" t="s">
        <v>958</v>
      </c>
      <c r="CE146" s="78" t="s">
        <v>111</v>
      </c>
      <c r="CF146" s="78" t="s">
        <v>1132</v>
      </c>
      <c r="CG146" s="78" t="s">
        <v>828</v>
      </c>
      <c r="CH146" s="78" t="s">
        <v>204</v>
      </c>
      <c r="CI146" s="26">
        <v>5278</v>
      </c>
      <c r="CJ146" s="23" t="b">
        <v>0</v>
      </c>
      <c r="CK146" s="78" t="b">
        <v>1</v>
      </c>
      <c r="CL146" s="23" t="b">
        <v>0</v>
      </c>
      <c r="CM146" s="23" t="b">
        <v>0</v>
      </c>
      <c r="CN146" s="23" t="b">
        <v>0</v>
      </c>
      <c r="CO146" s="78" t="s">
        <v>61</v>
      </c>
    </row>
    <row r="147" spans="1:93" ht="16.5" x14ac:dyDescent="0.25">
      <c r="A147" s="97"/>
      <c r="B147" s="97"/>
      <c r="C147" s="97"/>
      <c r="D147" s="97"/>
      <c r="E147" s="97"/>
      <c r="F147" s="97"/>
      <c r="G147" s="98"/>
      <c r="H147" s="97"/>
      <c r="I147" s="97"/>
      <c r="J147" s="97"/>
      <c r="K147" s="97"/>
      <c r="L147" s="97"/>
      <c r="M147" s="97"/>
      <c r="N147" s="97"/>
      <c r="O147" s="97"/>
      <c r="P147" s="97"/>
      <c r="Q147" s="100"/>
      <c r="R147" s="101"/>
      <c r="S147" s="99"/>
      <c r="T147" s="99"/>
      <c r="U147" s="97"/>
      <c r="V147" s="20" t="str">
        <f t="shared" si="58"/>
        <v/>
      </c>
      <c r="W147" s="20" t="str">
        <f t="shared" si="59"/>
        <v/>
      </c>
      <c r="X147" s="20" t="str">
        <f t="shared" si="60"/>
        <v/>
      </c>
      <c r="Y147" s="20" t="str">
        <f t="shared" si="61"/>
        <v/>
      </c>
      <c r="Z147" s="20" t="str">
        <f t="shared" si="62"/>
        <v/>
      </c>
      <c r="AA147" s="20" t="str">
        <f t="shared" si="63"/>
        <v/>
      </c>
      <c r="AB147" s="20" t="str">
        <f t="shared" si="64"/>
        <v/>
      </c>
      <c r="AC147" s="20" t="str">
        <f t="shared" si="65"/>
        <v/>
      </c>
      <c r="AD147" s="20" t="str">
        <f t="shared" si="66"/>
        <v/>
      </c>
      <c r="AE147" s="20" t="str">
        <f t="shared" si="67"/>
        <v/>
      </c>
      <c r="AF147" s="20" t="str">
        <f t="shared" si="68"/>
        <v/>
      </c>
      <c r="AG147" s="20" t="str">
        <f t="shared" si="69"/>
        <v/>
      </c>
      <c r="AH147" s="20" t="str">
        <f t="shared" si="70"/>
        <v/>
      </c>
      <c r="AI147" s="20" t="str">
        <f t="shared" si="71"/>
        <v/>
      </c>
      <c r="AJ147" s="20" t="str">
        <f t="shared" si="72"/>
        <v/>
      </c>
      <c r="AK147" s="20" t="str">
        <f t="shared" si="73"/>
        <v/>
      </c>
      <c r="AL147" s="20" t="str">
        <f t="shared" si="74"/>
        <v/>
      </c>
      <c r="AM147" s="20" t="str">
        <f t="shared" si="75"/>
        <v/>
      </c>
      <c r="AN147" s="20" t="str">
        <f t="shared" si="76"/>
        <v/>
      </c>
      <c r="AO147" s="20" t="str">
        <f t="shared" si="77"/>
        <v/>
      </c>
      <c r="AP147" s="20" t="str">
        <f t="shared" si="78"/>
        <v/>
      </c>
      <c r="AQ147" s="20" t="str">
        <f t="shared" si="79"/>
        <v/>
      </c>
      <c r="AR147" s="20" t="str">
        <f t="shared" si="80"/>
        <v/>
      </c>
      <c r="AS147" s="20" t="str">
        <f t="shared" si="81"/>
        <v/>
      </c>
      <c r="AT147" s="20" t="str">
        <f t="shared" si="82"/>
        <v/>
      </c>
      <c r="AU147" s="20" t="str">
        <f t="shared" si="83"/>
        <v/>
      </c>
      <c r="AV147" s="20" t="str">
        <f t="shared" si="84"/>
        <v/>
      </c>
      <c r="AW147" s="20" t="str">
        <f t="shared" si="85"/>
        <v/>
      </c>
      <c r="BD147" s="78" t="s">
        <v>204</v>
      </c>
      <c r="BE147" s="78" t="s">
        <v>828</v>
      </c>
      <c r="BF147" s="78" t="s">
        <v>952</v>
      </c>
      <c r="BG147" s="78" t="s">
        <v>596</v>
      </c>
      <c r="BH147" s="78" t="s">
        <v>92</v>
      </c>
      <c r="BI147" s="78" t="str">
        <f t="shared" si="87"/>
        <v>WMCOMiQorIND_DELBackofficeSupervisor/Team Lead</v>
      </c>
      <c r="BJ147" s="78"/>
      <c r="BK147" s="78" t="s">
        <v>954</v>
      </c>
      <c r="BL147" s="78" t="s">
        <v>954</v>
      </c>
      <c r="BM147" s="78" t="s">
        <v>494</v>
      </c>
      <c r="BN147" s="78" t="s">
        <v>956</v>
      </c>
      <c r="BO147" s="78" t="s">
        <v>109</v>
      </c>
      <c r="BP147" s="78" t="s">
        <v>636</v>
      </c>
      <c r="BQ147" s="78" t="s">
        <v>957</v>
      </c>
      <c r="BR147" s="78" t="s">
        <v>1044</v>
      </c>
      <c r="BS147" s="107" t="s">
        <v>52</v>
      </c>
      <c r="BT147" s="78"/>
      <c r="BU147" s="78" t="s">
        <v>70</v>
      </c>
      <c r="BV147" s="78"/>
      <c r="BW147" s="78"/>
      <c r="BX147" s="78">
        <v>124</v>
      </c>
      <c r="BY147" s="78">
        <v>207312</v>
      </c>
      <c r="BZ147" s="78"/>
      <c r="CA147" s="78"/>
      <c r="CB147" s="78" t="s">
        <v>83</v>
      </c>
      <c r="CC147" s="78" t="s">
        <v>570</v>
      </c>
      <c r="CD147" s="78" t="s">
        <v>958</v>
      </c>
      <c r="CE147" s="78" t="s">
        <v>111</v>
      </c>
      <c r="CF147" s="78" t="s">
        <v>1132</v>
      </c>
      <c r="CG147" s="78" t="s">
        <v>828</v>
      </c>
      <c r="CH147" s="78" t="s">
        <v>204</v>
      </c>
      <c r="CI147" s="26">
        <v>5278</v>
      </c>
      <c r="CJ147" s="23" t="b">
        <v>0</v>
      </c>
      <c r="CK147" s="23" t="b">
        <v>0</v>
      </c>
      <c r="CL147" s="23" t="b">
        <v>0</v>
      </c>
      <c r="CM147" s="23" t="b">
        <v>1</v>
      </c>
      <c r="CN147" s="23" t="b">
        <v>0</v>
      </c>
      <c r="CO147" s="78" t="s">
        <v>61</v>
      </c>
    </row>
    <row r="148" spans="1:93" ht="16.5" x14ac:dyDescent="0.25">
      <c r="A148" s="97"/>
      <c r="B148" s="97"/>
      <c r="C148" s="97"/>
      <c r="D148" s="97"/>
      <c r="E148" s="97"/>
      <c r="F148" s="97"/>
      <c r="G148" s="98"/>
      <c r="H148" s="97"/>
      <c r="I148" s="97"/>
      <c r="J148" s="97"/>
      <c r="K148" s="97"/>
      <c r="L148" s="97"/>
      <c r="M148" s="97"/>
      <c r="N148" s="97"/>
      <c r="O148" s="97"/>
      <c r="P148" s="97"/>
      <c r="Q148" s="100"/>
      <c r="R148" s="101"/>
      <c r="S148" s="99"/>
      <c r="T148" s="99"/>
      <c r="U148" s="97"/>
      <c r="V148" s="20" t="str">
        <f t="shared" si="58"/>
        <v/>
      </c>
      <c r="W148" s="20" t="str">
        <f t="shared" si="59"/>
        <v/>
      </c>
      <c r="X148" s="20" t="str">
        <f t="shared" si="60"/>
        <v/>
      </c>
      <c r="Y148" s="20" t="str">
        <f t="shared" si="61"/>
        <v/>
      </c>
      <c r="Z148" s="20" t="str">
        <f t="shared" si="62"/>
        <v/>
      </c>
      <c r="AA148" s="20" t="str">
        <f t="shared" si="63"/>
        <v/>
      </c>
      <c r="AB148" s="20" t="str">
        <f t="shared" si="64"/>
        <v/>
      </c>
      <c r="AC148" s="20" t="str">
        <f t="shared" si="65"/>
        <v/>
      </c>
      <c r="AD148" s="20" t="str">
        <f t="shared" si="66"/>
        <v/>
      </c>
      <c r="AE148" s="20" t="str">
        <f t="shared" si="67"/>
        <v/>
      </c>
      <c r="AF148" s="20" t="str">
        <f t="shared" si="68"/>
        <v/>
      </c>
      <c r="AG148" s="20" t="str">
        <f t="shared" si="69"/>
        <v/>
      </c>
      <c r="AH148" s="20" t="str">
        <f t="shared" si="70"/>
        <v/>
      </c>
      <c r="AI148" s="20" t="str">
        <f t="shared" si="71"/>
        <v/>
      </c>
      <c r="AJ148" s="20" t="str">
        <f t="shared" si="72"/>
        <v/>
      </c>
      <c r="AK148" s="20" t="str">
        <f t="shared" si="73"/>
        <v/>
      </c>
      <c r="AL148" s="20" t="str">
        <f t="shared" si="74"/>
        <v/>
      </c>
      <c r="AM148" s="20" t="str">
        <f t="shared" si="75"/>
        <v/>
      </c>
      <c r="AN148" s="20" t="str">
        <f t="shared" si="76"/>
        <v/>
      </c>
      <c r="AO148" s="20" t="str">
        <f t="shared" si="77"/>
        <v/>
      </c>
      <c r="AP148" s="20" t="str">
        <f t="shared" si="78"/>
        <v/>
      </c>
      <c r="AQ148" s="20" t="str">
        <f t="shared" si="79"/>
        <v/>
      </c>
      <c r="AR148" s="20" t="str">
        <f t="shared" si="80"/>
        <v/>
      </c>
      <c r="AS148" s="20" t="str">
        <f t="shared" si="81"/>
        <v/>
      </c>
      <c r="AT148" s="20" t="str">
        <f t="shared" si="82"/>
        <v/>
      </c>
      <c r="AU148" s="20" t="str">
        <f t="shared" si="83"/>
        <v/>
      </c>
      <c r="AV148" s="20" t="str">
        <f t="shared" si="84"/>
        <v/>
      </c>
      <c r="AW148" s="20" t="str">
        <f t="shared" si="85"/>
        <v/>
      </c>
      <c r="BD148" s="78" t="s">
        <v>204</v>
      </c>
      <c r="BE148" s="78" t="s">
        <v>828</v>
      </c>
      <c r="BF148" s="78" t="s">
        <v>952</v>
      </c>
      <c r="BG148" s="78" t="s">
        <v>596</v>
      </c>
      <c r="BH148" s="78" t="s">
        <v>147</v>
      </c>
      <c r="BI148" s="78" t="str">
        <f t="shared" si="87"/>
        <v>WMCOMiQorIND_DELBackofficeReporting</v>
      </c>
      <c r="BJ148" s="78"/>
      <c r="BK148" s="78" t="s">
        <v>955</v>
      </c>
      <c r="BL148" s="78" t="s">
        <v>955</v>
      </c>
      <c r="BM148" s="78" t="s">
        <v>687</v>
      </c>
      <c r="BN148" s="78" t="s">
        <v>956</v>
      </c>
      <c r="BO148" s="78" t="s">
        <v>109</v>
      </c>
      <c r="BP148" s="78" t="s">
        <v>636</v>
      </c>
      <c r="BQ148" s="78" t="s">
        <v>957</v>
      </c>
      <c r="BR148" s="78"/>
      <c r="BS148" s="107" t="s">
        <v>52</v>
      </c>
      <c r="BT148" s="78"/>
      <c r="BU148" s="78" t="s">
        <v>70</v>
      </c>
      <c r="BV148" s="78"/>
      <c r="BW148" s="78"/>
      <c r="BX148" s="78">
        <v>124</v>
      </c>
      <c r="BY148" s="78">
        <v>207312</v>
      </c>
      <c r="BZ148" s="78"/>
      <c r="CA148" s="78"/>
      <c r="CB148" s="78" t="s">
        <v>83</v>
      </c>
      <c r="CC148" s="78" t="s">
        <v>570</v>
      </c>
      <c r="CD148" s="78" t="s">
        <v>958</v>
      </c>
      <c r="CE148" s="78" t="s">
        <v>111</v>
      </c>
      <c r="CF148" s="78" t="s">
        <v>1132</v>
      </c>
      <c r="CG148" s="78" t="s">
        <v>828</v>
      </c>
      <c r="CH148" s="78" t="s">
        <v>204</v>
      </c>
      <c r="CI148" s="26">
        <v>5278</v>
      </c>
      <c r="CJ148" s="23" t="b">
        <v>0</v>
      </c>
      <c r="CK148" s="23" t="b">
        <v>0</v>
      </c>
      <c r="CL148" s="23" t="b">
        <v>0</v>
      </c>
      <c r="CM148" s="23" t="b">
        <v>1</v>
      </c>
      <c r="CN148" s="23" t="b">
        <v>0</v>
      </c>
      <c r="CO148" s="78" t="s">
        <v>61</v>
      </c>
    </row>
    <row r="149" spans="1:93" ht="16.5" x14ac:dyDescent="0.25">
      <c r="A149" s="97"/>
      <c r="B149" s="97"/>
      <c r="C149" s="97"/>
      <c r="D149" s="97"/>
      <c r="E149" s="97"/>
      <c r="F149" s="97"/>
      <c r="G149" s="98"/>
      <c r="H149" s="97"/>
      <c r="I149" s="97"/>
      <c r="J149" s="97"/>
      <c r="K149" s="97"/>
      <c r="L149" s="97"/>
      <c r="M149" s="97"/>
      <c r="N149" s="97"/>
      <c r="O149" s="97"/>
      <c r="P149" s="97"/>
      <c r="Q149" s="100"/>
      <c r="R149" s="101"/>
      <c r="S149" s="99"/>
      <c r="T149" s="99"/>
      <c r="U149" s="97"/>
      <c r="V149" s="20" t="str">
        <f t="shared" si="58"/>
        <v/>
      </c>
      <c r="W149" s="20" t="str">
        <f t="shared" si="59"/>
        <v/>
      </c>
      <c r="X149" s="20" t="str">
        <f t="shared" si="60"/>
        <v/>
      </c>
      <c r="Y149" s="20" t="str">
        <f t="shared" si="61"/>
        <v/>
      </c>
      <c r="Z149" s="20" t="str">
        <f t="shared" si="62"/>
        <v/>
      </c>
      <c r="AA149" s="20" t="str">
        <f t="shared" si="63"/>
        <v/>
      </c>
      <c r="AB149" s="20" t="str">
        <f t="shared" si="64"/>
        <v/>
      </c>
      <c r="AC149" s="20" t="str">
        <f t="shared" si="65"/>
        <v/>
      </c>
      <c r="AD149" s="20" t="str">
        <f t="shared" si="66"/>
        <v/>
      </c>
      <c r="AE149" s="20" t="str">
        <f t="shared" si="67"/>
        <v/>
      </c>
      <c r="AF149" s="20" t="str">
        <f t="shared" si="68"/>
        <v/>
      </c>
      <c r="AG149" s="20" t="str">
        <f t="shared" si="69"/>
        <v/>
      </c>
      <c r="AH149" s="20" t="str">
        <f t="shared" si="70"/>
        <v/>
      </c>
      <c r="AI149" s="20" t="str">
        <f t="shared" si="71"/>
        <v/>
      </c>
      <c r="AJ149" s="20" t="str">
        <f t="shared" si="72"/>
        <v/>
      </c>
      <c r="AK149" s="20" t="str">
        <f t="shared" si="73"/>
        <v/>
      </c>
      <c r="AL149" s="20" t="str">
        <f t="shared" si="74"/>
        <v/>
      </c>
      <c r="AM149" s="20" t="str">
        <f t="shared" si="75"/>
        <v/>
      </c>
      <c r="AN149" s="20" t="str">
        <f t="shared" si="76"/>
        <v/>
      </c>
      <c r="AO149" s="20" t="str">
        <f t="shared" si="77"/>
        <v/>
      </c>
      <c r="AP149" s="20" t="str">
        <f t="shared" si="78"/>
        <v/>
      </c>
      <c r="AQ149" s="20" t="str">
        <f t="shared" si="79"/>
        <v/>
      </c>
      <c r="AR149" s="20" t="str">
        <f t="shared" si="80"/>
        <v/>
      </c>
      <c r="AS149" s="20" t="str">
        <f t="shared" si="81"/>
        <v/>
      </c>
      <c r="AT149" s="20" t="str">
        <f t="shared" si="82"/>
        <v/>
      </c>
      <c r="AU149" s="20" t="str">
        <f t="shared" si="83"/>
        <v/>
      </c>
      <c r="AV149" s="20" t="str">
        <f t="shared" si="84"/>
        <v/>
      </c>
      <c r="AW149" s="20" t="str">
        <f t="shared" si="85"/>
        <v/>
      </c>
      <c r="BD149" s="17" t="s">
        <v>178</v>
      </c>
      <c r="BE149" s="17" t="s">
        <v>594</v>
      </c>
      <c r="BF149" s="78" t="s">
        <v>959</v>
      </c>
      <c r="BG149" s="78" t="s">
        <v>595</v>
      </c>
      <c r="BH149" s="78" t="s">
        <v>58</v>
      </c>
      <c r="BI149" s="78" t="str">
        <f t="shared" si="87"/>
        <v>Spark DriverIbexPHL_ALBPhoneAgent</v>
      </c>
      <c r="BJ149" s="78"/>
      <c r="BK149" s="78">
        <v>221307</v>
      </c>
      <c r="BL149" s="78" t="s">
        <v>961</v>
      </c>
      <c r="BM149" s="78">
        <v>1073742001</v>
      </c>
      <c r="BN149" s="78" t="s">
        <v>963</v>
      </c>
      <c r="BO149" s="78" t="s">
        <v>74</v>
      </c>
      <c r="BP149" s="78" t="s">
        <v>636</v>
      </c>
      <c r="BQ149" s="97" t="s">
        <v>962</v>
      </c>
      <c r="BR149" s="78" t="s">
        <v>1045</v>
      </c>
      <c r="BS149" s="22" t="s">
        <v>517</v>
      </c>
      <c r="BT149" s="78"/>
      <c r="BU149" s="78" t="s">
        <v>70</v>
      </c>
      <c r="BV149" s="17" t="s">
        <v>58</v>
      </c>
      <c r="BW149" s="78"/>
      <c r="BX149" s="78">
        <v>365</v>
      </c>
      <c r="BY149" s="78">
        <v>164097</v>
      </c>
      <c r="BZ149" s="78" t="s">
        <v>972</v>
      </c>
      <c r="CA149" s="78"/>
      <c r="CB149" s="78" t="s">
        <v>58</v>
      </c>
      <c r="CC149" s="78" t="s">
        <v>568</v>
      </c>
      <c r="CD149" s="78" t="s">
        <v>964</v>
      </c>
      <c r="CE149" s="17" t="s">
        <v>98</v>
      </c>
      <c r="CF149" s="17" t="s">
        <v>1131</v>
      </c>
      <c r="CG149" s="17" t="s">
        <v>518</v>
      </c>
      <c r="CH149" s="78" t="s">
        <v>178</v>
      </c>
      <c r="CI149" s="103">
        <v>5274</v>
      </c>
      <c r="CJ149" s="23" t="b">
        <v>1</v>
      </c>
      <c r="CK149" s="23" t="b">
        <v>0</v>
      </c>
      <c r="CL149" s="23" t="b">
        <v>0</v>
      </c>
      <c r="CM149" s="23" t="b">
        <v>0</v>
      </c>
      <c r="CN149" s="23" t="b">
        <v>0</v>
      </c>
      <c r="CO149" s="17" t="s">
        <v>562</v>
      </c>
    </row>
    <row r="150" spans="1:93" ht="16.5" x14ac:dyDescent="0.25">
      <c r="A150" s="97"/>
      <c r="B150" s="97"/>
      <c r="C150" s="97"/>
      <c r="D150" s="97"/>
      <c r="E150" s="97"/>
      <c r="F150" s="97"/>
      <c r="G150" s="98"/>
      <c r="H150" s="97"/>
      <c r="I150" s="97"/>
      <c r="J150" s="97"/>
      <c r="K150" s="97"/>
      <c r="L150" s="97"/>
      <c r="M150" s="97"/>
      <c r="N150" s="97"/>
      <c r="O150" s="97"/>
      <c r="P150" s="97"/>
      <c r="Q150" s="100"/>
      <c r="R150" s="101"/>
      <c r="S150" s="99"/>
      <c r="T150" s="99"/>
      <c r="U150" s="97"/>
      <c r="V150" s="20" t="str">
        <f t="shared" si="58"/>
        <v/>
      </c>
      <c r="W150" s="20" t="str">
        <f t="shared" si="59"/>
        <v/>
      </c>
      <c r="X150" s="20" t="str">
        <f t="shared" si="60"/>
        <v/>
      </c>
      <c r="Y150" s="20" t="str">
        <f t="shared" si="61"/>
        <v/>
      </c>
      <c r="Z150" s="20" t="str">
        <f t="shared" si="62"/>
        <v/>
      </c>
      <c r="AA150" s="20" t="str">
        <f t="shared" si="63"/>
        <v/>
      </c>
      <c r="AB150" s="20" t="str">
        <f t="shared" si="64"/>
        <v/>
      </c>
      <c r="AC150" s="20" t="str">
        <f t="shared" si="65"/>
        <v/>
      </c>
      <c r="AD150" s="20" t="str">
        <f t="shared" si="66"/>
        <v/>
      </c>
      <c r="AE150" s="20" t="str">
        <f t="shared" si="67"/>
        <v/>
      </c>
      <c r="AF150" s="20" t="str">
        <f t="shared" si="68"/>
        <v/>
      </c>
      <c r="AG150" s="20" t="str">
        <f t="shared" si="69"/>
        <v/>
      </c>
      <c r="AH150" s="20" t="str">
        <f t="shared" si="70"/>
        <v/>
      </c>
      <c r="AI150" s="20" t="str">
        <f t="shared" si="71"/>
        <v/>
      </c>
      <c r="AJ150" s="20" t="str">
        <f t="shared" si="72"/>
        <v/>
      </c>
      <c r="AK150" s="20" t="str">
        <f t="shared" si="73"/>
        <v/>
      </c>
      <c r="AL150" s="20" t="str">
        <f t="shared" si="74"/>
        <v/>
      </c>
      <c r="AM150" s="20" t="str">
        <f t="shared" si="75"/>
        <v/>
      </c>
      <c r="AN150" s="20" t="str">
        <f t="shared" si="76"/>
        <v/>
      </c>
      <c r="AO150" s="20" t="str">
        <f t="shared" si="77"/>
        <v/>
      </c>
      <c r="AP150" s="20" t="str">
        <f t="shared" si="78"/>
        <v/>
      </c>
      <c r="AQ150" s="20" t="str">
        <f t="shared" si="79"/>
        <v/>
      </c>
      <c r="AR150" s="20" t="str">
        <f t="shared" si="80"/>
        <v/>
      </c>
      <c r="AS150" s="20" t="str">
        <f t="shared" si="81"/>
        <v/>
      </c>
      <c r="AT150" s="20" t="str">
        <f t="shared" si="82"/>
        <v/>
      </c>
      <c r="AU150" s="20" t="str">
        <f t="shared" si="83"/>
        <v/>
      </c>
      <c r="AV150" s="20" t="str">
        <f t="shared" si="84"/>
        <v/>
      </c>
      <c r="AW150" s="20" t="str">
        <f t="shared" si="85"/>
        <v/>
      </c>
      <c r="BD150" s="17" t="s">
        <v>178</v>
      </c>
      <c r="BE150" s="17" t="s">
        <v>594</v>
      </c>
      <c r="BF150" s="78" t="s">
        <v>959</v>
      </c>
      <c r="BG150" s="78" t="s">
        <v>596</v>
      </c>
      <c r="BH150" s="78" t="s">
        <v>92</v>
      </c>
      <c r="BI150" s="78" t="str">
        <f t="shared" si="87"/>
        <v>Spark DriverIbexPHL_ALBBackofficeSupervisor/Team Lead</v>
      </c>
      <c r="BJ150" s="78"/>
      <c r="BK150" s="78">
        <v>221305</v>
      </c>
      <c r="BL150" s="78" t="s">
        <v>960</v>
      </c>
      <c r="BM150" s="78">
        <v>1073742002</v>
      </c>
      <c r="BN150" s="78" t="s">
        <v>963</v>
      </c>
      <c r="BO150" s="78" t="s">
        <v>74</v>
      </c>
      <c r="BP150" s="78" t="s">
        <v>636</v>
      </c>
      <c r="BQ150" s="97" t="s">
        <v>962</v>
      </c>
      <c r="BR150" s="78" t="s">
        <v>1045</v>
      </c>
      <c r="BS150" s="22" t="s">
        <v>517</v>
      </c>
      <c r="BT150" s="78"/>
      <c r="BU150" s="78" t="s">
        <v>70</v>
      </c>
      <c r="BV150" s="17" t="s">
        <v>83</v>
      </c>
      <c r="BW150" s="78"/>
      <c r="BX150" s="78">
        <v>366</v>
      </c>
      <c r="BY150" s="78">
        <v>164098</v>
      </c>
      <c r="BZ150" s="78" t="s">
        <v>972</v>
      </c>
      <c r="CA150" s="78"/>
      <c r="CB150" s="78" t="s">
        <v>83</v>
      </c>
      <c r="CC150" s="78" t="s">
        <v>568</v>
      </c>
      <c r="CD150" s="78" t="s">
        <v>964</v>
      </c>
      <c r="CE150" s="17" t="s">
        <v>98</v>
      </c>
      <c r="CF150" s="17" t="s">
        <v>1131</v>
      </c>
      <c r="CG150" s="17" t="s">
        <v>518</v>
      </c>
      <c r="CH150" s="78" t="s">
        <v>178</v>
      </c>
      <c r="CI150" s="103">
        <v>5274</v>
      </c>
      <c r="CJ150" s="23" t="b">
        <v>0</v>
      </c>
      <c r="CK150" s="23" t="b">
        <v>0</v>
      </c>
      <c r="CL150" s="23" t="b">
        <v>0</v>
      </c>
      <c r="CM150" s="23" t="b">
        <v>1</v>
      </c>
      <c r="CN150" s="23" t="b">
        <v>0</v>
      </c>
      <c r="CO150" s="17" t="s">
        <v>562</v>
      </c>
    </row>
    <row r="151" spans="1:93" ht="16.5" x14ac:dyDescent="0.25">
      <c r="A151" s="97"/>
      <c r="B151" s="97"/>
      <c r="C151" s="97"/>
      <c r="D151" s="97"/>
      <c r="E151" s="97"/>
      <c r="F151" s="97"/>
      <c r="G151" s="98"/>
      <c r="H151" s="97"/>
      <c r="I151" s="97"/>
      <c r="J151" s="97"/>
      <c r="K151" s="97"/>
      <c r="L151" s="97"/>
      <c r="M151" s="97"/>
      <c r="N151" s="97"/>
      <c r="O151" s="97"/>
      <c r="P151" s="97"/>
      <c r="Q151" s="100"/>
      <c r="R151" s="101"/>
      <c r="S151" s="99"/>
      <c r="T151" s="99"/>
      <c r="U151" s="97"/>
      <c r="V151" s="20" t="str">
        <f t="shared" si="58"/>
        <v/>
      </c>
      <c r="W151" s="20" t="str">
        <f t="shared" si="59"/>
        <v/>
      </c>
      <c r="X151" s="20" t="str">
        <f t="shared" si="60"/>
        <v/>
      </c>
      <c r="Y151" s="20" t="str">
        <f t="shared" si="61"/>
        <v/>
      </c>
      <c r="Z151" s="20" t="str">
        <f t="shared" si="62"/>
        <v/>
      </c>
      <c r="AA151" s="20" t="str">
        <f t="shared" si="63"/>
        <v/>
      </c>
      <c r="AB151" s="20" t="str">
        <f t="shared" si="64"/>
        <v/>
      </c>
      <c r="AC151" s="20" t="str">
        <f t="shared" si="65"/>
        <v/>
      </c>
      <c r="AD151" s="20" t="str">
        <f t="shared" si="66"/>
        <v/>
      </c>
      <c r="AE151" s="20" t="str">
        <f t="shared" si="67"/>
        <v/>
      </c>
      <c r="AF151" s="20" t="str">
        <f t="shared" si="68"/>
        <v/>
      </c>
      <c r="AG151" s="20" t="str">
        <f t="shared" si="69"/>
        <v/>
      </c>
      <c r="AH151" s="20" t="str">
        <f t="shared" si="70"/>
        <v/>
      </c>
      <c r="AI151" s="20" t="str">
        <f t="shared" si="71"/>
        <v/>
      </c>
      <c r="AJ151" s="20" t="str">
        <f t="shared" si="72"/>
        <v/>
      </c>
      <c r="AK151" s="20" t="str">
        <f t="shared" si="73"/>
        <v/>
      </c>
      <c r="AL151" s="20" t="str">
        <f t="shared" si="74"/>
        <v/>
      </c>
      <c r="AM151" s="20" t="str">
        <f t="shared" si="75"/>
        <v/>
      </c>
      <c r="AN151" s="20" t="str">
        <f t="shared" si="76"/>
        <v/>
      </c>
      <c r="AO151" s="20" t="str">
        <f t="shared" si="77"/>
        <v/>
      </c>
      <c r="AP151" s="20" t="str">
        <f t="shared" si="78"/>
        <v/>
      </c>
      <c r="AQ151" s="20" t="str">
        <f t="shared" si="79"/>
        <v/>
      </c>
      <c r="AR151" s="20" t="str">
        <f t="shared" si="80"/>
        <v/>
      </c>
      <c r="AS151" s="20" t="str">
        <f t="shared" si="81"/>
        <v/>
      </c>
      <c r="AT151" s="20" t="str">
        <f t="shared" si="82"/>
        <v/>
      </c>
      <c r="AU151" s="20" t="str">
        <f t="shared" si="83"/>
        <v/>
      </c>
      <c r="AV151" s="20" t="str">
        <f t="shared" si="84"/>
        <v/>
      </c>
      <c r="AW151" s="20" t="str">
        <f t="shared" si="85"/>
        <v/>
      </c>
      <c r="BD151" s="17" t="s">
        <v>87</v>
      </c>
      <c r="BE151" s="17" t="s">
        <v>594</v>
      </c>
      <c r="BF151" s="17" t="s">
        <v>547</v>
      </c>
      <c r="BG151" s="17" t="s">
        <v>127</v>
      </c>
      <c r="BH151" s="17" t="s">
        <v>58</v>
      </c>
      <c r="BI151" s="78" t="str">
        <f t="shared" si="87"/>
        <v>Spark Driver24-7 IntouchBogotaChatAgent</v>
      </c>
      <c r="BK151" s="79">
        <v>360362</v>
      </c>
      <c r="BL151" s="79" t="s">
        <v>549</v>
      </c>
      <c r="BM151" s="99">
        <v>3321</v>
      </c>
      <c r="BN151" s="99" t="s">
        <v>548</v>
      </c>
      <c r="BO151" s="17" t="s">
        <v>86</v>
      </c>
      <c r="BP151" s="17" t="s">
        <v>547</v>
      </c>
      <c r="BQ151" s="17" t="s">
        <v>547</v>
      </c>
      <c r="BS151" s="22" t="s">
        <v>517</v>
      </c>
      <c r="BV151" s="17" t="s">
        <v>58</v>
      </c>
      <c r="BX151" s="17">
        <v>371</v>
      </c>
      <c r="BY151" s="17">
        <v>144406</v>
      </c>
      <c r="BZ151" s="17" t="s">
        <v>543</v>
      </c>
      <c r="CB151" s="17" t="s">
        <v>58</v>
      </c>
      <c r="CC151" s="17" t="s">
        <v>569</v>
      </c>
      <c r="CD151" s="17" t="s">
        <v>579</v>
      </c>
      <c r="CE151" s="17" t="s">
        <v>64</v>
      </c>
      <c r="CF151" s="17" t="s">
        <v>1131</v>
      </c>
      <c r="CG151" s="17" t="s">
        <v>518</v>
      </c>
      <c r="CH151" s="17" t="s">
        <v>566</v>
      </c>
      <c r="CI151" s="23">
        <v>5284</v>
      </c>
      <c r="CJ151" s="23" t="b">
        <v>0</v>
      </c>
      <c r="CK151" s="23" t="b">
        <v>1</v>
      </c>
      <c r="CL151" s="23" t="b">
        <v>0</v>
      </c>
      <c r="CM151" s="23" t="b">
        <v>0</v>
      </c>
      <c r="CN151" s="23" t="b">
        <v>0</v>
      </c>
      <c r="CO151" s="17" t="s">
        <v>562</v>
      </c>
    </row>
    <row r="152" spans="1:93" ht="16.5" x14ac:dyDescent="0.25">
      <c r="A152" s="97"/>
      <c r="B152" s="97"/>
      <c r="C152" s="97"/>
      <c r="D152" s="97"/>
      <c r="E152" s="97"/>
      <c r="F152" s="97"/>
      <c r="G152" s="98"/>
      <c r="H152" s="97"/>
      <c r="I152" s="97"/>
      <c r="J152" s="97"/>
      <c r="K152" s="97"/>
      <c r="L152" s="97"/>
      <c r="M152" s="97"/>
      <c r="N152" s="97"/>
      <c r="O152" s="97"/>
      <c r="P152" s="97"/>
      <c r="Q152" s="100"/>
      <c r="R152" s="101"/>
      <c r="S152" s="99"/>
      <c r="T152" s="99"/>
      <c r="U152" s="97"/>
      <c r="V152" s="20" t="str">
        <f t="shared" si="58"/>
        <v/>
      </c>
      <c r="W152" s="20" t="str">
        <f t="shared" si="59"/>
        <v/>
      </c>
      <c r="X152" s="20" t="str">
        <f t="shared" si="60"/>
        <v/>
      </c>
      <c r="Y152" s="20" t="str">
        <f t="shared" si="61"/>
        <v/>
      </c>
      <c r="Z152" s="20" t="str">
        <f t="shared" si="62"/>
        <v/>
      </c>
      <c r="AA152" s="20" t="str">
        <f t="shared" si="63"/>
        <v/>
      </c>
      <c r="AB152" s="20" t="str">
        <f t="shared" si="64"/>
        <v/>
      </c>
      <c r="AC152" s="20" t="str">
        <f t="shared" si="65"/>
        <v/>
      </c>
      <c r="AD152" s="20" t="str">
        <f t="shared" si="66"/>
        <v/>
      </c>
      <c r="AE152" s="20" t="str">
        <f t="shared" si="67"/>
        <v/>
      </c>
      <c r="AF152" s="20" t="str">
        <f t="shared" si="68"/>
        <v/>
      </c>
      <c r="AG152" s="20" t="str">
        <f t="shared" si="69"/>
        <v/>
      </c>
      <c r="AH152" s="20" t="str">
        <f t="shared" si="70"/>
        <v/>
      </c>
      <c r="AI152" s="20" t="str">
        <f t="shared" si="71"/>
        <v/>
      </c>
      <c r="AJ152" s="20" t="str">
        <f t="shared" si="72"/>
        <v/>
      </c>
      <c r="AK152" s="20" t="str">
        <f t="shared" si="73"/>
        <v/>
      </c>
      <c r="AL152" s="20" t="str">
        <f t="shared" si="74"/>
        <v/>
      </c>
      <c r="AM152" s="20" t="str">
        <f t="shared" si="75"/>
        <v/>
      </c>
      <c r="AN152" s="20" t="str">
        <f t="shared" si="76"/>
        <v/>
      </c>
      <c r="AO152" s="20" t="str">
        <f t="shared" si="77"/>
        <v/>
      </c>
      <c r="AP152" s="20" t="str">
        <f t="shared" si="78"/>
        <v/>
      </c>
      <c r="AQ152" s="20" t="str">
        <f t="shared" si="79"/>
        <v/>
      </c>
      <c r="AR152" s="20" t="str">
        <f t="shared" si="80"/>
        <v/>
      </c>
      <c r="AS152" s="20" t="str">
        <f t="shared" si="81"/>
        <v/>
      </c>
      <c r="AT152" s="20" t="str">
        <f t="shared" si="82"/>
        <v/>
      </c>
      <c r="AU152" s="20" t="str">
        <f t="shared" si="83"/>
        <v/>
      </c>
      <c r="AV152" s="20" t="str">
        <f t="shared" si="84"/>
        <v/>
      </c>
      <c r="AW152" s="20" t="str">
        <f t="shared" si="85"/>
        <v/>
      </c>
      <c r="BD152" s="17" t="s">
        <v>87</v>
      </c>
      <c r="BE152" s="17" t="s">
        <v>594</v>
      </c>
      <c r="BF152" s="17" t="s">
        <v>547</v>
      </c>
      <c r="BG152" s="17" t="s">
        <v>150</v>
      </c>
      <c r="BH152" s="17" t="s">
        <v>58</v>
      </c>
      <c r="BI152" s="78" t="str">
        <f t="shared" si="87"/>
        <v>Spark Driver24-7 IntouchBogotaEmailAgent</v>
      </c>
      <c r="BK152" s="79">
        <v>360362</v>
      </c>
      <c r="BL152" s="79" t="s">
        <v>549</v>
      </c>
      <c r="BM152" s="99">
        <v>3321</v>
      </c>
      <c r="BN152" s="99" t="s">
        <v>548</v>
      </c>
      <c r="BO152" s="17" t="s">
        <v>86</v>
      </c>
      <c r="BP152" s="17" t="s">
        <v>547</v>
      </c>
      <c r="BQ152" s="17" t="s">
        <v>547</v>
      </c>
      <c r="BS152" s="22" t="s">
        <v>517</v>
      </c>
      <c r="BV152" s="17" t="s">
        <v>58</v>
      </c>
      <c r="BX152" s="17">
        <v>371</v>
      </c>
      <c r="BY152" s="17">
        <v>144406</v>
      </c>
      <c r="BZ152" s="17" t="s">
        <v>543</v>
      </c>
      <c r="CB152" s="17" t="s">
        <v>58</v>
      </c>
      <c r="CC152" s="17" t="s">
        <v>569</v>
      </c>
      <c r="CD152" s="17" t="s">
        <v>579</v>
      </c>
      <c r="CE152" s="17" t="s">
        <v>64</v>
      </c>
      <c r="CF152" s="17" t="s">
        <v>1131</v>
      </c>
      <c r="CG152" s="17" t="s">
        <v>518</v>
      </c>
      <c r="CH152" s="17" t="s">
        <v>566</v>
      </c>
      <c r="CI152" s="23">
        <v>5284</v>
      </c>
      <c r="CJ152" s="23" t="b">
        <v>0</v>
      </c>
      <c r="CK152" s="23" t="b">
        <v>0</v>
      </c>
      <c r="CL152" s="23" t="b">
        <v>1</v>
      </c>
      <c r="CM152" s="23" t="b">
        <v>0</v>
      </c>
      <c r="CN152" s="23" t="b">
        <v>0</v>
      </c>
      <c r="CO152" s="17" t="s">
        <v>562</v>
      </c>
    </row>
    <row r="153" spans="1:93" ht="16.5" x14ac:dyDescent="0.25">
      <c r="A153" s="97"/>
      <c r="B153" s="97"/>
      <c r="C153" s="97"/>
      <c r="D153" s="97"/>
      <c r="E153" s="97"/>
      <c r="F153" s="97"/>
      <c r="G153" s="98"/>
      <c r="H153" s="97"/>
      <c r="I153" s="97"/>
      <c r="J153" s="97"/>
      <c r="K153" s="97"/>
      <c r="L153" s="97"/>
      <c r="M153" s="97"/>
      <c r="N153" s="97"/>
      <c r="O153" s="97"/>
      <c r="P153" s="97"/>
      <c r="Q153" s="100"/>
      <c r="R153" s="101"/>
      <c r="S153" s="99"/>
      <c r="T153" s="99"/>
      <c r="U153" s="97"/>
      <c r="V153" s="20" t="str">
        <f t="shared" si="58"/>
        <v/>
      </c>
      <c r="W153" s="20" t="str">
        <f t="shared" si="59"/>
        <v/>
      </c>
      <c r="X153" s="20" t="str">
        <f t="shared" si="60"/>
        <v/>
      </c>
      <c r="Y153" s="20" t="str">
        <f t="shared" si="61"/>
        <v/>
      </c>
      <c r="Z153" s="20" t="str">
        <f t="shared" si="62"/>
        <v/>
      </c>
      <c r="AA153" s="20" t="str">
        <f t="shared" si="63"/>
        <v/>
      </c>
      <c r="AB153" s="20" t="str">
        <f t="shared" si="64"/>
        <v/>
      </c>
      <c r="AC153" s="20" t="str">
        <f t="shared" si="65"/>
        <v/>
      </c>
      <c r="AD153" s="20" t="str">
        <f t="shared" si="66"/>
        <v/>
      </c>
      <c r="AE153" s="20" t="str">
        <f t="shared" si="67"/>
        <v/>
      </c>
      <c r="AF153" s="20" t="str">
        <f t="shared" si="68"/>
        <v/>
      </c>
      <c r="AG153" s="20" t="str">
        <f t="shared" si="69"/>
        <v/>
      </c>
      <c r="AH153" s="20" t="str">
        <f t="shared" si="70"/>
        <v/>
      </c>
      <c r="AI153" s="20" t="str">
        <f t="shared" si="71"/>
        <v/>
      </c>
      <c r="AJ153" s="20" t="str">
        <f t="shared" si="72"/>
        <v/>
      </c>
      <c r="AK153" s="20" t="str">
        <f t="shared" si="73"/>
        <v/>
      </c>
      <c r="AL153" s="20" t="str">
        <f t="shared" si="74"/>
        <v/>
      </c>
      <c r="AM153" s="20" t="str">
        <f t="shared" si="75"/>
        <v/>
      </c>
      <c r="AN153" s="20" t="str">
        <f t="shared" si="76"/>
        <v/>
      </c>
      <c r="AO153" s="20" t="str">
        <f t="shared" si="77"/>
        <v/>
      </c>
      <c r="AP153" s="20" t="str">
        <f t="shared" si="78"/>
        <v/>
      </c>
      <c r="AQ153" s="20" t="str">
        <f t="shared" si="79"/>
        <v/>
      </c>
      <c r="AR153" s="20" t="str">
        <f t="shared" si="80"/>
        <v/>
      </c>
      <c r="AS153" s="20" t="str">
        <f t="shared" si="81"/>
        <v/>
      </c>
      <c r="AT153" s="20" t="str">
        <f t="shared" si="82"/>
        <v/>
      </c>
      <c r="AU153" s="20" t="str">
        <f t="shared" si="83"/>
        <v/>
      </c>
      <c r="AV153" s="20" t="str">
        <f t="shared" si="84"/>
        <v/>
      </c>
      <c r="AW153" s="20" t="str">
        <f t="shared" si="85"/>
        <v/>
      </c>
      <c r="BD153" s="78" t="s">
        <v>233</v>
      </c>
      <c r="BE153" s="78" t="s">
        <v>828</v>
      </c>
      <c r="BF153" s="17" t="s">
        <v>974</v>
      </c>
      <c r="BG153" s="78" t="s">
        <v>595</v>
      </c>
      <c r="BH153" s="17" t="s">
        <v>58</v>
      </c>
      <c r="BI153" s="78" t="str">
        <f t="shared" si="87"/>
        <v>WMCOMTeleperformanceGUY_GEOPhoneAgent</v>
      </c>
      <c r="BK153" s="78" t="s">
        <v>977</v>
      </c>
      <c r="BL153" s="78" t="s">
        <v>977</v>
      </c>
      <c r="BM153" s="78" t="s">
        <v>497</v>
      </c>
      <c r="BN153" s="78" t="s">
        <v>979</v>
      </c>
      <c r="BO153" s="78" t="s">
        <v>212</v>
      </c>
      <c r="BP153" s="78" t="s">
        <v>636</v>
      </c>
      <c r="BQ153" t="s">
        <v>980</v>
      </c>
      <c r="BR153" s="78" t="s">
        <v>1046</v>
      </c>
      <c r="BS153" s="78" t="s">
        <v>715</v>
      </c>
      <c r="BT153" s="78"/>
      <c r="BU153" s="78" t="s">
        <v>70</v>
      </c>
      <c r="BV153" s="78"/>
      <c r="BW153" s="78"/>
      <c r="BX153" s="78">
        <v>859</v>
      </c>
      <c r="BY153" s="78">
        <v>209366</v>
      </c>
      <c r="BZ153" s="78"/>
      <c r="CA153" s="78"/>
      <c r="CB153" s="17" t="s">
        <v>58</v>
      </c>
      <c r="CC153" s="78" t="s">
        <v>981</v>
      </c>
      <c r="CD153" s="78" t="s">
        <v>982</v>
      </c>
      <c r="CE153" s="97" t="s">
        <v>76</v>
      </c>
      <c r="CF153" s="78" t="s">
        <v>1132</v>
      </c>
      <c r="CG153" s="78" t="s">
        <v>828</v>
      </c>
      <c r="CH153" s="78" t="s">
        <v>233</v>
      </c>
      <c r="CI153" s="78">
        <v>5256</v>
      </c>
      <c r="CJ153" s="23" t="b">
        <v>1</v>
      </c>
      <c r="CK153" s="23" t="b">
        <v>0</v>
      </c>
      <c r="CL153" s="23" t="b">
        <v>0</v>
      </c>
      <c r="CM153" s="23" t="b">
        <v>0</v>
      </c>
      <c r="CN153" s="23" t="b">
        <v>0</v>
      </c>
      <c r="CO153" s="78" t="s">
        <v>61</v>
      </c>
    </row>
    <row r="154" spans="1:93" ht="16.5" x14ac:dyDescent="0.25">
      <c r="A154" s="97"/>
      <c r="B154" s="97"/>
      <c r="C154" s="97"/>
      <c r="D154" s="97"/>
      <c r="E154" s="97"/>
      <c r="F154" s="97"/>
      <c r="G154" s="98"/>
      <c r="H154" s="97"/>
      <c r="I154" s="97"/>
      <c r="J154" s="97"/>
      <c r="K154" s="97"/>
      <c r="L154" s="97"/>
      <c r="M154" s="97"/>
      <c r="N154" s="97"/>
      <c r="O154" s="97"/>
      <c r="P154" s="97"/>
      <c r="Q154" s="100"/>
      <c r="R154" s="101"/>
      <c r="S154" s="99"/>
      <c r="T154" s="99"/>
      <c r="U154" s="97"/>
      <c r="V154" s="20" t="str">
        <f t="shared" si="58"/>
        <v/>
      </c>
      <c r="W154" s="20" t="str">
        <f t="shared" si="59"/>
        <v/>
      </c>
      <c r="X154" s="20" t="str">
        <f t="shared" si="60"/>
        <v/>
      </c>
      <c r="Y154" s="20" t="str">
        <f t="shared" si="61"/>
        <v/>
      </c>
      <c r="Z154" s="20" t="str">
        <f t="shared" si="62"/>
        <v/>
      </c>
      <c r="AA154" s="20" t="str">
        <f t="shared" si="63"/>
        <v/>
      </c>
      <c r="AB154" s="20" t="str">
        <f t="shared" si="64"/>
        <v/>
      </c>
      <c r="AC154" s="20" t="str">
        <f t="shared" si="65"/>
        <v/>
      </c>
      <c r="AD154" s="20" t="str">
        <f t="shared" si="66"/>
        <v/>
      </c>
      <c r="AE154" s="20" t="str">
        <f t="shared" si="67"/>
        <v/>
      </c>
      <c r="AF154" s="20" t="str">
        <f t="shared" si="68"/>
        <v/>
      </c>
      <c r="AG154" s="20" t="str">
        <f t="shared" si="69"/>
        <v/>
      </c>
      <c r="AH154" s="20" t="str">
        <f t="shared" si="70"/>
        <v/>
      </c>
      <c r="AI154" s="20" t="str">
        <f t="shared" si="71"/>
        <v/>
      </c>
      <c r="AJ154" s="20" t="str">
        <f t="shared" si="72"/>
        <v/>
      </c>
      <c r="AK154" s="20" t="str">
        <f t="shared" si="73"/>
        <v/>
      </c>
      <c r="AL154" s="20" t="str">
        <f t="shared" si="74"/>
        <v/>
      </c>
      <c r="AM154" s="20" t="str">
        <f t="shared" si="75"/>
        <v/>
      </c>
      <c r="AN154" s="20" t="str">
        <f t="shared" si="76"/>
        <v/>
      </c>
      <c r="AO154" s="20" t="str">
        <f t="shared" si="77"/>
        <v/>
      </c>
      <c r="AP154" s="20" t="str">
        <f t="shared" si="78"/>
        <v/>
      </c>
      <c r="AQ154" s="20" t="str">
        <f t="shared" si="79"/>
        <v/>
      </c>
      <c r="AR154" s="20" t="str">
        <f t="shared" si="80"/>
        <v/>
      </c>
      <c r="AS154" s="20" t="str">
        <f t="shared" si="81"/>
        <v/>
      </c>
      <c r="AT154" s="20" t="str">
        <f t="shared" si="82"/>
        <v/>
      </c>
      <c r="AU154" s="20" t="str">
        <f t="shared" si="83"/>
        <v/>
      </c>
      <c r="AV154" s="20" t="str">
        <f t="shared" si="84"/>
        <v/>
      </c>
      <c r="AW154" s="20" t="str">
        <f t="shared" si="85"/>
        <v/>
      </c>
      <c r="BD154" s="78" t="s">
        <v>233</v>
      </c>
      <c r="BE154" s="78" t="s">
        <v>828</v>
      </c>
      <c r="BF154" s="17" t="s">
        <v>974</v>
      </c>
      <c r="BG154" s="78" t="s">
        <v>596</v>
      </c>
      <c r="BH154" s="78" t="s">
        <v>147</v>
      </c>
      <c r="BI154" s="78" t="str">
        <f t="shared" si="87"/>
        <v>WMCOMTeleperformanceGUY_GEOBackofficeReporting</v>
      </c>
      <c r="BK154" s="78" t="s">
        <v>976</v>
      </c>
      <c r="BL154" s="78" t="s">
        <v>976</v>
      </c>
      <c r="BM154" s="78" t="s">
        <v>337</v>
      </c>
      <c r="BN154" s="78" t="s">
        <v>979</v>
      </c>
      <c r="BO154" s="78" t="s">
        <v>212</v>
      </c>
      <c r="BP154" s="78" t="s">
        <v>636</v>
      </c>
      <c r="BQ154" t="s">
        <v>980</v>
      </c>
      <c r="BR154" s="78" t="s">
        <v>1046</v>
      </c>
      <c r="BS154" s="78" t="s">
        <v>715</v>
      </c>
      <c r="BT154" s="78"/>
      <c r="BU154" s="78" t="s">
        <v>70</v>
      </c>
      <c r="BV154" s="78"/>
      <c r="BW154" s="78"/>
      <c r="BX154" s="78">
        <v>124</v>
      </c>
      <c r="BY154" s="78">
        <v>209366</v>
      </c>
      <c r="BZ154" s="78"/>
      <c r="CA154" s="78"/>
      <c r="CB154" s="78" t="s">
        <v>83</v>
      </c>
      <c r="CC154" s="78" t="s">
        <v>981</v>
      </c>
      <c r="CD154" s="78" t="s">
        <v>982</v>
      </c>
      <c r="CE154" s="97" t="s">
        <v>76</v>
      </c>
      <c r="CF154" s="78" t="s">
        <v>1132</v>
      </c>
      <c r="CG154" s="78" t="s">
        <v>828</v>
      </c>
      <c r="CH154" s="78" t="s">
        <v>233</v>
      </c>
      <c r="CI154" s="78">
        <v>5256</v>
      </c>
      <c r="CJ154" s="23" t="b">
        <v>0</v>
      </c>
      <c r="CK154" s="23" t="b">
        <v>0</v>
      </c>
      <c r="CL154" s="23" t="b">
        <v>0</v>
      </c>
      <c r="CM154" s="23" t="b">
        <v>1</v>
      </c>
      <c r="CN154" s="23" t="b">
        <v>0</v>
      </c>
      <c r="CO154" s="78" t="s">
        <v>61</v>
      </c>
    </row>
    <row r="155" spans="1:93" ht="16.5" x14ac:dyDescent="0.25">
      <c r="A155" s="97"/>
      <c r="B155" s="97"/>
      <c r="C155" s="97"/>
      <c r="D155" s="97"/>
      <c r="E155" s="97"/>
      <c r="F155" s="97"/>
      <c r="G155" s="98"/>
      <c r="H155" s="97"/>
      <c r="I155" s="97"/>
      <c r="J155" s="97"/>
      <c r="K155" s="97"/>
      <c r="L155" s="97"/>
      <c r="M155" s="97"/>
      <c r="N155" s="97"/>
      <c r="O155" s="97"/>
      <c r="P155" s="97"/>
      <c r="Q155" s="100"/>
      <c r="R155" s="101"/>
      <c r="S155" s="99"/>
      <c r="T155" s="99"/>
      <c r="U155" s="97"/>
      <c r="V155" s="20" t="str">
        <f t="shared" si="58"/>
        <v/>
      </c>
      <c r="W155" s="20" t="str">
        <f t="shared" si="59"/>
        <v/>
      </c>
      <c r="X155" s="20" t="str">
        <f t="shared" si="60"/>
        <v/>
      </c>
      <c r="Y155" s="20" t="str">
        <f t="shared" si="61"/>
        <v/>
      </c>
      <c r="Z155" s="20" t="str">
        <f t="shared" si="62"/>
        <v/>
      </c>
      <c r="AA155" s="20" t="str">
        <f t="shared" si="63"/>
        <v/>
      </c>
      <c r="AB155" s="20" t="str">
        <f t="shared" si="64"/>
        <v/>
      </c>
      <c r="AC155" s="20" t="str">
        <f t="shared" si="65"/>
        <v/>
      </c>
      <c r="AD155" s="20" t="str">
        <f t="shared" si="66"/>
        <v/>
      </c>
      <c r="AE155" s="20" t="str">
        <f t="shared" si="67"/>
        <v/>
      </c>
      <c r="AF155" s="20" t="str">
        <f t="shared" si="68"/>
        <v/>
      </c>
      <c r="AG155" s="20" t="str">
        <f t="shared" si="69"/>
        <v/>
      </c>
      <c r="AH155" s="20" t="str">
        <f t="shared" si="70"/>
        <v/>
      </c>
      <c r="AI155" s="20" t="str">
        <f t="shared" si="71"/>
        <v/>
      </c>
      <c r="AJ155" s="20" t="str">
        <f t="shared" si="72"/>
        <v/>
      </c>
      <c r="AK155" s="20" t="str">
        <f t="shared" si="73"/>
        <v/>
      </c>
      <c r="AL155" s="20" t="str">
        <f t="shared" si="74"/>
        <v/>
      </c>
      <c r="AM155" s="20" t="str">
        <f t="shared" si="75"/>
        <v/>
      </c>
      <c r="AN155" s="20" t="str">
        <f t="shared" si="76"/>
        <v/>
      </c>
      <c r="AO155" s="20" t="str">
        <f t="shared" si="77"/>
        <v/>
      </c>
      <c r="AP155" s="20" t="str">
        <f t="shared" si="78"/>
        <v/>
      </c>
      <c r="AQ155" s="20" t="str">
        <f t="shared" si="79"/>
        <v/>
      </c>
      <c r="AR155" s="20" t="str">
        <f t="shared" si="80"/>
        <v/>
      </c>
      <c r="AS155" s="20" t="str">
        <f t="shared" si="81"/>
        <v/>
      </c>
      <c r="AT155" s="20" t="str">
        <f t="shared" si="82"/>
        <v/>
      </c>
      <c r="AU155" s="20" t="str">
        <f t="shared" si="83"/>
        <v/>
      </c>
      <c r="AV155" s="20" t="str">
        <f t="shared" si="84"/>
        <v/>
      </c>
      <c r="AW155" s="20" t="str">
        <f t="shared" si="85"/>
        <v/>
      </c>
      <c r="BD155" s="78" t="s">
        <v>233</v>
      </c>
      <c r="BE155" s="78" t="s">
        <v>828</v>
      </c>
      <c r="BF155" s="17" t="s">
        <v>974</v>
      </c>
      <c r="BG155" s="24" t="s">
        <v>596</v>
      </c>
      <c r="BH155" s="78" t="s">
        <v>92</v>
      </c>
      <c r="BI155" s="78" t="str">
        <f t="shared" si="87"/>
        <v>WMCOMTeleperformanceGUY_GEOBackofficeSupervisor/Team Lead</v>
      </c>
      <c r="BJ155" s="42"/>
      <c r="BK155" s="78" t="s">
        <v>975</v>
      </c>
      <c r="BL155" s="78" t="s">
        <v>975</v>
      </c>
      <c r="BM155" s="75" t="s">
        <v>978</v>
      </c>
      <c r="BN155" s="78" t="s">
        <v>979</v>
      </c>
      <c r="BO155" s="78" t="s">
        <v>212</v>
      </c>
      <c r="BP155" s="78" t="s">
        <v>636</v>
      </c>
      <c r="BQ155" t="s">
        <v>980</v>
      </c>
      <c r="BR155" s="78" t="s">
        <v>1046</v>
      </c>
      <c r="BS155" s="78" t="s">
        <v>715</v>
      </c>
      <c r="BT155" s="24"/>
      <c r="BU155" s="78" t="s">
        <v>70</v>
      </c>
      <c r="BV155" s="24"/>
      <c r="BW155" s="42"/>
      <c r="BX155" s="24">
        <v>124</v>
      </c>
      <c r="BY155" s="24">
        <v>209366</v>
      </c>
      <c r="BZ155" s="24"/>
      <c r="CA155" s="42"/>
      <c r="CB155" s="78" t="s">
        <v>83</v>
      </c>
      <c r="CC155" s="78" t="s">
        <v>981</v>
      </c>
      <c r="CD155" s="78" t="s">
        <v>982</v>
      </c>
      <c r="CE155" s="97" t="s">
        <v>76</v>
      </c>
      <c r="CF155" s="78" t="s">
        <v>1132</v>
      </c>
      <c r="CG155" s="78" t="s">
        <v>828</v>
      </c>
      <c r="CH155" s="78" t="s">
        <v>233</v>
      </c>
      <c r="CI155" s="78">
        <v>5256</v>
      </c>
      <c r="CJ155" s="23" t="b">
        <v>0</v>
      </c>
      <c r="CK155" s="23" t="b">
        <v>0</v>
      </c>
      <c r="CL155" s="23" t="b">
        <v>0</v>
      </c>
      <c r="CM155" s="23" t="b">
        <v>1</v>
      </c>
      <c r="CN155" s="23" t="b">
        <v>0</v>
      </c>
      <c r="CO155" s="78" t="s">
        <v>61</v>
      </c>
    </row>
    <row r="156" spans="1:93" ht="16.5" x14ac:dyDescent="0.25">
      <c r="A156" s="97"/>
      <c r="B156" s="97"/>
      <c r="C156" s="97"/>
      <c r="D156" s="97"/>
      <c r="E156" s="97"/>
      <c r="F156" s="97"/>
      <c r="G156" s="98"/>
      <c r="H156" s="97"/>
      <c r="I156" s="97"/>
      <c r="J156" s="97"/>
      <c r="K156" s="97"/>
      <c r="L156" s="97"/>
      <c r="M156" s="97"/>
      <c r="N156" s="97"/>
      <c r="O156" s="97"/>
      <c r="P156" s="97"/>
      <c r="Q156" s="100"/>
      <c r="R156" s="101"/>
      <c r="S156" s="99"/>
      <c r="T156" s="99"/>
      <c r="U156" s="97"/>
      <c r="V156" s="20" t="str">
        <f t="shared" si="58"/>
        <v/>
      </c>
      <c r="W156" s="20" t="str">
        <f t="shared" si="59"/>
        <v/>
      </c>
      <c r="X156" s="20" t="str">
        <f t="shared" si="60"/>
        <v/>
      </c>
      <c r="Y156" s="20" t="str">
        <f t="shared" si="61"/>
        <v/>
      </c>
      <c r="Z156" s="20" t="str">
        <f t="shared" si="62"/>
        <v/>
      </c>
      <c r="AA156" s="20" t="str">
        <f t="shared" si="63"/>
        <v/>
      </c>
      <c r="AB156" s="20" t="str">
        <f t="shared" si="64"/>
        <v/>
      </c>
      <c r="AC156" s="20" t="str">
        <f t="shared" si="65"/>
        <v/>
      </c>
      <c r="AD156" s="20" t="str">
        <f t="shared" si="66"/>
        <v/>
      </c>
      <c r="AE156" s="20" t="str">
        <f t="shared" si="67"/>
        <v/>
      </c>
      <c r="AF156" s="20" t="str">
        <f t="shared" si="68"/>
        <v/>
      </c>
      <c r="AG156" s="20" t="str">
        <f t="shared" si="69"/>
        <v/>
      </c>
      <c r="AH156" s="20" t="str">
        <f t="shared" si="70"/>
        <v/>
      </c>
      <c r="AI156" s="20" t="str">
        <f t="shared" si="71"/>
        <v/>
      </c>
      <c r="AJ156" s="20" t="str">
        <f t="shared" si="72"/>
        <v/>
      </c>
      <c r="AK156" s="20" t="str">
        <f t="shared" si="73"/>
        <v/>
      </c>
      <c r="AL156" s="20" t="str">
        <f t="shared" si="74"/>
        <v/>
      </c>
      <c r="AM156" s="20" t="str">
        <f t="shared" si="75"/>
        <v/>
      </c>
      <c r="AN156" s="20" t="str">
        <f t="shared" si="76"/>
        <v/>
      </c>
      <c r="AO156" s="20" t="str">
        <f t="shared" si="77"/>
        <v/>
      </c>
      <c r="AP156" s="20" t="str">
        <f t="shared" si="78"/>
        <v/>
      </c>
      <c r="AQ156" s="20" t="str">
        <f t="shared" si="79"/>
        <v/>
      </c>
      <c r="AR156" s="20" t="str">
        <f t="shared" si="80"/>
        <v/>
      </c>
      <c r="AS156" s="20" t="str">
        <f t="shared" si="81"/>
        <v/>
      </c>
      <c r="AT156" s="20" t="str">
        <f t="shared" si="82"/>
        <v/>
      </c>
      <c r="AU156" s="20" t="str">
        <f t="shared" si="83"/>
        <v/>
      </c>
      <c r="AV156" s="20" t="str">
        <f t="shared" si="84"/>
        <v/>
      </c>
      <c r="AW156" s="20" t="str">
        <f t="shared" si="85"/>
        <v/>
      </c>
      <c r="BD156" s="24" t="s">
        <v>712</v>
      </c>
      <c r="BE156" s="24" t="s">
        <v>828</v>
      </c>
      <c r="BF156" s="17" t="s">
        <v>974</v>
      </c>
      <c r="BG156" s="24" t="s">
        <v>595</v>
      </c>
      <c r="BH156" s="24" t="s">
        <v>58</v>
      </c>
      <c r="BI156" s="24" t="str">
        <f t="shared" si="87"/>
        <v>WMCOMiTelGUY_GEOPhoneAgent</v>
      </c>
      <c r="BJ156" s="42"/>
      <c r="BK156" s="75" t="s">
        <v>1047</v>
      </c>
      <c r="BL156" s="75" t="s">
        <v>1047</v>
      </c>
      <c r="BM156" s="75" t="s">
        <v>722</v>
      </c>
      <c r="BN156" s="96" t="s">
        <v>1048</v>
      </c>
      <c r="BO156" s="78" t="s">
        <v>212</v>
      </c>
      <c r="BP156" s="78" t="s">
        <v>636</v>
      </c>
      <c r="BQ156" s="97" t="s">
        <v>980</v>
      </c>
      <c r="BR156" s="90" t="s">
        <v>1049</v>
      </c>
      <c r="BS156" s="78" t="s">
        <v>715</v>
      </c>
      <c r="BT156" s="24"/>
      <c r="BU156" s="78" t="s">
        <v>70</v>
      </c>
      <c r="BV156" s="24"/>
      <c r="BW156" s="42"/>
      <c r="BX156" s="24">
        <v>860</v>
      </c>
      <c r="BY156" s="24">
        <v>209450</v>
      </c>
      <c r="BZ156" s="24"/>
      <c r="CA156" s="42"/>
      <c r="CB156" s="17" t="s">
        <v>58</v>
      </c>
      <c r="CC156" s="78" t="s">
        <v>981</v>
      </c>
      <c r="CD156" s="78" t="s">
        <v>982</v>
      </c>
      <c r="CE156" s="17" t="s">
        <v>98</v>
      </c>
      <c r="CF156" s="78" t="s">
        <v>1132</v>
      </c>
      <c r="CG156" s="78" t="s">
        <v>828</v>
      </c>
      <c r="CH156" s="24" t="s">
        <v>712</v>
      </c>
      <c r="CI156" s="17">
        <v>9999</v>
      </c>
      <c r="CJ156" s="23" t="b">
        <v>1</v>
      </c>
      <c r="CK156" s="23" t="b">
        <v>0</v>
      </c>
      <c r="CL156" s="23" t="b">
        <v>0</v>
      </c>
      <c r="CM156" s="23" t="b">
        <v>0</v>
      </c>
      <c r="CN156" s="23" t="b">
        <v>0</v>
      </c>
      <c r="CO156" s="78" t="s">
        <v>61</v>
      </c>
    </row>
    <row r="157" spans="1:93" ht="16.5" x14ac:dyDescent="0.25">
      <c r="A157" s="97"/>
      <c r="B157" s="97"/>
      <c r="C157" s="97"/>
      <c r="D157" s="97"/>
      <c r="E157" s="97"/>
      <c r="F157" s="97"/>
      <c r="G157" s="98"/>
      <c r="H157" s="97"/>
      <c r="I157" s="97"/>
      <c r="J157" s="97"/>
      <c r="K157" s="97"/>
      <c r="L157" s="97"/>
      <c r="M157" s="97"/>
      <c r="N157" s="97"/>
      <c r="O157" s="97"/>
      <c r="P157" s="97"/>
      <c r="Q157" s="100"/>
      <c r="R157" s="101"/>
      <c r="S157" s="99"/>
      <c r="T157" s="99"/>
      <c r="U157" s="97"/>
      <c r="V157" s="20" t="str">
        <f t="shared" si="58"/>
        <v/>
      </c>
      <c r="W157" s="20" t="str">
        <f t="shared" si="59"/>
        <v/>
      </c>
      <c r="X157" s="20" t="str">
        <f t="shared" si="60"/>
        <v/>
      </c>
      <c r="Y157" s="20" t="str">
        <f t="shared" si="61"/>
        <v/>
      </c>
      <c r="Z157" s="20" t="str">
        <f t="shared" si="62"/>
        <v/>
      </c>
      <c r="AA157" s="20" t="str">
        <f t="shared" si="63"/>
        <v/>
      </c>
      <c r="AB157" s="20" t="str">
        <f t="shared" si="64"/>
        <v/>
      </c>
      <c r="AC157" s="20" t="str">
        <f t="shared" si="65"/>
        <v/>
      </c>
      <c r="AD157" s="20" t="str">
        <f t="shared" si="66"/>
        <v/>
      </c>
      <c r="AE157" s="20" t="str">
        <f t="shared" si="67"/>
        <v/>
      </c>
      <c r="AF157" s="20" t="str">
        <f t="shared" si="68"/>
        <v/>
      </c>
      <c r="AG157" s="20" t="str">
        <f t="shared" si="69"/>
        <v/>
      </c>
      <c r="AH157" s="20" t="str">
        <f t="shared" si="70"/>
        <v/>
      </c>
      <c r="AI157" s="20" t="str">
        <f t="shared" si="71"/>
        <v/>
      </c>
      <c r="AJ157" s="20" t="str">
        <f t="shared" si="72"/>
        <v/>
      </c>
      <c r="AK157" s="20" t="str">
        <f t="shared" si="73"/>
        <v/>
      </c>
      <c r="AL157" s="20" t="str">
        <f t="shared" si="74"/>
        <v/>
      </c>
      <c r="AM157" s="20" t="str">
        <f t="shared" si="75"/>
        <v/>
      </c>
      <c r="AN157" s="20" t="str">
        <f t="shared" si="76"/>
        <v/>
      </c>
      <c r="AO157" s="20" t="str">
        <f t="shared" si="77"/>
        <v/>
      </c>
      <c r="AP157" s="20" t="str">
        <f t="shared" si="78"/>
        <v/>
      </c>
      <c r="AQ157" s="20" t="str">
        <f t="shared" si="79"/>
        <v/>
      </c>
      <c r="AR157" s="20" t="str">
        <f t="shared" si="80"/>
        <v/>
      </c>
      <c r="AS157" s="20" t="str">
        <f t="shared" si="81"/>
        <v/>
      </c>
      <c r="AT157" s="20" t="str">
        <f t="shared" si="82"/>
        <v/>
      </c>
      <c r="AU157" s="20" t="str">
        <f t="shared" si="83"/>
        <v/>
      </c>
      <c r="AV157" s="20" t="str">
        <f t="shared" si="84"/>
        <v/>
      </c>
      <c r="AW157" s="20" t="str">
        <f t="shared" si="85"/>
        <v/>
      </c>
      <c r="BD157" s="24" t="s">
        <v>712</v>
      </c>
      <c r="BE157" s="24" t="s">
        <v>828</v>
      </c>
      <c r="BF157" s="17" t="s">
        <v>974</v>
      </c>
      <c r="BG157" s="78" t="s">
        <v>596</v>
      </c>
      <c r="BH157" s="78" t="s">
        <v>147</v>
      </c>
      <c r="BI157" s="24" t="str">
        <f t="shared" si="87"/>
        <v>WMCOMiTelGUY_GEOBackofficeReporting</v>
      </c>
      <c r="BJ157" s="42"/>
      <c r="BK157" s="75" t="s">
        <v>1050</v>
      </c>
      <c r="BL157" s="75" t="s">
        <v>1050</v>
      </c>
      <c r="BM157" s="75" t="s">
        <v>723</v>
      </c>
      <c r="BN157" s="96" t="s">
        <v>1048</v>
      </c>
      <c r="BO157" s="78" t="s">
        <v>212</v>
      </c>
      <c r="BP157" s="78" t="s">
        <v>636</v>
      </c>
      <c r="BQ157" s="97" t="s">
        <v>980</v>
      </c>
      <c r="BR157" s="90" t="s">
        <v>1049</v>
      </c>
      <c r="BS157" s="78" t="s">
        <v>715</v>
      </c>
      <c r="BT157" s="24"/>
      <c r="BU157" s="78" t="s">
        <v>70</v>
      </c>
      <c r="BV157" s="24"/>
      <c r="BW157" s="42"/>
      <c r="BX157" s="24">
        <v>124</v>
      </c>
      <c r="BY157" s="24">
        <v>209450</v>
      </c>
      <c r="BZ157" s="24"/>
      <c r="CA157" s="42"/>
      <c r="CB157" s="78" t="s">
        <v>83</v>
      </c>
      <c r="CC157" s="78" t="s">
        <v>981</v>
      </c>
      <c r="CD157" s="78" t="s">
        <v>982</v>
      </c>
      <c r="CE157" s="17" t="s">
        <v>98</v>
      </c>
      <c r="CF157" s="78" t="s">
        <v>1132</v>
      </c>
      <c r="CG157" s="78" t="s">
        <v>828</v>
      </c>
      <c r="CH157" s="24" t="s">
        <v>712</v>
      </c>
      <c r="CI157" s="17">
        <v>9999</v>
      </c>
      <c r="CJ157" s="23" t="b">
        <v>0</v>
      </c>
      <c r="CK157" s="23" t="b">
        <v>0</v>
      </c>
      <c r="CL157" s="23" t="b">
        <v>0</v>
      </c>
      <c r="CM157" s="23" t="b">
        <v>1</v>
      </c>
      <c r="CN157" s="23" t="b">
        <v>0</v>
      </c>
      <c r="CO157" s="78" t="s">
        <v>61</v>
      </c>
    </row>
    <row r="158" spans="1:93" ht="16.5" x14ac:dyDescent="0.25">
      <c r="A158" s="97"/>
      <c r="B158" s="97"/>
      <c r="C158" s="97"/>
      <c r="D158" s="97"/>
      <c r="E158" s="97"/>
      <c r="F158" s="97"/>
      <c r="G158" s="98"/>
      <c r="H158" s="97"/>
      <c r="I158" s="97"/>
      <c r="J158" s="97"/>
      <c r="K158" s="97"/>
      <c r="L158" s="97"/>
      <c r="M158" s="97"/>
      <c r="N158" s="97"/>
      <c r="O158" s="97"/>
      <c r="P158" s="97"/>
      <c r="Q158" s="100"/>
      <c r="R158" s="101"/>
      <c r="S158" s="99"/>
      <c r="T158" s="99"/>
      <c r="U158" s="97"/>
      <c r="V158" s="20" t="str">
        <f t="shared" si="58"/>
        <v/>
      </c>
      <c r="W158" s="20" t="str">
        <f t="shared" si="59"/>
        <v/>
      </c>
      <c r="X158" s="20" t="str">
        <f t="shared" si="60"/>
        <v/>
      </c>
      <c r="Y158" s="20" t="str">
        <f t="shared" si="61"/>
        <v/>
      </c>
      <c r="Z158" s="20" t="str">
        <f t="shared" si="62"/>
        <v/>
      </c>
      <c r="AA158" s="20" t="str">
        <f t="shared" si="63"/>
        <v/>
      </c>
      <c r="AB158" s="20" t="str">
        <f t="shared" si="64"/>
        <v/>
      </c>
      <c r="AC158" s="20" t="str">
        <f t="shared" si="65"/>
        <v/>
      </c>
      <c r="AD158" s="20" t="str">
        <f t="shared" si="66"/>
        <v/>
      </c>
      <c r="AE158" s="20" t="str">
        <f t="shared" si="67"/>
        <v/>
      </c>
      <c r="AF158" s="20" t="str">
        <f t="shared" si="68"/>
        <v/>
      </c>
      <c r="AG158" s="20" t="str">
        <f t="shared" si="69"/>
        <v/>
      </c>
      <c r="AH158" s="20" t="str">
        <f t="shared" si="70"/>
        <v/>
      </c>
      <c r="AI158" s="20" t="str">
        <f t="shared" si="71"/>
        <v/>
      </c>
      <c r="AJ158" s="20" t="str">
        <f t="shared" si="72"/>
        <v/>
      </c>
      <c r="AK158" s="20" t="str">
        <f t="shared" si="73"/>
        <v/>
      </c>
      <c r="AL158" s="20" t="str">
        <f t="shared" si="74"/>
        <v/>
      </c>
      <c r="AM158" s="20" t="str">
        <f t="shared" si="75"/>
        <v/>
      </c>
      <c r="AN158" s="20" t="str">
        <f t="shared" si="76"/>
        <v/>
      </c>
      <c r="AO158" s="20" t="str">
        <f t="shared" si="77"/>
        <v/>
      </c>
      <c r="AP158" s="20" t="str">
        <f t="shared" si="78"/>
        <v/>
      </c>
      <c r="AQ158" s="20" t="str">
        <f t="shared" si="79"/>
        <v/>
      </c>
      <c r="AR158" s="20" t="str">
        <f t="shared" si="80"/>
        <v/>
      </c>
      <c r="AS158" s="20" t="str">
        <f t="shared" si="81"/>
        <v/>
      </c>
      <c r="AT158" s="20" t="str">
        <f t="shared" si="82"/>
        <v/>
      </c>
      <c r="AU158" s="20" t="str">
        <f t="shared" si="83"/>
        <v/>
      </c>
      <c r="AV158" s="20" t="str">
        <f t="shared" si="84"/>
        <v/>
      </c>
      <c r="AW158" s="20" t="str">
        <f t="shared" si="85"/>
        <v/>
      </c>
      <c r="BD158" s="24" t="s">
        <v>712</v>
      </c>
      <c r="BE158" s="24" t="s">
        <v>828</v>
      </c>
      <c r="BF158" s="17" t="s">
        <v>974</v>
      </c>
      <c r="BG158" s="78" t="s">
        <v>596</v>
      </c>
      <c r="BH158" s="78" t="s">
        <v>92</v>
      </c>
      <c r="BI158" s="24" t="str">
        <f t="shared" si="87"/>
        <v>WMCOMiTelGUY_GEOBackofficeSupervisor/Team Lead</v>
      </c>
      <c r="BJ158" s="42"/>
      <c r="BK158" t="s">
        <v>1051</v>
      </c>
      <c r="BL158" s="97" t="s">
        <v>1051</v>
      </c>
      <c r="BM158" s="75" t="s">
        <v>721</v>
      </c>
      <c r="BN158" s="96" t="s">
        <v>1048</v>
      </c>
      <c r="BO158" s="78" t="s">
        <v>212</v>
      </c>
      <c r="BP158" s="78" t="s">
        <v>636</v>
      </c>
      <c r="BQ158" s="97" t="s">
        <v>980</v>
      </c>
      <c r="BR158" s="90" t="s">
        <v>1049</v>
      </c>
      <c r="BS158" s="78" t="s">
        <v>715</v>
      </c>
      <c r="BT158" s="24"/>
      <c r="BU158" s="78" t="s">
        <v>70</v>
      </c>
      <c r="BV158" s="24"/>
      <c r="BW158" s="42"/>
      <c r="BX158" s="24">
        <v>124</v>
      </c>
      <c r="BY158" s="24">
        <v>209450</v>
      </c>
      <c r="BZ158" s="24"/>
      <c r="CA158" s="42"/>
      <c r="CB158" s="78" t="s">
        <v>83</v>
      </c>
      <c r="CC158" s="78" t="s">
        <v>981</v>
      </c>
      <c r="CD158" s="78" t="s">
        <v>982</v>
      </c>
      <c r="CE158" s="17" t="s">
        <v>98</v>
      </c>
      <c r="CF158" s="78" t="s">
        <v>1132</v>
      </c>
      <c r="CG158" s="78" t="s">
        <v>828</v>
      </c>
      <c r="CH158" s="24" t="s">
        <v>712</v>
      </c>
      <c r="CI158" s="17">
        <v>9999</v>
      </c>
      <c r="CJ158" s="23" t="b">
        <v>0</v>
      </c>
      <c r="CK158" s="23" t="b">
        <v>0</v>
      </c>
      <c r="CL158" s="23" t="b">
        <v>0</v>
      </c>
      <c r="CM158" s="23" t="b">
        <v>1</v>
      </c>
      <c r="CN158" s="23" t="b">
        <v>0</v>
      </c>
      <c r="CO158" s="78" t="s">
        <v>61</v>
      </c>
    </row>
    <row r="159" spans="1:93" ht="16.5" x14ac:dyDescent="0.25">
      <c r="A159" s="97"/>
      <c r="B159" s="97"/>
      <c r="C159" s="97"/>
      <c r="D159" s="97"/>
      <c r="E159" s="97"/>
      <c r="F159" s="97"/>
      <c r="G159" s="98"/>
      <c r="H159" s="97"/>
      <c r="I159" s="97"/>
      <c r="J159" s="97"/>
      <c r="K159" s="97"/>
      <c r="L159" s="97"/>
      <c r="M159" s="97"/>
      <c r="N159" s="97"/>
      <c r="O159" s="97"/>
      <c r="P159" s="97"/>
      <c r="Q159" s="100"/>
      <c r="R159" s="101"/>
      <c r="S159" s="99"/>
      <c r="T159" s="99"/>
      <c r="U159" s="97"/>
      <c r="V159" s="20" t="str">
        <f t="shared" si="58"/>
        <v/>
      </c>
      <c r="W159" s="20" t="str">
        <f t="shared" si="59"/>
        <v/>
      </c>
      <c r="X159" s="20" t="str">
        <f t="shared" si="60"/>
        <v/>
      </c>
      <c r="Y159" s="20" t="str">
        <f t="shared" si="61"/>
        <v/>
      </c>
      <c r="Z159" s="20" t="str">
        <f t="shared" si="62"/>
        <v/>
      </c>
      <c r="AA159" s="20" t="str">
        <f t="shared" si="63"/>
        <v/>
      </c>
      <c r="AB159" s="20" t="str">
        <f t="shared" si="64"/>
        <v/>
      </c>
      <c r="AC159" s="20" t="str">
        <f t="shared" si="65"/>
        <v/>
      </c>
      <c r="AD159" s="20" t="str">
        <f t="shared" si="66"/>
        <v/>
      </c>
      <c r="AE159" s="20" t="str">
        <f t="shared" si="67"/>
        <v/>
      </c>
      <c r="AF159" s="20" t="str">
        <f t="shared" si="68"/>
        <v/>
      </c>
      <c r="AG159" s="20" t="str">
        <f t="shared" si="69"/>
        <v/>
      </c>
      <c r="AH159" s="20" t="str">
        <f t="shared" si="70"/>
        <v/>
      </c>
      <c r="AI159" s="20" t="str">
        <f t="shared" si="71"/>
        <v/>
      </c>
      <c r="AJ159" s="20" t="str">
        <f t="shared" si="72"/>
        <v/>
      </c>
      <c r="AK159" s="20" t="str">
        <f t="shared" si="73"/>
        <v/>
      </c>
      <c r="AL159" s="20" t="str">
        <f t="shared" si="74"/>
        <v/>
      </c>
      <c r="AM159" s="20" t="str">
        <f t="shared" si="75"/>
        <v/>
      </c>
      <c r="AN159" s="20" t="str">
        <f t="shared" si="76"/>
        <v/>
      </c>
      <c r="AO159" s="20" t="str">
        <f t="shared" si="77"/>
        <v/>
      </c>
      <c r="AP159" s="20" t="str">
        <f t="shared" si="78"/>
        <v/>
      </c>
      <c r="AQ159" s="20" t="str">
        <f t="shared" si="79"/>
        <v/>
      </c>
      <c r="AR159" s="20" t="str">
        <f t="shared" si="80"/>
        <v/>
      </c>
      <c r="AS159" s="20" t="str">
        <f t="shared" si="81"/>
        <v/>
      </c>
      <c r="AT159" s="20" t="str">
        <f t="shared" si="82"/>
        <v/>
      </c>
      <c r="AU159" s="20" t="str">
        <f t="shared" si="83"/>
        <v/>
      </c>
      <c r="AV159" s="20" t="str">
        <f t="shared" si="84"/>
        <v/>
      </c>
      <c r="AW159" s="20" t="str">
        <f t="shared" si="85"/>
        <v/>
      </c>
      <c r="BD159" s="17" t="s">
        <v>178</v>
      </c>
      <c r="BE159" s="17" t="s">
        <v>594</v>
      </c>
      <c r="BF159" s="78" t="s">
        <v>959</v>
      </c>
      <c r="BG159" s="17" t="s">
        <v>127</v>
      </c>
      <c r="BH159" s="78" t="s">
        <v>58</v>
      </c>
      <c r="BI159" s="24" t="str">
        <f t="shared" si="87"/>
        <v>Spark DriverIbexPHL_ALBChatAgent</v>
      </c>
      <c r="BJ159" s="42"/>
      <c r="BK159" s="78">
        <v>221307</v>
      </c>
      <c r="BL159" s="78" t="s">
        <v>961</v>
      </c>
      <c r="BM159" s="78">
        <v>1073742001</v>
      </c>
      <c r="BN159" s="78" t="s">
        <v>963</v>
      </c>
      <c r="BO159" s="78" t="s">
        <v>74</v>
      </c>
      <c r="BP159" s="78" t="s">
        <v>636</v>
      </c>
      <c r="BQ159" s="97" t="s">
        <v>962</v>
      </c>
      <c r="BR159" s="78" t="s">
        <v>1045</v>
      </c>
      <c r="BS159" s="22" t="s">
        <v>517</v>
      </c>
      <c r="BT159" s="78"/>
      <c r="BU159" s="78" t="s">
        <v>70</v>
      </c>
      <c r="BV159" s="17" t="s">
        <v>58</v>
      </c>
      <c r="BW159" s="42"/>
      <c r="BX159" s="24">
        <v>381</v>
      </c>
      <c r="BY159" s="78">
        <v>164097</v>
      </c>
      <c r="BZ159" s="78" t="s">
        <v>972</v>
      </c>
      <c r="CA159" s="42"/>
      <c r="CB159" s="78" t="s">
        <v>58</v>
      </c>
      <c r="CC159" s="78" t="s">
        <v>568</v>
      </c>
      <c r="CD159" s="78" t="s">
        <v>964</v>
      </c>
      <c r="CE159" s="17" t="s">
        <v>98</v>
      </c>
      <c r="CF159" s="17" t="s">
        <v>1131</v>
      </c>
      <c r="CG159" s="17" t="s">
        <v>518</v>
      </c>
      <c r="CH159" s="78" t="s">
        <v>178</v>
      </c>
      <c r="CI159" s="103">
        <v>5274</v>
      </c>
      <c r="CJ159" s="23" t="b">
        <v>0</v>
      </c>
      <c r="CK159" s="23" t="b">
        <v>1</v>
      </c>
      <c r="CL159" s="23" t="b">
        <v>0</v>
      </c>
      <c r="CM159" s="23" t="b">
        <v>0</v>
      </c>
      <c r="CN159" s="23" t="b">
        <v>0</v>
      </c>
      <c r="CO159" s="17" t="s">
        <v>562</v>
      </c>
    </row>
    <row r="160" spans="1:93" ht="16.5" x14ac:dyDescent="0.3">
      <c r="A160" s="97"/>
      <c r="B160" s="97"/>
      <c r="C160" s="97"/>
      <c r="D160" s="97"/>
      <c r="E160" s="97"/>
      <c r="F160" s="97"/>
      <c r="G160" s="98"/>
      <c r="H160" s="97"/>
      <c r="I160" s="97"/>
      <c r="J160" s="97"/>
      <c r="K160" s="97"/>
      <c r="L160" s="97"/>
      <c r="M160" s="97"/>
      <c r="N160" s="97"/>
      <c r="O160" s="97"/>
      <c r="P160" s="97"/>
      <c r="Q160" s="100"/>
      <c r="R160" s="101"/>
      <c r="S160" s="99"/>
      <c r="T160" s="99"/>
      <c r="U160" s="97"/>
      <c r="V160" s="20" t="str">
        <f t="shared" si="58"/>
        <v/>
      </c>
      <c r="W160" s="20" t="str">
        <f t="shared" si="59"/>
        <v/>
      </c>
      <c r="X160" s="20" t="str">
        <f t="shared" si="60"/>
        <v/>
      </c>
      <c r="Y160" s="20" t="str">
        <f t="shared" si="61"/>
        <v/>
      </c>
      <c r="Z160" s="20" t="str">
        <f t="shared" si="62"/>
        <v/>
      </c>
      <c r="AA160" s="20" t="str">
        <f t="shared" si="63"/>
        <v/>
      </c>
      <c r="AB160" s="20" t="str">
        <f t="shared" si="64"/>
        <v/>
      </c>
      <c r="AC160" s="20" t="str">
        <f t="shared" si="65"/>
        <v/>
      </c>
      <c r="AD160" s="20" t="str">
        <f t="shared" si="66"/>
        <v/>
      </c>
      <c r="AE160" s="20" t="str">
        <f t="shared" si="67"/>
        <v/>
      </c>
      <c r="AF160" s="20" t="str">
        <f t="shared" si="68"/>
        <v/>
      </c>
      <c r="AG160" s="20" t="str">
        <f t="shared" si="69"/>
        <v/>
      </c>
      <c r="AH160" s="20" t="str">
        <f t="shared" si="70"/>
        <v/>
      </c>
      <c r="AI160" s="20" t="str">
        <f t="shared" si="71"/>
        <v/>
      </c>
      <c r="AJ160" s="20" t="str">
        <f t="shared" si="72"/>
        <v/>
      </c>
      <c r="AK160" s="20" t="str">
        <f t="shared" si="73"/>
        <v/>
      </c>
      <c r="AL160" s="20" t="str">
        <f t="shared" si="74"/>
        <v/>
      </c>
      <c r="AM160" s="20" t="str">
        <f t="shared" si="75"/>
        <v/>
      </c>
      <c r="AN160" s="20" t="str">
        <f t="shared" si="76"/>
        <v/>
      </c>
      <c r="AO160" s="20" t="str">
        <f t="shared" si="77"/>
        <v/>
      </c>
      <c r="AP160" s="20" t="str">
        <f t="shared" si="78"/>
        <v/>
      </c>
      <c r="AQ160" s="20" t="str">
        <f t="shared" si="79"/>
        <v/>
      </c>
      <c r="AR160" s="20" t="str">
        <f t="shared" si="80"/>
        <v/>
      </c>
      <c r="AS160" s="20" t="str">
        <f t="shared" si="81"/>
        <v/>
      </c>
      <c r="AT160" s="20" t="str">
        <f t="shared" si="82"/>
        <v/>
      </c>
      <c r="AU160" s="20" t="str">
        <f t="shared" si="83"/>
        <v/>
      </c>
      <c r="AV160" s="20" t="str">
        <f t="shared" si="84"/>
        <v/>
      </c>
      <c r="AW160" s="20" t="str">
        <f t="shared" si="85"/>
        <v/>
      </c>
      <c r="BD160" s="24" t="s">
        <v>727</v>
      </c>
      <c r="BE160" s="24" t="s">
        <v>828</v>
      </c>
      <c r="BF160" s="24" t="s">
        <v>1052</v>
      </c>
      <c r="BG160" s="24" t="s">
        <v>595</v>
      </c>
      <c r="BH160" s="24" t="s">
        <v>58</v>
      </c>
      <c r="BI160" s="24" t="str">
        <f t="shared" si="87"/>
        <v>WMCOMTranscomEGY_CAIPhoneAgent</v>
      </c>
      <c r="BJ160" s="42"/>
      <c r="BK160" s="110" t="s">
        <v>1053</v>
      </c>
      <c r="BL160" s="110" t="s">
        <v>1053</v>
      </c>
      <c r="BM160" s="78" t="s">
        <v>729</v>
      </c>
      <c r="BN160" s="75" t="s">
        <v>1056</v>
      </c>
      <c r="BO160" s="24" t="s">
        <v>1057</v>
      </c>
      <c r="BP160" s="78" t="s">
        <v>636</v>
      </c>
      <c r="BQ160" s="24" t="s">
        <v>1058</v>
      </c>
      <c r="BR160" s="24" t="s">
        <v>1067</v>
      </c>
      <c r="BS160" s="78" t="s">
        <v>715</v>
      </c>
      <c r="BT160" s="57"/>
      <c r="BU160" s="78" t="s">
        <v>70</v>
      </c>
      <c r="BV160" s="24"/>
      <c r="BW160" s="42"/>
      <c r="BX160" s="24">
        <v>861</v>
      </c>
      <c r="BY160" s="24">
        <v>209707</v>
      </c>
      <c r="BZ160" s="24"/>
      <c r="CA160" s="42"/>
      <c r="CB160" s="17" t="s">
        <v>58</v>
      </c>
      <c r="CC160" s="24" t="s">
        <v>1059</v>
      </c>
      <c r="CD160" s="24" t="s">
        <v>1060</v>
      </c>
      <c r="CE160" s="78" t="s">
        <v>76</v>
      </c>
      <c r="CF160" s="78" t="s">
        <v>1132</v>
      </c>
      <c r="CG160" s="78" t="s">
        <v>828</v>
      </c>
      <c r="CH160" s="78" t="s">
        <v>727</v>
      </c>
      <c r="CI160" s="78">
        <v>7245</v>
      </c>
      <c r="CJ160" s="78" t="b">
        <v>1</v>
      </c>
      <c r="CK160" s="23" t="b">
        <v>0</v>
      </c>
      <c r="CL160" s="23" t="b">
        <v>0</v>
      </c>
      <c r="CM160" s="23" t="b">
        <v>0</v>
      </c>
      <c r="CN160" s="23" t="b">
        <v>0</v>
      </c>
      <c r="CO160" s="78" t="s">
        <v>61</v>
      </c>
    </row>
    <row r="161" spans="1:93" ht="16.5" x14ac:dyDescent="0.3">
      <c r="A161" s="97"/>
      <c r="B161" s="97"/>
      <c r="C161" s="97"/>
      <c r="D161" s="97"/>
      <c r="E161" s="97"/>
      <c r="F161" s="97"/>
      <c r="G161" s="98"/>
      <c r="H161" s="97"/>
      <c r="I161" s="97"/>
      <c r="J161" s="97"/>
      <c r="K161" s="97"/>
      <c r="L161" s="97"/>
      <c r="M161" s="97"/>
      <c r="N161" s="97"/>
      <c r="O161" s="97"/>
      <c r="P161" s="97"/>
      <c r="Q161" s="100"/>
      <c r="R161" s="101"/>
      <c r="S161" s="99"/>
      <c r="T161" s="99"/>
      <c r="U161" s="97"/>
      <c r="V161" s="20" t="str">
        <f t="shared" si="58"/>
        <v/>
      </c>
      <c r="W161" s="20" t="str">
        <f t="shared" si="59"/>
        <v/>
      </c>
      <c r="X161" s="20" t="str">
        <f t="shared" si="60"/>
        <v/>
      </c>
      <c r="Y161" s="20" t="str">
        <f t="shared" si="61"/>
        <v/>
      </c>
      <c r="Z161" s="20" t="str">
        <f t="shared" si="62"/>
        <v/>
      </c>
      <c r="AA161" s="20" t="str">
        <f t="shared" si="63"/>
        <v/>
      </c>
      <c r="AB161" s="20" t="str">
        <f t="shared" si="64"/>
        <v/>
      </c>
      <c r="AC161" s="20" t="str">
        <f t="shared" si="65"/>
        <v/>
      </c>
      <c r="AD161" s="20" t="str">
        <f t="shared" si="66"/>
        <v/>
      </c>
      <c r="AE161" s="20" t="str">
        <f t="shared" si="67"/>
        <v/>
      </c>
      <c r="AF161" s="20" t="str">
        <f t="shared" si="68"/>
        <v/>
      </c>
      <c r="AG161" s="20" t="str">
        <f t="shared" si="69"/>
        <v/>
      </c>
      <c r="AH161" s="20" t="str">
        <f t="shared" si="70"/>
        <v/>
      </c>
      <c r="AI161" s="20" t="str">
        <f t="shared" si="71"/>
        <v/>
      </c>
      <c r="AJ161" s="20" t="str">
        <f t="shared" si="72"/>
        <v/>
      </c>
      <c r="AK161" s="20" t="str">
        <f t="shared" si="73"/>
        <v/>
      </c>
      <c r="AL161" s="20" t="str">
        <f t="shared" si="74"/>
        <v/>
      </c>
      <c r="AM161" s="20" t="str">
        <f t="shared" si="75"/>
        <v/>
      </c>
      <c r="AN161" s="20" t="str">
        <f t="shared" si="76"/>
        <v/>
      </c>
      <c r="AO161" s="20" t="str">
        <f t="shared" si="77"/>
        <v/>
      </c>
      <c r="AP161" s="20" t="str">
        <f t="shared" si="78"/>
        <v/>
      </c>
      <c r="AQ161" s="20" t="str">
        <f t="shared" si="79"/>
        <v/>
      </c>
      <c r="AR161" s="20" t="str">
        <f t="shared" si="80"/>
        <v/>
      </c>
      <c r="AS161" s="20" t="str">
        <f t="shared" si="81"/>
        <v/>
      </c>
      <c r="AT161" s="20" t="str">
        <f t="shared" si="82"/>
        <v/>
      </c>
      <c r="AU161" s="20" t="str">
        <f t="shared" si="83"/>
        <v/>
      </c>
      <c r="AV161" s="20" t="str">
        <f t="shared" si="84"/>
        <v/>
      </c>
      <c r="AW161" s="20" t="str">
        <f t="shared" si="85"/>
        <v/>
      </c>
      <c r="BD161" s="24" t="s">
        <v>727</v>
      </c>
      <c r="BE161" s="24" t="s">
        <v>828</v>
      </c>
      <c r="BF161" s="24" t="s">
        <v>1052</v>
      </c>
      <c r="BG161" s="24" t="s">
        <v>596</v>
      </c>
      <c r="BH161" s="24" t="s">
        <v>92</v>
      </c>
      <c r="BI161" s="24" t="str">
        <f t="shared" si="87"/>
        <v>WMCOMTranscomEGY_CAIBackofficeSupervisor/Team Lead</v>
      </c>
      <c r="BJ161" s="42"/>
      <c r="BK161" s="110" t="s">
        <v>1055</v>
      </c>
      <c r="BL161" s="110" t="s">
        <v>1055</v>
      </c>
      <c r="BM161" s="78" t="s">
        <v>734</v>
      </c>
      <c r="BN161" s="75" t="s">
        <v>1056</v>
      </c>
      <c r="BO161" s="24" t="s">
        <v>1057</v>
      </c>
      <c r="BP161" s="78" t="s">
        <v>636</v>
      </c>
      <c r="BQ161" s="24" t="s">
        <v>1058</v>
      </c>
      <c r="BR161" s="24" t="s">
        <v>1067</v>
      </c>
      <c r="BS161" s="78" t="s">
        <v>715</v>
      </c>
      <c r="BT161" s="57"/>
      <c r="BU161" s="78" t="s">
        <v>70</v>
      </c>
      <c r="BV161" s="24"/>
      <c r="BW161" s="42"/>
      <c r="BX161" s="24">
        <v>124</v>
      </c>
      <c r="BY161" s="24">
        <v>209707</v>
      </c>
      <c r="BZ161" s="24"/>
      <c r="CA161" s="42"/>
      <c r="CB161" s="78" t="s">
        <v>83</v>
      </c>
      <c r="CC161" s="24" t="s">
        <v>1059</v>
      </c>
      <c r="CD161" s="24" t="s">
        <v>1060</v>
      </c>
      <c r="CE161" s="78" t="s">
        <v>76</v>
      </c>
      <c r="CF161" s="78" t="s">
        <v>1132</v>
      </c>
      <c r="CG161" s="78" t="s">
        <v>828</v>
      </c>
      <c r="CH161" s="78" t="s">
        <v>727</v>
      </c>
      <c r="CI161" s="78">
        <v>7245</v>
      </c>
      <c r="CJ161" s="23" t="b">
        <v>0</v>
      </c>
      <c r="CK161" s="23" t="b">
        <v>0</v>
      </c>
      <c r="CL161" s="23" t="b">
        <v>0</v>
      </c>
      <c r="CM161" s="23" t="b">
        <v>1</v>
      </c>
      <c r="CN161" s="23" t="b">
        <v>0</v>
      </c>
      <c r="CO161" s="78" t="s">
        <v>61</v>
      </c>
    </row>
    <row r="162" spans="1:93" ht="16.5" x14ac:dyDescent="0.3">
      <c r="A162" s="97"/>
      <c r="B162" s="97"/>
      <c r="C162" s="97"/>
      <c r="D162" s="97"/>
      <c r="E162" s="97"/>
      <c r="F162" s="97"/>
      <c r="G162" s="98"/>
      <c r="H162" s="97"/>
      <c r="I162" s="97"/>
      <c r="J162" s="97"/>
      <c r="K162" s="97"/>
      <c r="L162" s="97"/>
      <c r="M162" s="97"/>
      <c r="N162" s="97"/>
      <c r="O162" s="97"/>
      <c r="P162" s="97"/>
      <c r="Q162" s="100"/>
      <c r="R162" s="101"/>
      <c r="S162" s="99"/>
      <c r="T162" s="99"/>
      <c r="U162" s="97"/>
      <c r="V162" s="20" t="str">
        <f t="shared" si="58"/>
        <v/>
      </c>
      <c r="W162" s="20" t="str">
        <f t="shared" si="59"/>
        <v/>
      </c>
      <c r="X162" s="20" t="str">
        <f t="shared" si="60"/>
        <v/>
      </c>
      <c r="Y162" s="20" t="str">
        <f t="shared" si="61"/>
        <v/>
      </c>
      <c r="Z162" s="20" t="str">
        <f t="shared" si="62"/>
        <v/>
      </c>
      <c r="AA162" s="20" t="str">
        <f t="shared" si="63"/>
        <v/>
      </c>
      <c r="AB162" s="20" t="str">
        <f t="shared" si="64"/>
        <v/>
      </c>
      <c r="AC162" s="20" t="str">
        <f t="shared" si="65"/>
        <v/>
      </c>
      <c r="AD162" s="20" t="str">
        <f t="shared" si="66"/>
        <v/>
      </c>
      <c r="AE162" s="20" t="str">
        <f t="shared" si="67"/>
        <v/>
      </c>
      <c r="AF162" s="20" t="str">
        <f t="shared" si="68"/>
        <v/>
      </c>
      <c r="AG162" s="20" t="str">
        <f t="shared" si="69"/>
        <v/>
      </c>
      <c r="AH162" s="20" t="str">
        <f t="shared" si="70"/>
        <v/>
      </c>
      <c r="AI162" s="20" t="str">
        <f t="shared" si="71"/>
        <v/>
      </c>
      <c r="AJ162" s="20" t="str">
        <f t="shared" si="72"/>
        <v/>
      </c>
      <c r="AK162" s="20" t="str">
        <f t="shared" si="73"/>
        <v/>
      </c>
      <c r="AL162" s="20" t="str">
        <f t="shared" si="74"/>
        <v/>
      </c>
      <c r="AM162" s="20" t="str">
        <f t="shared" si="75"/>
        <v/>
      </c>
      <c r="AN162" s="20" t="str">
        <f t="shared" si="76"/>
        <v/>
      </c>
      <c r="AO162" s="20" t="str">
        <f t="shared" si="77"/>
        <v/>
      </c>
      <c r="AP162" s="20" t="str">
        <f t="shared" si="78"/>
        <v/>
      </c>
      <c r="AQ162" s="20" t="str">
        <f t="shared" si="79"/>
        <v/>
      </c>
      <c r="AR162" s="20" t="str">
        <f t="shared" si="80"/>
        <v/>
      </c>
      <c r="AS162" s="20" t="str">
        <f t="shared" si="81"/>
        <v/>
      </c>
      <c r="AT162" s="20" t="str">
        <f t="shared" si="82"/>
        <v/>
      </c>
      <c r="AU162" s="20" t="str">
        <f t="shared" si="83"/>
        <v/>
      </c>
      <c r="AV162" s="20" t="str">
        <f t="shared" si="84"/>
        <v/>
      </c>
      <c r="AW162" s="20" t="str">
        <f t="shared" si="85"/>
        <v/>
      </c>
      <c r="BD162" s="24" t="s">
        <v>727</v>
      </c>
      <c r="BE162" s="24" t="s">
        <v>828</v>
      </c>
      <c r="BF162" s="24" t="s">
        <v>1052</v>
      </c>
      <c r="BG162" s="24" t="s">
        <v>596</v>
      </c>
      <c r="BH162" s="24" t="s">
        <v>147</v>
      </c>
      <c r="BI162" s="24" t="str">
        <f t="shared" si="87"/>
        <v>WMCOMTranscomEGY_CAIBackofficeReporting</v>
      </c>
      <c r="BJ162" s="42"/>
      <c r="BK162" s="110" t="s">
        <v>1054</v>
      </c>
      <c r="BL162" s="110" t="s">
        <v>1054</v>
      </c>
      <c r="BM162" s="78" t="s">
        <v>732</v>
      </c>
      <c r="BN162" s="75" t="s">
        <v>1056</v>
      </c>
      <c r="BO162" s="24" t="s">
        <v>1057</v>
      </c>
      <c r="BP162" s="78" t="s">
        <v>636</v>
      </c>
      <c r="BQ162" s="24" t="s">
        <v>1058</v>
      </c>
      <c r="BR162" s="24" t="s">
        <v>1067</v>
      </c>
      <c r="BS162" s="78" t="s">
        <v>715</v>
      </c>
      <c r="BT162" s="24"/>
      <c r="BU162" s="78" t="s">
        <v>70</v>
      </c>
      <c r="BW162" s="42"/>
      <c r="BX162" s="24">
        <v>124</v>
      </c>
      <c r="BY162" s="24">
        <v>209707</v>
      </c>
      <c r="BZ162" s="24"/>
      <c r="CA162" s="42"/>
      <c r="CB162" s="78" t="s">
        <v>83</v>
      </c>
      <c r="CC162" s="24" t="s">
        <v>1059</v>
      </c>
      <c r="CD162" s="24" t="s">
        <v>1060</v>
      </c>
      <c r="CE162" s="78" t="s">
        <v>76</v>
      </c>
      <c r="CF162" s="78" t="s">
        <v>1132</v>
      </c>
      <c r="CG162" s="78" t="s">
        <v>828</v>
      </c>
      <c r="CH162" s="78" t="s">
        <v>727</v>
      </c>
      <c r="CI162" s="78">
        <v>7245</v>
      </c>
      <c r="CJ162" s="23" t="b">
        <v>0</v>
      </c>
      <c r="CK162" s="23" t="b">
        <v>0</v>
      </c>
      <c r="CL162" s="23" t="b">
        <v>0</v>
      </c>
      <c r="CM162" s="23" t="b">
        <v>1</v>
      </c>
      <c r="CN162" s="23" t="b">
        <v>0</v>
      </c>
      <c r="CO162" s="78" t="s">
        <v>61</v>
      </c>
    </row>
    <row r="163" spans="1:93" ht="16.5" x14ac:dyDescent="0.25">
      <c r="A163" s="97"/>
      <c r="B163" s="97"/>
      <c r="C163" s="97"/>
      <c r="D163" s="97"/>
      <c r="E163" s="97"/>
      <c r="F163" s="97"/>
      <c r="G163" s="98"/>
      <c r="H163" s="97"/>
      <c r="I163" s="97"/>
      <c r="J163" s="97"/>
      <c r="K163" s="97"/>
      <c r="L163" s="97"/>
      <c r="M163" s="97"/>
      <c r="N163" s="97"/>
      <c r="O163" s="97"/>
      <c r="P163" s="97"/>
      <c r="Q163" s="100"/>
      <c r="R163" s="101"/>
      <c r="S163" s="99"/>
      <c r="T163" s="99"/>
      <c r="U163" s="97"/>
      <c r="V163" s="20" t="str">
        <f t="shared" si="58"/>
        <v/>
      </c>
      <c r="W163" s="20" t="str">
        <f t="shared" si="59"/>
        <v/>
      </c>
      <c r="X163" s="20" t="str">
        <f t="shared" si="60"/>
        <v/>
      </c>
      <c r="Y163" s="20" t="str">
        <f t="shared" si="61"/>
        <v/>
      </c>
      <c r="Z163" s="20" t="str">
        <f t="shared" si="62"/>
        <v/>
      </c>
      <c r="AA163" s="20" t="str">
        <f t="shared" si="63"/>
        <v/>
      </c>
      <c r="AB163" s="20" t="str">
        <f t="shared" si="64"/>
        <v/>
      </c>
      <c r="AC163" s="20" t="str">
        <f t="shared" si="65"/>
        <v/>
      </c>
      <c r="AD163" s="20" t="str">
        <f t="shared" si="66"/>
        <v/>
      </c>
      <c r="AE163" s="20" t="str">
        <f t="shared" si="67"/>
        <v/>
      </c>
      <c r="AF163" s="20" t="str">
        <f t="shared" si="68"/>
        <v/>
      </c>
      <c r="AG163" s="20" t="str">
        <f t="shared" si="69"/>
        <v/>
      </c>
      <c r="AH163" s="20" t="str">
        <f t="shared" si="70"/>
        <v/>
      </c>
      <c r="AI163" s="20" t="str">
        <f t="shared" si="71"/>
        <v/>
      </c>
      <c r="AJ163" s="20" t="str">
        <f t="shared" si="72"/>
        <v/>
      </c>
      <c r="AK163" s="20" t="str">
        <f t="shared" si="73"/>
        <v/>
      </c>
      <c r="AL163" s="20" t="str">
        <f t="shared" si="74"/>
        <v/>
      </c>
      <c r="AM163" s="20" t="str">
        <f t="shared" si="75"/>
        <v/>
      </c>
      <c r="AN163" s="20" t="str">
        <f t="shared" si="76"/>
        <v/>
      </c>
      <c r="AO163" s="20" t="str">
        <f t="shared" si="77"/>
        <v/>
      </c>
      <c r="AP163" s="20" t="str">
        <f t="shared" si="78"/>
        <v/>
      </c>
      <c r="AQ163" s="20" t="str">
        <f t="shared" si="79"/>
        <v/>
      </c>
      <c r="AR163" s="20" t="str">
        <f t="shared" si="80"/>
        <v/>
      </c>
      <c r="AS163" s="20" t="str">
        <f t="shared" si="81"/>
        <v/>
      </c>
      <c r="AT163" s="20" t="str">
        <f t="shared" si="82"/>
        <v/>
      </c>
      <c r="AU163" s="20" t="str">
        <f t="shared" si="83"/>
        <v/>
      </c>
      <c r="AV163" s="20" t="str">
        <f t="shared" si="84"/>
        <v/>
      </c>
      <c r="AW163" s="20" t="str">
        <f t="shared" si="85"/>
        <v/>
      </c>
      <c r="BD163" s="78" t="s">
        <v>178</v>
      </c>
      <c r="BE163" s="78" t="s">
        <v>828</v>
      </c>
      <c r="BF163" s="78" t="s">
        <v>931</v>
      </c>
      <c r="BG163" s="78" t="s">
        <v>595</v>
      </c>
      <c r="BH163" s="78" t="s">
        <v>58</v>
      </c>
      <c r="BI163" s="78" t="str">
        <f t="shared" si="87"/>
        <v>WMCOMIbexPHL_PPAPhoneAgent</v>
      </c>
      <c r="BJ163" s="42"/>
      <c r="BK163" s="87" t="s">
        <v>1065</v>
      </c>
      <c r="BL163" s="87" t="s">
        <v>1065</v>
      </c>
      <c r="BM163" s="75" t="s">
        <v>491</v>
      </c>
      <c r="BN163" s="78" t="s">
        <v>933</v>
      </c>
      <c r="BO163" s="78" t="s">
        <v>74</v>
      </c>
      <c r="BP163" s="78" t="s">
        <v>103</v>
      </c>
      <c r="BQ163" s="78" t="s">
        <v>937</v>
      </c>
      <c r="BR163" s="24" t="s">
        <v>1066</v>
      </c>
      <c r="BS163" s="78" t="s">
        <v>715</v>
      </c>
      <c r="BT163" s="24"/>
      <c r="BU163" s="78" t="s">
        <v>70</v>
      </c>
      <c r="BV163" s="24"/>
      <c r="BW163" s="42"/>
      <c r="BX163" s="78">
        <v>847</v>
      </c>
      <c r="BY163" s="78">
        <v>207009</v>
      </c>
      <c r="BZ163" s="24"/>
      <c r="CA163" s="42"/>
      <c r="CB163" s="78" t="s">
        <v>58</v>
      </c>
      <c r="CC163" s="78" t="s">
        <v>568</v>
      </c>
      <c r="CD163" s="78" t="s">
        <v>938</v>
      </c>
      <c r="CE163" s="78" t="s">
        <v>98</v>
      </c>
      <c r="CF163" s="78" t="s">
        <v>1132</v>
      </c>
      <c r="CG163" s="78" t="s">
        <v>828</v>
      </c>
      <c r="CH163" s="78" t="s">
        <v>178</v>
      </c>
      <c r="CI163" s="78">
        <v>5274</v>
      </c>
      <c r="CJ163" s="78" t="b">
        <v>1</v>
      </c>
      <c r="CK163" s="23" t="b">
        <v>0</v>
      </c>
      <c r="CL163" s="78" t="b">
        <v>0</v>
      </c>
      <c r="CM163" s="78" t="b">
        <v>0</v>
      </c>
      <c r="CN163" s="78" t="b">
        <v>0</v>
      </c>
      <c r="CO163" s="78" t="s">
        <v>61</v>
      </c>
    </row>
    <row r="164" spans="1:93" ht="16.5" x14ac:dyDescent="0.3">
      <c r="A164" s="97"/>
      <c r="B164" s="97"/>
      <c r="C164" s="97"/>
      <c r="D164" s="97"/>
      <c r="E164" s="97"/>
      <c r="F164" s="97"/>
      <c r="G164" s="98"/>
      <c r="H164" s="97"/>
      <c r="I164" s="97"/>
      <c r="J164" s="97"/>
      <c r="K164" s="97"/>
      <c r="L164" s="97"/>
      <c r="M164" s="97"/>
      <c r="N164" s="97"/>
      <c r="O164" s="97"/>
      <c r="P164" s="97"/>
      <c r="Q164" s="100"/>
      <c r="R164" s="101"/>
      <c r="S164" s="99"/>
      <c r="T164" s="99"/>
      <c r="U164" s="97"/>
      <c r="V164" s="20" t="str">
        <f t="shared" si="58"/>
        <v/>
      </c>
      <c r="W164" s="20" t="str">
        <f t="shared" si="59"/>
        <v/>
      </c>
      <c r="X164" s="20" t="str">
        <f t="shared" si="60"/>
        <v/>
      </c>
      <c r="Y164" s="20" t="str">
        <f t="shared" si="61"/>
        <v/>
      </c>
      <c r="Z164" s="20" t="str">
        <f t="shared" si="62"/>
        <v/>
      </c>
      <c r="AA164" s="20" t="str">
        <f t="shared" si="63"/>
        <v/>
      </c>
      <c r="AB164" s="20" t="str">
        <f t="shared" si="64"/>
        <v/>
      </c>
      <c r="AC164" s="20" t="str">
        <f t="shared" si="65"/>
        <v/>
      </c>
      <c r="AD164" s="20" t="str">
        <f t="shared" si="66"/>
        <v/>
      </c>
      <c r="AE164" s="20" t="str">
        <f t="shared" si="67"/>
        <v/>
      </c>
      <c r="AF164" s="20" t="str">
        <f t="shared" si="68"/>
        <v/>
      </c>
      <c r="AG164" s="20" t="str">
        <f t="shared" si="69"/>
        <v/>
      </c>
      <c r="AH164" s="20" t="str">
        <f t="shared" si="70"/>
        <v/>
      </c>
      <c r="AI164" s="20" t="str">
        <f t="shared" si="71"/>
        <v/>
      </c>
      <c r="AJ164" s="20" t="str">
        <f t="shared" si="72"/>
        <v/>
      </c>
      <c r="AK164" s="20" t="str">
        <f t="shared" si="73"/>
        <v/>
      </c>
      <c r="AL164" s="20" t="str">
        <f t="shared" si="74"/>
        <v/>
      </c>
      <c r="AM164" s="20" t="str">
        <f t="shared" si="75"/>
        <v/>
      </c>
      <c r="AN164" s="20" t="str">
        <f t="shared" si="76"/>
        <v/>
      </c>
      <c r="AO164" s="20" t="str">
        <f t="shared" si="77"/>
        <v/>
      </c>
      <c r="AP164" s="20" t="str">
        <f t="shared" si="78"/>
        <v/>
      </c>
      <c r="AQ164" s="20" t="str">
        <f t="shared" si="79"/>
        <v/>
      </c>
      <c r="AR164" s="20" t="str">
        <f t="shared" si="80"/>
        <v/>
      </c>
      <c r="AS164" s="20" t="str">
        <f t="shared" si="81"/>
        <v/>
      </c>
      <c r="AT164" s="20" t="str">
        <f t="shared" si="82"/>
        <v/>
      </c>
      <c r="AU164" s="20" t="str">
        <f t="shared" si="83"/>
        <v/>
      </c>
      <c r="AV164" s="20" t="str">
        <f t="shared" si="84"/>
        <v/>
      </c>
      <c r="AW164" s="20" t="str">
        <f t="shared" si="85"/>
        <v/>
      </c>
      <c r="BD164" s="24" t="s">
        <v>1068</v>
      </c>
      <c r="BE164" s="24" t="s">
        <v>828</v>
      </c>
      <c r="BF164" s="24" t="s">
        <v>1069</v>
      </c>
      <c r="BG164" s="24" t="s">
        <v>595</v>
      </c>
      <c r="BH164" s="24" t="s">
        <v>58</v>
      </c>
      <c r="BI164" s="24" t="str">
        <f t="shared" ref="BI164:BI178" si="88">BE164&amp;BD164&amp;BF164&amp;BG164&amp;BH164</f>
        <v>WMCOMTaskUsMEX_TIJPhoneAgent</v>
      </c>
      <c r="BJ164" s="42"/>
      <c r="BK164" s="113" t="s">
        <v>1070</v>
      </c>
      <c r="BL164" s="113" t="s">
        <v>1070</v>
      </c>
      <c r="BM164" s="110" t="s">
        <v>1073</v>
      </c>
      <c r="BN164" s="5" t="s">
        <v>1076</v>
      </c>
      <c r="BO164" s="24" t="s">
        <v>247</v>
      </c>
      <c r="BP164" s="114" t="s">
        <v>1078</v>
      </c>
      <c r="BQ164" s="24" t="s">
        <v>1077</v>
      </c>
      <c r="BR164" s="115" t="s">
        <v>1079</v>
      </c>
      <c r="BS164" s="78" t="s">
        <v>715</v>
      </c>
      <c r="BT164" s="24"/>
      <c r="BU164" s="78" t="s">
        <v>70</v>
      </c>
      <c r="BV164" s="24"/>
      <c r="BW164" s="42"/>
      <c r="BX164" s="24">
        <v>862</v>
      </c>
      <c r="BY164" s="24">
        <v>210207</v>
      </c>
      <c r="BZ164" s="24"/>
      <c r="CA164" s="42"/>
      <c r="CB164" s="24" t="s">
        <v>58</v>
      </c>
      <c r="CC164" s="24" t="s">
        <v>1081</v>
      </c>
      <c r="CD164" s="24" t="s">
        <v>1082</v>
      </c>
      <c r="CE164" s="78" t="s">
        <v>1083</v>
      </c>
      <c r="CF164" s="78" t="s">
        <v>1132</v>
      </c>
      <c r="CG164" s="78" t="s">
        <v>828</v>
      </c>
      <c r="CH164" s="24" t="s">
        <v>1068</v>
      </c>
      <c r="CI164" s="89">
        <v>2683</v>
      </c>
      <c r="CJ164" s="78" t="b">
        <v>1</v>
      </c>
      <c r="CK164" s="23" t="b">
        <v>0</v>
      </c>
      <c r="CL164" s="23" t="b">
        <v>0</v>
      </c>
      <c r="CM164" s="23" t="b">
        <v>0</v>
      </c>
      <c r="CN164" s="23" t="b">
        <v>0</v>
      </c>
      <c r="CO164" s="78" t="s">
        <v>61</v>
      </c>
    </row>
    <row r="165" spans="1:93" ht="16.5" x14ac:dyDescent="0.3">
      <c r="A165" s="97"/>
      <c r="B165" s="97"/>
      <c r="C165" s="97"/>
      <c r="D165" s="97"/>
      <c r="E165" s="97"/>
      <c r="F165" s="97"/>
      <c r="G165" s="98"/>
      <c r="H165" s="97"/>
      <c r="I165" s="97"/>
      <c r="J165" s="97"/>
      <c r="K165" s="97"/>
      <c r="L165" s="97"/>
      <c r="M165" s="97"/>
      <c r="N165" s="97"/>
      <c r="O165" s="97"/>
      <c r="P165" s="97"/>
      <c r="Q165" s="100"/>
      <c r="R165" s="101"/>
      <c r="S165" s="99"/>
      <c r="T165" s="99"/>
      <c r="U165" s="97"/>
      <c r="V165" s="20" t="str">
        <f t="shared" si="58"/>
        <v/>
      </c>
      <c r="W165" s="20" t="str">
        <f t="shared" si="59"/>
        <v/>
      </c>
      <c r="X165" s="20" t="str">
        <f t="shared" si="60"/>
        <v/>
      </c>
      <c r="Y165" s="20" t="str">
        <f t="shared" si="61"/>
        <v/>
      </c>
      <c r="Z165" s="20" t="str">
        <f t="shared" si="62"/>
        <v/>
      </c>
      <c r="AA165" s="20" t="str">
        <f t="shared" si="63"/>
        <v/>
      </c>
      <c r="AB165" s="20" t="str">
        <f t="shared" si="64"/>
        <v/>
      </c>
      <c r="AC165" s="20" t="str">
        <f t="shared" si="65"/>
        <v/>
      </c>
      <c r="AD165" s="20" t="str">
        <f t="shared" si="66"/>
        <v/>
      </c>
      <c r="AE165" s="20" t="str">
        <f t="shared" si="67"/>
        <v/>
      </c>
      <c r="AF165" s="20" t="str">
        <f t="shared" si="68"/>
        <v/>
      </c>
      <c r="AG165" s="20" t="str">
        <f t="shared" si="69"/>
        <v/>
      </c>
      <c r="AH165" s="20" t="str">
        <f t="shared" si="70"/>
        <v/>
      </c>
      <c r="AI165" s="20" t="str">
        <f t="shared" si="71"/>
        <v/>
      </c>
      <c r="AJ165" s="20" t="str">
        <f t="shared" si="72"/>
        <v/>
      </c>
      <c r="AK165" s="20" t="str">
        <f t="shared" si="73"/>
        <v/>
      </c>
      <c r="AL165" s="20" t="str">
        <f t="shared" si="74"/>
        <v/>
      </c>
      <c r="AM165" s="20" t="str">
        <f t="shared" si="75"/>
        <v/>
      </c>
      <c r="AN165" s="20" t="str">
        <f t="shared" si="76"/>
        <v/>
      </c>
      <c r="AO165" s="20" t="str">
        <f t="shared" si="77"/>
        <v/>
      </c>
      <c r="AP165" s="20" t="str">
        <f t="shared" si="78"/>
        <v/>
      </c>
      <c r="AQ165" s="20" t="str">
        <f t="shared" si="79"/>
        <v/>
      </c>
      <c r="AR165" s="20" t="str">
        <f t="shared" si="80"/>
        <v/>
      </c>
      <c r="AS165" s="20" t="str">
        <f t="shared" si="81"/>
        <v/>
      </c>
      <c r="AT165" s="20" t="str">
        <f t="shared" si="82"/>
        <v/>
      </c>
      <c r="AU165" s="20" t="str">
        <f t="shared" si="83"/>
        <v/>
      </c>
      <c r="AV165" s="20" t="str">
        <f t="shared" si="84"/>
        <v/>
      </c>
      <c r="AW165" s="20" t="str">
        <f t="shared" si="85"/>
        <v/>
      </c>
      <c r="BD165" s="24" t="s">
        <v>1068</v>
      </c>
      <c r="BE165" s="24" t="s">
        <v>828</v>
      </c>
      <c r="BF165" s="24" t="s">
        <v>1069</v>
      </c>
      <c r="BG165" s="24" t="s">
        <v>596</v>
      </c>
      <c r="BH165" s="24" t="s">
        <v>92</v>
      </c>
      <c r="BI165" s="24" t="str">
        <f t="shared" si="88"/>
        <v>WMCOMTaskUsMEX_TIJBackofficeSupervisor/Team Lead</v>
      </c>
      <c r="BJ165" s="42"/>
      <c r="BK165" s="110" t="s">
        <v>1071</v>
      </c>
      <c r="BL165" s="110" t="s">
        <v>1071</v>
      </c>
      <c r="BM165" s="110" t="s">
        <v>1074</v>
      </c>
      <c r="BN165" s="5" t="s">
        <v>1076</v>
      </c>
      <c r="BO165" s="24" t="s">
        <v>247</v>
      </c>
      <c r="BP165" s="114" t="s">
        <v>1078</v>
      </c>
      <c r="BQ165" s="24" t="s">
        <v>1077</v>
      </c>
      <c r="BR165" s="24" t="s">
        <v>1080</v>
      </c>
      <c r="BS165" s="78" t="s">
        <v>715</v>
      </c>
      <c r="BT165" s="24"/>
      <c r="BU165" s="78" t="s">
        <v>70</v>
      </c>
      <c r="BV165" s="24"/>
      <c r="BW165" s="42"/>
      <c r="BX165" s="24">
        <v>124</v>
      </c>
      <c r="BY165" s="24">
        <v>210207</v>
      </c>
      <c r="BZ165" s="24"/>
      <c r="CA165" s="42"/>
      <c r="CB165" s="24" t="s">
        <v>83</v>
      </c>
      <c r="CC165" s="24" t="s">
        <v>1081</v>
      </c>
      <c r="CD165" s="24" t="s">
        <v>1082</v>
      </c>
      <c r="CE165" s="78" t="s">
        <v>1083</v>
      </c>
      <c r="CF165" s="78" t="s">
        <v>1132</v>
      </c>
      <c r="CG165" s="78" t="s">
        <v>828</v>
      </c>
      <c r="CH165" s="24" t="s">
        <v>1068</v>
      </c>
      <c r="CI165" s="89">
        <v>2683</v>
      </c>
      <c r="CJ165" s="23" t="b">
        <v>0</v>
      </c>
      <c r="CK165" s="23" t="b">
        <v>0</v>
      </c>
      <c r="CL165" s="23" t="b">
        <v>0</v>
      </c>
      <c r="CM165" s="23" t="b">
        <v>1</v>
      </c>
      <c r="CN165" s="23" t="b">
        <v>0</v>
      </c>
      <c r="CO165" s="78" t="s">
        <v>61</v>
      </c>
    </row>
    <row r="166" spans="1:93" ht="16.5" x14ac:dyDescent="0.3">
      <c r="A166" s="97"/>
      <c r="B166" s="97"/>
      <c r="C166" s="97"/>
      <c r="D166" s="97"/>
      <c r="E166" s="97"/>
      <c r="F166" s="97"/>
      <c r="G166" s="98"/>
      <c r="H166" s="97"/>
      <c r="I166" s="97"/>
      <c r="J166" s="97"/>
      <c r="K166" s="97"/>
      <c r="L166" s="97"/>
      <c r="M166" s="97"/>
      <c r="N166" s="97"/>
      <c r="O166" s="97"/>
      <c r="P166" s="97"/>
      <c r="Q166" s="100"/>
      <c r="R166" s="101"/>
      <c r="S166" s="99"/>
      <c r="T166" s="99"/>
      <c r="U166" s="97"/>
      <c r="V166" s="20" t="str">
        <f t="shared" si="58"/>
        <v/>
      </c>
      <c r="W166" s="20" t="str">
        <f t="shared" si="59"/>
        <v/>
      </c>
      <c r="X166" s="20" t="str">
        <f t="shared" si="60"/>
        <v/>
      </c>
      <c r="Y166" s="20" t="str">
        <f t="shared" si="61"/>
        <v/>
      </c>
      <c r="Z166" s="20" t="str">
        <f t="shared" si="62"/>
        <v/>
      </c>
      <c r="AA166" s="20" t="str">
        <f t="shared" si="63"/>
        <v/>
      </c>
      <c r="AB166" s="20" t="str">
        <f t="shared" si="64"/>
        <v/>
      </c>
      <c r="AC166" s="20" t="str">
        <f t="shared" si="65"/>
        <v/>
      </c>
      <c r="AD166" s="20" t="str">
        <f t="shared" si="66"/>
        <v/>
      </c>
      <c r="AE166" s="20" t="str">
        <f t="shared" si="67"/>
        <v/>
      </c>
      <c r="AF166" s="20" t="str">
        <f t="shared" si="68"/>
        <v/>
      </c>
      <c r="AG166" s="20" t="str">
        <f t="shared" si="69"/>
        <v/>
      </c>
      <c r="AH166" s="20" t="str">
        <f t="shared" si="70"/>
        <v/>
      </c>
      <c r="AI166" s="20" t="str">
        <f t="shared" si="71"/>
        <v/>
      </c>
      <c r="AJ166" s="20" t="str">
        <f t="shared" si="72"/>
        <v/>
      </c>
      <c r="AK166" s="20" t="str">
        <f t="shared" si="73"/>
        <v/>
      </c>
      <c r="AL166" s="20" t="str">
        <f t="shared" si="74"/>
        <v/>
      </c>
      <c r="AM166" s="20" t="str">
        <f t="shared" si="75"/>
        <v/>
      </c>
      <c r="AN166" s="20" t="str">
        <f t="shared" si="76"/>
        <v/>
      </c>
      <c r="AO166" s="20" t="str">
        <f t="shared" si="77"/>
        <v/>
      </c>
      <c r="AP166" s="20" t="str">
        <f t="shared" si="78"/>
        <v/>
      </c>
      <c r="AQ166" s="20" t="str">
        <f t="shared" si="79"/>
        <v/>
      </c>
      <c r="AR166" s="20" t="str">
        <f t="shared" si="80"/>
        <v/>
      </c>
      <c r="AS166" s="20" t="str">
        <f t="shared" si="81"/>
        <v/>
      </c>
      <c r="AT166" s="20" t="str">
        <f t="shared" si="82"/>
        <v/>
      </c>
      <c r="AU166" s="20" t="str">
        <f t="shared" si="83"/>
        <v/>
      </c>
      <c r="AV166" s="20" t="str">
        <f t="shared" si="84"/>
        <v/>
      </c>
      <c r="AW166" s="20" t="str">
        <f t="shared" si="85"/>
        <v/>
      </c>
      <c r="BD166" s="24" t="s">
        <v>1068</v>
      </c>
      <c r="BE166" s="24" t="s">
        <v>828</v>
      </c>
      <c r="BF166" s="24" t="s">
        <v>1069</v>
      </c>
      <c r="BG166" s="24" t="s">
        <v>596</v>
      </c>
      <c r="BH166" s="24" t="s">
        <v>147</v>
      </c>
      <c r="BI166" s="24" t="str">
        <f t="shared" si="88"/>
        <v>WMCOMTaskUsMEX_TIJBackofficeReporting</v>
      </c>
      <c r="BJ166" s="42"/>
      <c r="BK166" s="110" t="s">
        <v>1072</v>
      </c>
      <c r="BL166" s="110" t="s">
        <v>1072</v>
      </c>
      <c r="BM166" s="110" t="s">
        <v>1075</v>
      </c>
      <c r="BN166" s="5" t="s">
        <v>1076</v>
      </c>
      <c r="BO166" s="24" t="s">
        <v>247</v>
      </c>
      <c r="BP166" s="114" t="s">
        <v>1078</v>
      </c>
      <c r="BQ166" s="24" t="s">
        <v>1077</v>
      </c>
      <c r="BR166" s="24" t="s">
        <v>1080</v>
      </c>
      <c r="BS166" s="78" t="s">
        <v>715</v>
      </c>
      <c r="BT166" s="57"/>
      <c r="BU166" s="78" t="s">
        <v>70</v>
      </c>
      <c r="BV166" s="24"/>
      <c r="BW166" s="42"/>
      <c r="BX166" s="24">
        <v>124</v>
      </c>
      <c r="BY166" s="24">
        <v>210207</v>
      </c>
      <c r="BZ166" s="24"/>
      <c r="CA166" s="42"/>
      <c r="CB166" s="24" t="s">
        <v>83</v>
      </c>
      <c r="CC166" s="24" t="s">
        <v>1081</v>
      </c>
      <c r="CD166" s="24" t="s">
        <v>1082</v>
      </c>
      <c r="CE166" s="78" t="s">
        <v>1083</v>
      </c>
      <c r="CF166" s="78" t="s">
        <v>1132</v>
      </c>
      <c r="CG166" s="78" t="s">
        <v>828</v>
      </c>
      <c r="CH166" s="24" t="s">
        <v>1068</v>
      </c>
      <c r="CI166" s="89">
        <v>2683</v>
      </c>
      <c r="CJ166" s="23" t="b">
        <v>0</v>
      </c>
      <c r="CK166" s="23" t="b">
        <v>0</v>
      </c>
      <c r="CL166" s="23" t="b">
        <v>0</v>
      </c>
      <c r="CM166" s="23" t="b">
        <v>1</v>
      </c>
      <c r="CN166" s="23" t="b">
        <v>0</v>
      </c>
      <c r="CO166" s="78" t="s">
        <v>61</v>
      </c>
    </row>
    <row r="167" spans="1:93" ht="16.5" x14ac:dyDescent="0.3">
      <c r="A167" s="97"/>
      <c r="B167" s="97"/>
      <c r="C167" s="97"/>
      <c r="D167" s="97"/>
      <c r="E167" s="97"/>
      <c r="F167" s="97"/>
      <c r="G167" s="98"/>
      <c r="H167" s="97"/>
      <c r="I167" s="97"/>
      <c r="J167" s="97"/>
      <c r="K167" s="97"/>
      <c r="L167" s="97"/>
      <c r="M167" s="97"/>
      <c r="N167" s="97"/>
      <c r="O167" s="97"/>
      <c r="P167" s="97"/>
      <c r="Q167" s="100"/>
      <c r="R167" s="101"/>
      <c r="S167" s="99"/>
      <c r="T167" s="99"/>
      <c r="U167" s="97"/>
      <c r="V167" s="20" t="str">
        <f t="shared" si="58"/>
        <v/>
      </c>
      <c r="W167" s="20" t="str">
        <f t="shared" si="59"/>
        <v/>
      </c>
      <c r="X167" s="20" t="str">
        <f t="shared" si="60"/>
        <v/>
      </c>
      <c r="Y167" s="20" t="str">
        <f t="shared" si="61"/>
        <v/>
      </c>
      <c r="Z167" s="20" t="str">
        <f t="shared" si="62"/>
        <v/>
      </c>
      <c r="AA167" s="20" t="str">
        <f t="shared" si="63"/>
        <v/>
      </c>
      <c r="AB167" s="20" t="str">
        <f t="shared" si="64"/>
        <v/>
      </c>
      <c r="AC167" s="20" t="str">
        <f t="shared" si="65"/>
        <v/>
      </c>
      <c r="AD167" s="20" t="str">
        <f t="shared" si="66"/>
        <v/>
      </c>
      <c r="AE167" s="20" t="str">
        <f t="shared" si="67"/>
        <v/>
      </c>
      <c r="AF167" s="20" t="str">
        <f t="shared" si="68"/>
        <v/>
      </c>
      <c r="AG167" s="20" t="str">
        <f t="shared" si="69"/>
        <v/>
      </c>
      <c r="AH167" s="20" t="str">
        <f t="shared" si="70"/>
        <v/>
      </c>
      <c r="AI167" s="20" t="str">
        <f t="shared" si="71"/>
        <v/>
      </c>
      <c r="AJ167" s="20" t="str">
        <f t="shared" si="72"/>
        <v/>
      </c>
      <c r="AK167" s="20" t="str">
        <f t="shared" si="73"/>
        <v/>
      </c>
      <c r="AL167" s="20" t="str">
        <f t="shared" si="74"/>
        <v/>
      </c>
      <c r="AM167" s="20" t="str">
        <f t="shared" si="75"/>
        <v/>
      </c>
      <c r="AN167" s="20" t="str">
        <f t="shared" si="76"/>
        <v/>
      </c>
      <c r="AO167" s="20" t="str">
        <f t="shared" si="77"/>
        <v/>
      </c>
      <c r="AP167" s="20" t="str">
        <f t="shared" si="78"/>
        <v/>
      </c>
      <c r="AQ167" s="20" t="str">
        <f t="shared" si="79"/>
        <v/>
      </c>
      <c r="AR167" s="20" t="str">
        <f t="shared" si="80"/>
        <v/>
      </c>
      <c r="AS167" s="20" t="str">
        <f t="shared" si="81"/>
        <v/>
      </c>
      <c r="AT167" s="20" t="str">
        <f t="shared" si="82"/>
        <v/>
      </c>
      <c r="AU167" s="20" t="str">
        <f t="shared" si="83"/>
        <v/>
      </c>
      <c r="AV167" s="20" t="str">
        <f t="shared" si="84"/>
        <v/>
      </c>
      <c r="AW167" s="20" t="str">
        <f t="shared" si="85"/>
        <v/>
      </c>
      <c r="BD167" s="24" t="s">
        <v>233</v>
      </c>
      <c r="BE167" s="24" t="s">
        <v>828</v>
      </c>
      <c r="BF167" s="24" t="s">
        <v>952</v>
      </c>
      <c r="BG167" s="24" t="s">
        <v>127</v>
      </c>
      <c r="BH167" s="24" t="s">
        <v>58</v>
      </c>
      <c r="BI167" s="24" t="str">
        <f t="shared" si="88"/>
        <v>WMCOMTeleperformanceIND_DELChatAgent</v>
      </c>
      <c r="BJ167" s="42"/>
      <c r="BK167" s="110" t="s">
        <v>1086</v>
      </c>
      <c r="BL167" s="110" t="s">
        <v>1086</v>
      </c>
      <c r="BM167" s="75" t="s">
        <v>497</v>
      </c>
      <c r="BN167" s="5" t="s">
        <v>1090</v>
      </c>
      <c r="BO167" s="24" t="s">
        <v>109</v>
      </c>
      <c r="BP167" s="24" t="s">
        <v>636</v>
      </c>
      <c r="BQ167" s="114" t="s">
        <v>1091</v>
      </c>
      <c r="BR167" s="115" t="s">
        <v>1093</v>
      </c>
      <c r="BS167" s="107" t="s">
        <v>52</v>
      </c>
      <c r="BT167" s="57"/>
      <c r="BU167" s="78" t="s">
        <v>70</v>
      </c>
      <c r="BV167" s="24"/>
      <c r="BW167" s="42"/>
      <c r="BX167" s="24">
        <v>864</v>
      </c>
      <c r="BY167" s="24">
        <v>210215</v>
      </c>
      <c r="BZ167" s="24"/>
      <c r="CA167" s="42"/>
      <c r="CB167" s="24" t="s">
        <v>58</v>
      </c>
      <c r="CC167" s="24" t="s">
        <v>570</v>
      </c>
      <c r="CD167" s="24" t="s">
        <v>958</v>
      </c>
      <c r="CE167" s="78" t="s">
        <v>76</v>
      </c>
      <c r="CF167" s="78" t="s">
        <v>1132</v>
      </c>
      <c r="CG167" s="78" t="s">
        <v>828</v>
      </c>
      <c r="CH167" s="78" t="s">
        <v>233</v>
      </c>
      <c r="CI167" s="78">
        <v>5256</v>
      </c>
      <c r="CJ167" s="23" t="b">
        <v>0</v>
      </c>
      <c r="CK167" s="23" t="b">
        <v>1</v>
      </c>
      <c r="CL167" s="23" t="b">
        <v>0</v>
      </c>
      <c r="CM167" s="23" t="b">
        <v>0</v>
      </c>
      <c r="CN167" s="23" t="b">
        <v>0</v>
      </c>
      <c r="CO167" s="78" t="s">
        <v>61</v>
      </c>
    </row>
    <row r="168" spans="1:93" ht="16.5" x14ac:dyDescent="0.3">
      <c r="A168" s="97"/>
      <c r="B168" s="97"/>
      <c r="C168" s="97"/>
      <c r="D168" s="97"/>
      <c r="E168" s="97"/>
      <c r="F168" s="97"/>
      <c r="G168" s="98"/>
      <c r="H168" s="97"/>
      <c r="I168" s="97"/>
      <c r="J168" s="97"/>
      <c r="K168" s="97"/>
      <c r="L168" s="97"/>
      <c r="M168" s="97"/>
      <c r="N168" s="97"/>
      <c r="O168" s="97"/>
      <c r="P168" s="97"/>
      <c r="Q168" s="100"/>
      <c r="R168" s="101"/>
      <c r="S168" s="99"/>
      <c r="T168" s="99"/>
      <c r="U168" s="97"/>
      <c r="V168" s="20" t="str">
        <f t="shared" si="58"/>
        <v/>
      </c>
      <c r="W168" s="20" t="str">
        <f t="shared" si="59"/>
        <v/>
      </c>
      <c r="X168" s="20" t="str">
        <f t="shared" si="60"/>
        <v/>
      </c>
      <c r="Y168" s="20" t="str">
        <f t="shared" si="61"/>
        <v/>
      </c>
      <c r="Z168" s="20" t="str">
        <f t="shared" si="62"/>
        <v/>
      </c>
      <c r="AA168" s="20" t="str">
        <f t="shared" si="63"/>
        <v/>
      </c>
      <c r="AB168" s="20" t="str">
        <f t="shared" si="64"/>
        <v/>
      </c>
      <c r="AC168" s="20" t="str">
        <f t="shared" si="65"/>
        <v/>
      </c>
      <c r="AD168" s="20" t="str">
        <f t="shared" si="66"/>
        <v/>
      </c>
      <c r="AE168" s="20" t="str">
        <f t="shared" si="67"/>
        <v/>
      </c>
      <c r="AF168" s="20" t="str">
        <f t="shared" si="68"/>
        <v/>
      </c>
      <c r="AG168" s="20" t="str">
        <f t="shared" si="69"/>
        <v/>
      </c>
      <c r="AH168" s="20" t="str">
        <f t="shared" si="70"/>
        <v/>
      </c>
      <c r="AI168" s="20" t="str">
        <f t="shared" si="71"/>
        <v/>
      </c>
      <c r="AJ168" s="20" t="str">
        <f t="shared" si="72"/>
        <v/>
      </c>
      <c r="AK168" s="20" t="str">
        <f t="shared" si="73"/>
        <v/>
      </c>
      <c r="AL168" s="20" t="str">
        <f t="shared" si="74"/>
        <v/>
      </c>
      <c r="AM168" s="20" t="str">
        <f t="shared" si="75"/>
        <v/>
      </c>
      <c r="AN168" s="20" t="str">
        <f t="shared" si="76"/>
        <v/>
      </c>
      <c r="AO168" s="20" t="str">
        <f t="shared" si="77"/>
        <v/>
      </c>
      <c r="AP168" s="20" t="str">
        <f t="shared" si="78"/>
        <v/>
      </c>
      <c r="AQ168" s="20" t="str">
        <f t="shared" si="79"/>
        <v/>
      </c>
      <c r="AR168" s="20" t="str">
        <f t="shared" si="80"/>
        <v/>
      </c>
      <c r="AS168" s="20" t="str">
        <f t="shared" si="81"/>
        <v/>
      </c>
      <c r="AT168" s="20" t="str">
        <f t="shared" si="82"/>
        <v/>
      </c>
      <c r="AU168" s="20" t="str">
        <f t="shared" si="83"/>
        <v/>
      </c>
      <c r="AV168" s="20" t="str">
        <f t="shared" si="84"/>
        <v/>
      </c>
      <c r="AW168" s="20" t="str">
        <f t="shared" si="85"/>
        <v/>
      </c>
      <c r="BD168" s="24" t="s">
        <v>233</v>
      </c>
      <c r="BE168" s="24" t="s">
        <v>828</v>
      </c>
      <c r="BF168" s="24" t="s">
        <v>952</v>
      </c>
      <c r="BG168" s="24" t="s">
        <v>596</v>
      </c>
      <c r="BH168" s="24" t="s">
        <v>92</v>
      </c>
      <c r="BI168" s="24" t="str">
        <f t="shared" si="88"/>
        <v>WMCOMTeleperformanceIND_DELBackofficeSupervisor/Team Lead</v>
      </c>
      <c r="BJ168" s="42"/>
      <c r="BK168" s="75" t="s">
        <v>1087</v>
      </c>
      <c r="BL168" s="75" t="s">
        <v>1087</v>
      </c>
      <c r="BM168" s="75" t="s">
        <v>498</v>
      </c>
      <c r="BN168" s="5" t="s">
        <v>1090</v>
      </c>
      <c r="BO168" s="24" t="s">
        <v>109</v>
      </c>
      <c r="BP168" s="24" t="s">
        <v>636</v>
      </c>
      <c r="BQ168" s="114" t="s">
        <v>1091</v>
      </c>
      <c r="BR168" s="110" t="s">
        <v>1092</v>
      </c>
      <c r="BS168" s="107" t="s">
        <v>52</v>
      </c>
      <c r="BT168" s="57"/>
      <c r="BU168" s="78" t="s">
        <v>70</v>
      </c>
      <c r="BV168" s="24"/>
      <c r="BW168" s="42"/>
      <c r="BX168" s="24">
        <v>124</v>
      </c>
      <c r="BY168" s="24">
        <v>210215</v>
      </c>
      <c r="BZ168" s="24"/>
      <c r="CA168" s="42"/>
      <c r="CB168" s="24" t="s">
        <v>83</v>
      </c>
      <c r="CC168" s="24" t="s">
        <v>570</v>
      </c>
      <c r="CD168" s="24" t="s">
        <v>958</v>
      </c>
      <c r="CE168" s="78" t="s">
        <v>76</v>
      </c>
      <c r="CF168" s="78" t="s">
        <v>1132</v>
      </c>
      <c r="CG168" s="78" t="s">
        <v>828</v>
      </c>
      <c r="CH168" s="78" t="s">
        <v>233</v>
      </c>
      <c r="CI168" s="78">
        <v>5256</v>
      </c>
      <c r="CJ168" s="23" t="b">
        <v>0</v>
      </c>
      <c r="CK168" s="23" t="b">
        <v>0</v>
      </c>
      <c r="CL168" s="23" t="b">
        <v>0</v>
      </c>
      <c r="CM168" s="23" t="b">
        <v>1</v>
      </c>
      <c r="CN168" s="23" t="b">
        <v>0</v>
      </c>
      <c r="CO168" s="78" t="s">
        <v>61</v>
      </c>
    </row>
    <row r="169" spans="1:93" ht="16.5" x14ac:dyDescent="0.3">
      <c r="A169" s="97"/>
      <c r="B169" s="97"/>
      <c r="C169" s="97"/>
      <c r="D169" s="97"/>
      <c r="E169" s="97"/>
      <c r="F169" s="97"/>
      <c r="G169" s="98"/>
      <c r="H169" s="97"/>
      <c r="I169" s="97"/>
      <c r="J169" s="97"/>
      <c r="K169" s="97"/>
      <c r="L169" s="97"/>
      <c r="M169" s="97"/>
      <c r="N169" s="97"/>
      <c r="O169" s="97"/>
      <c r="P169" s="97"/>
      <c r="Q169" s="100"/>
      <c r="R169" s="101"/>
      <c r="S169" s="99"/>
      <c r="T169" s="99"/>
      <c r="U169" s="97"/>
      <c r="V169" s="20" t="str">
        <f t="shared" si="58"/>
        <v/>
      </c>
      <c r="W169" s="20" t="str">
        <f t="shared" si="59"/>
        <v/>
      </c>
      <c r="X169" s="20" t="str">
        <f t="shared" si="60"/>
        <v/>
      </c>
      <c r="Y169" s="20" t="str">
        <f t="shared" si="61"/>
        <v/>
      </c>
      <c r="Z169" s="20" t="str">
        <f t="shared" si="62"/>
        <v/>
      </c>
      <c r="AA169" s="20" t="str">
        <f t="shared" si="63"/>
        <v/>
      </c>
      <c r="AB169" s="20" t="str">
        <f t="shared" si="64"/>
        <v/>
      </c>
      <c r="AC169" s="20" t="str">
        <f t="shared" si="65"/>
        <v/>
      </c>
      <c r="AD169" s="20" t="str">
        <f t="shared" si="66"/>
        <v/>
      </c>
      <c r="AE169" s="20" t="str">
        <f t="shared" si="67"/>
        <v/>
      </c>
      <c r="AF169" s="20" t="str">
        <f t="shared" si="68"/>
        <v/>
      </c>
      <c r="AG169" s="20" t="str">
        <f t="shared" si="69"/>
        <v/>
      </c>
      <c r="AH169" s="20" t="str">
        <f t="shared" si="70"/>
        <v/>
      </c>
      <c r="AI169" s="20" t="str">
        <f t="shared" si="71"/>
        <v/>
      </c>
      <c r="AJ169" s="20" t="str">
        <f t="shared" si="72"/>
        <v/>
      </c>
      <c r="AK169" s="20" t="str">
        <f t="shared" si="73"/>
        <v/>
      </c>
      <c r="AL169" s="20" t="str">
        <f t="shared" si="74"/>
        <v/>
      </c>
      <c r="AM169" s="20" t="str">
        <f t="shared" si="75"/>
        <v/>
      </c>
      <c r="AN169" s="20" t="str">
        <f t="shared" si="76"/>
        <v/>
      </c>
      <c r="AO169" s="20" t="str">
        <f t="shared" si="77"/>
        <v/>
      </c>
      <c r="AP169" s="20" t="str">
        <f t="shared" si="78"/>
        <v/>
      </c>
      <c r="AQ169" s="20" t="str">
        <f t="shared" si="79"/>
        <v/>
      </c>
      <c r="AR169" s="20" t="str">
        <f t="shared" si="80"/>
        <v/>
      </c>
      <c r="AS169" s="20" t="str">
        <f t="shared" si="81"/>
        <v/>
      </c>
      <c r="AT169" s="20" t="str">
        <f t="shared" si="82"/>
        <v/>
      </c>
      <c r="AU169" s="20" t="str">
        <f t="shared" si="83"/>
        <v/>
      </c>
      <c r="AV169" s="20" t="str">
        <f t="shared" si="84"/>
        <v/>
      </c>
      <c r="AW169" s="20" t="str">
        <f t="shared" si="85"/>
        <v/>
      </c>
      <c r="BD169" s="24" t="s">
        <v>233</v>
      </c>
      <c r="BE169" s="24" t="s">
        <v>828</v>
      </c>
      <c r="BF169" s="24" t="s">
        <v>952</v>
      </c>
      <c r="BG169" s="24" t="s">
        <v>596</v>
      </c>
      <c r="BH169" s="24" t="s">
        <v>147</v>
      </c>
      <c r="BI169" s="24" t="str">
        <f t="shared" si="88"/>
        <v>WMCOMTeleperformanceIND_DELBackofficeReporting</v>
      </c>
      <c r="BJ169" s="42"/>
      <c r="BK169" s="110" t="s">
        <v>1088</v>
      </c>
      <c r="BL169" s="110" t="s">
        <v>1088</v>
      </c>
      <c r="BM169" s="75" t="s">
        <v>1089</v>
      </c>
      <c r="BN169" s="5" t="s">
        <v>1090</v>
      </c>
      <c r="BO169" s="24" t="s">
        <v>109</v>
      </c>
      <c r="BP169" s="24" t="s">
        <v>636</v>
      </c>
      <c r="BQ169" s="114" t="s">
        <v>1091</v>
      </c>
      <c r="BR169" s="110" t="s">
        <v>1092</v>
      </c>
      <c r="BS169" s="107" t="s">
        <v>52</v>
      </c>
      <c r="BT169" s="57"/>
      <c r="BU169" s="78" t="s">
        <v>70</v>
      </c>
      <c r="BV169" s="24"/>
      <c r="BW169" s="42"/>
      <c r="BX169" s="24">
        <v>124</v>
      </c>
      <c r="BY169" s="24">
        <v>210215</v>
      </c>
      <c r="BZ169" s="24"/>
      <c r="CA169" s="42"/>
      <c r="CB169" s="24" t="s">
        <v>83</v>
      </c>
      <c r="CC169" s="24" t="s">
        <v>570</v>
      </c>
      <c r="CD169" s="24" t="s">
        <v>958</v>
      </c>
      <c r="CE169" s="78" t="s">
        <v>76</v>
      </c>
      <c r="CF169" s="78" t="s">
        <v>1132</v>
      </c>
      <c r="CG169" s="78" t="s">
        <v>828</v>
      </c>
      <c r="CH169" s="78" t="s">
        <v>233</v>
      </c>
      <c r="CI169" s="78">
        <v>5256</v>
      </c>
      <c r="CJ169" s="23" t="b">
        <v>0</v>
      </c>
      <c r="CK169" s="23" t="b">
        <v>0</v>
      </c>
      <c r="CL169" s="23" t="b">
        <v>0</v>
      </c>
      <c r="CM169" s="23" t="b">
        <v>1</v>
      </c>
      <c r="CN169" s="23" t="b">
        <v>0</v>
      </c>
      <c r="CO169" s="78" t="s">
        <v>61</v>
      </c>
    </row>
    <row r="170" spans="1:93" ht="16.5" x14ac:dyDescent="0.25">
      <c r="A170" s="97"/>
      <c r="B170" s="97"/>
      <c r="C170" s="97"/>
      <c r="D170" s="97"/>
      <c r="E170" s="97"/>
      <c r="F170" s="97"/>
      <c r="G170" s="98"/>
      <c r="H170" s="97"/>
      <c r="I170" s="97"/>
      <c r="J170" s="97"/>
      <c r="K170" s="97"/>
      <c r="L170" s="97"/>
      <c r="M170" s="97"/>
      <c r="N170" s="97"/>
      <c r="O170" s="97"/>
      <c r="P170" s="97"/>
      <c r="Q170" s="100"/>
      <c r="R170" s="101"/>
      <c r="S170" s="99"/>
      <c r="T170" s="99"/>
      <c r="U170" s="97"/>
      <c r="V170" s="20" t="str">
        <f t="shared" si="58"/>
        <v/>
      </c>
      <c r="W170" s="20" t="str">
        <f t="shared" si="59"/>
        <v/>
      </c>
      <c r="X170" s="20" t="str">
        <f t="shared" si="60"/>
        <v/>
      </c>
      <c r="Y170" s="20" t="str">
        <f t="shared" si="61"/>
        <v/>
      </c>
      <c r="Z170" s="20" t="str">
        <f t="shared" si="62"/>
        <v/>
      </c>
      <c r="AA170" s="20" t="str">
        <f t="shared" si="63"/>
        <v/>
      </c>
      <c r="AB170" s="20" t="str">
        <f t="shared" si="64"/>
        <v/>
      </c>
      <c r="AC170" s="20" t="str">
        <f t="shared" si="65"/>
        <v/>
      </c>
      <c r="AD170" s="20" t="str">
        <f t="shared" si="66"/>
        <v/>
      </c>
      <c r="AE170" s="20" t="str">
        <f t="shared" si="67"/>
        <v/>
      </c>
      <c r="AF170" s="20" t="str">
        <f t="shared" si="68"/>
        <v/>
      </c>
      <c r="AG170" s="20" t="str">
        <f t="shared" si="69"/>
        <v/>
      </c>
      <c r="AH170" s="20" t="str">
        <f t="shared" si="70"/>
        <v/>
      </c>
      <c r="AI170" s="20" t="str">
        <f t="shared" si="71"/>
        <v/>
      </c>
      <c r="AJ170" s="20" t="str">
        <f t="shared" si="72"/>
        <v/>
      </c>
      <c r="AK170" s="20" t="str">
        <f t="shared" si="73"/>
        <v/>
      </c>
      <c r="AL170" s="20" t="str">
        <f t="shared" si="74"/>
        <v/>
      </c>
      <c r="AM170" s="20" t="str">
        <f t="shared" si="75"/>
        <v/>
      </c>
      <c r="AN170" s="20" t="str">
        <f t="shared" si="76"/>
        <v/>
      </c>
      <c r="AO170" s="20" t="str">
        <f t="shared" si="77"/>
        <v/>
      </c>
      <c r="AP170" s="20" t="str">
        <f t="shared" si="78"/>
        <v/>
      </c>
      <c r="AQ170" s="20" t="str">
        <f t="shared" si="79"/>
        <v/>
      </c>
      <c r="AR170" s="20" t="str">
        <f t="shared" si="80"/>
        <v/>
      </c>
      <c r="AS170" s="20" t="str">
        <f t="shared" si="81"/>
        <v/>
      </c>
      <c r="AT170" s="20" t="str">
        <f t="shared" si="82"/>
        <v/>
      </c>
      <c r="AU170" s="20" t="str">
        <f t="shared" si="83"/>
        <v/>
      </c>
      <c r="AV170" s="20" t="str">
        <f t="shared" si="84"/>
        <v/>
      </c>
      <c r="AW170" s="20" t="str">
        <f t="shared" si="85"/>
        <v/>
      </c>
      <c r="BD170" s="24" t="s">
        <v>702</v>
      </c>
      <c r="BE170" s="24" t="s">
        <v>828</v>
      </c>
      <c r="BF170" s="24" t="s">
        <v>1095</v>
      </c>
      <c r="BG170" s="24" t="s">
        <v>595</v>
      </c>
      <c r="BH170" s="24" t="s">
        <v>58</v>
      </c>
      <c r="BI170" s="24" t="str">
        <f t="shared" si="88"/>
        <v>WMCOMMerchantsZAF_JNBPhoneAgent</v>
      </c>
      <c r="BJ170" s="42"/>
      <c r="BK170" s="116" t="s">
        <v>1115</v>
      </c>
      <c r="BL170" s="116" t="s">
        <v>1115</v>
      </c>
      <c r="BM170" s="75" t="s">
        <v>706</v>
      </c>
      <c r="BN170" t="s">
        <v>1118</v>
      </c>
      <c r="BO170" s="24" t="s">
        <v>709</v>
      </c>
      <c r="BP170" s="24" t="s">
        <v>1101</v>
      </c>
      <c r="BQ170" s="24" t="s">
        <v>1103</v>
      </c>
      <c r="BR170" s="83" t="s">
        <v>1119</v>
      </c>
      <c r="BS170" s="78" t="s">
        <v>715</v>
      </c>
      <c r="BT170" s="57"/>
      <c r="BU170" s="78" t="s">
        <v>70</v>
      </c>
      <c r="BV170" s="24"/>
      <c r="BW170" s="42"/>
      <c r="BX170">
        <v>865</v>
      </c>
      <c r="BY170">
        <v>210370</v>
      </c>
      <c r="BZ170" s="24"/>
      <c r="CA170" s="42"/>
      <c r="CB170" s="24" t="s">
        <v>58</v>
      </c>
      <c r="CC170" s="24" t="s">
        <v>710</v>
      </c>
      <c r="CD170" s="24" t="s">
        <v>1106</v>
      </c>
      <c r="CE170" t="s">
        <v>64</v>
      </c>
      <c r="CF170" s="24" t="s">
        <v>1132</v>
      </c>
      <c r="CG170" s="24" t="s">
        <v>828</v>
      </c>
      <c r="CH170" s="17" t="s">
        <v>702</v>
      </c>
      <c r="CI170" s="17">
        <v>2081</v>
      </c>
      <c r="CJ170" s="77" t="b">
        <v>1</v>
      </c>
      <c r="CK170" s="77" t="b">
        <v>0</v>
      </c>
      <c r="CL170" s="77" t="b">
        <v>0</v>
      </c>
      <c r="CM170" s="77" t="b">
        <v>0</v>
      </c>
      <c r="CN170" s="23" t="b">
        <v>0</v>
      </c>
      <c r="CO170" s="78" t="s">
        <v>61</v>
      </c>
    </row>
    <row r="171" spans="1:93" ht="16.5" x14ac:dyDescent="0.25">
      <c r="A171" s="97"/>
      <c r="B171" s="97"/>
      <c r="C171" s="97"/>
      <c r="D171" s="97"/>
      <c r="E171" s="97"/>
      <c r="F171" s="97"/>
      <c r="G171" s="98"/>
      <c r="H171" s="97"/>
      <c r="I171" s="97"/>
      <c r="J171" s="97"/>
      <c r="K171" s="97"/>
      <c r="L171" s="97"/>
      <c r="M171" s="97"/>
      <c r="N171" s="97"/>
      <c r="O171" s="97"/>
      <c r="P171" s="97"/>
      <c r="Q171" s="100"/>
      <c r="R171" s="101"/>
      <c r="S171" s="99"/>
      <c r="T171" s="99"/>
      <c r="U171" s="97"/>
      <c r="V171" s="20" t="str">
        <f t="shared" si="58"/>
        <v/>
      </c>
      <c r="W171" s="20" t="str">
        <f t="shared" si="59"/>
        <v/>
      </c>
      <c r="X171" s="20" t="str">
        <f t="shared" si="60"/>
        <v/>
      </c>
      <c r="Y171" s="20" t="str">
        <f t="shared" si="61"/>
        <v/>
      </c>
      <c r="Z171" s="20" t="str">
        <f t="shared" si="62"/>
        <v/>
      </c>
      <c r="AA171" s="20" t="str">
        <f t="shared" si="63"/>
        <v/>
      </c>
      <c r="AB171" s="20" t="str">
        <f t="shared" si="64"/>
        <v/>
      </c>
      <c r="AC171" s="20" t="str">
        <f t="shared" si="65"/>
        <v/>
      </c>
      <c r="AD171" s="20" t="str">
        <f t="shared" si="66"/>
        <v/>
      </c>
      <c r="AE171" s="20" t="str">
        <f t="shared" si="67"/>
        <v/>
      </c>
      <c r="AF171" s="20" t="str">
        <f t="shared" si="68"/>
        <v/>
      </c>
      <c r="AG171" s="20" t="str">
        <f t="shared" si="69"/>
        <v/>
      </c>
      <c r="AH171" s="20" t="str">
        <f t="shared" si="70"/>
        <v/>
      </c>
      <c r="AI171" s="20" t="str">
        <f t="shared" si="71"/>
        <v/>
      </c>
      <c r="AJ171" s="20" t="str">
        <f t="shared" si="72"/>
        <v/>
      </c>
      <c r="AK171" s="20" t="str">
        <f t="shared" si="73"/>
        <v/>
      </c>
      <c r="AL171" s="20" t="str">
        <f t="shared" si="74"/>
        <v/>
      </c>
      <c r="AM171" s="20" t="str">
        <f t="shared" si="75"/>
        <v/>
      </c>
      <c r="AN171" s="20" t="str">
        <f t="shared" si="76"/>
        <v/>
      </c>
      <c r="AO171" s="20" t="str">
        <f t="shared" si="77"/>
        <v/>
      </c>
      <c r="AP171" s="20" t="str">
        <f t="shared" si="78"/>
        <v/>
      </c>
      <c r="AQ171" s="20" t="str">
        <f t="shared" si="79"/>
        <v/>
      </c>
      <c r="AR171" s="20" t="str">
        <f t="shared" si="80"/>
        <v/>
      </c>
      <c r="AS171" s="20" t="str">
        <f t="shared" si="81"/>
        <v/>
      </c>
      <c r="AT171" s="20" t="str">
        <f t="shared" si="82"/>
        <v/>
      </c>
      <c r="AU171" s="20" t="str">
        <f t="shared" si="83"/>
        <v/>
      </c>
      <c r="AV171" s="20" t="str">
        <f t="shared" si="84"/>
        <v/>
      </c>
      <c r="AW171" s="20" t="str">
        <f t="shared" si="85"/>
        <v/>
      </c>
      <c r="BD171" s="24" t="s">
        <v>702</v>
      </c>
      <c r="BE171" s="24" t="s">
        <v>828</v>
      </c>
      <c r="BF171" s="24" t="s">
        <v>1095</v>
      </c>
      <c r="BG171" s="24" t="s">
        <v>596</v>
      </c>
      <c r="BH171" s="24" t="s">
        <v>92</v>
      </c>
      <c r="BI171" s="24" t="str">
        <f t="shared" si="88"/>
        <v>WMCOMMerchantsZAF_JNBBackofficeSupervisor/Team Lead</v>
      </c>
      <c r="BJ171" s="42"/>
      <c r="BK171" s="116" t="s">
        <v>1116</v>
      </c>
      <c r="BL171" s="116" t="s">
        <v>1116</v>
      </c>
      <c r="BM171" s="75" t="s">
        <v>1096</v>
      </c>
      <c r="BN171" t="s">
        <v>1118</v>
      </c>
      <c r="BO171" s="24" t="s">
        <v>709</v>
      </c>
      <c r="BP171" s="24" t="s">
        <v>1101</v>
      </c>
      <c r="BQ171" s="24" t="s">
        <v>1103</v>
      </c>
      <c r="BR171" t="s">
        <v>1120</v>
      </c>
      <c r="BS171" s="78" t="s">
        <v>715</v>
      </c>
      <c r="BT171" s="57"/>
      <c r="BU171" s="78" t="s">
        <v>70</v>
      </c>
      <c r="BV171" s="24"/>
      <c r="BW171" s="42"/>
      <c r="BX171">
        <v>124</v>
      </c>
      <c r="BY171">
        <v>210369</v>
      </c>
      <c r="BZ171" s="24"/>
      <c r="CA171" s="42"/>
      <c r="CB171" s="24" t="s">
        <v>83</v>
      </c>
      <c r="CC171" s="24" t="s">
        <v>710</v>
      </c>
      <c r="CD171" s="24" t="s">
        <v>1106</v>
      </c>
      <c r="CE171" t="s">
        <v>64</v>
      </c>
      <c r="CF171" s="24" t="s">
        <v>1132</v>
      </c>
      <c r="CG171" s="24" t="s">
        <v>828</v>
      </c>
      <c r="CH171" s="17" t="s">
        <v>702</v>
      </c>
      <c r="CI171" s="17">
        <v>2081</v>
      </c>
      <c r="CJ171" s="77" t="b">
        <v>0</v>
      </c>
      <c r="CK171" s="77" t="b">
        <v>0</v>
      </c>
      <c r="CL171" s="77" t="b">
        <v>0</v>
      </c>
      <c r="CM171" s="77" t="b">
        <v>1</v>
      </c>
      <c r="CN171" s="23" t="b">
        <v>0</v>
      </c>
      <c r="CO171" s="78" t="s">
        <v>61</v>
      </c>
    </row>
    <row r="172" spans="1:93" ht="16.5" x14ac:dyDescent="0.25">
      <c r="A172" s="97"/>
      <c r="B172" s="97"/>
      <c r="C172" s="97"/>
      <c r="D172" s="97"/>
      <c r="E172" s="97"/>
      <c r="F172" s="97"/>
      <c r="G172" s="98"/>
      <c r="H172" s="97"/>
      <c r="I172" s="97"/>
      <c r="J172" s="97"/>
      <c r="K172" s="97"/>
      <c r="L172" s="97"/>
      <c r="M172" s="97"/>
      <c r="N172" s="97"/>
      <c r="O172" s="97"/>
      <c r="P172" s="97"/>
      <c r="Q172" s="100"/>
      <c r="R172" s="101"/>
      <c r="S172" s="99"/>
      <c r="T172" s="99"/>
      <c r="U172" s="97"/>
      <c r="V172" s="20" t="str">
        <f t="shared" si="58"/>
        <v/>
      </c>
      <c r="W172" s="20" t="str">
        <f t="shared" si="59"/>
        <v/>
      </c>
      <c r="X172" s="20" t="str">
        <f t="shared" si="60"/>
        <v/>
      </c>
      <c r="Y172" s="20" t="str">
        <f t="shared" si="61"/>
        <v/>
      </c>
      <c r="Z172" s="20" t="str">
        <f t="shared" si="62"/>
        <v/>
      </c>
      <c r="AA172" s="20" t="str">
        <f t="shared" si="63"/>
        <v/>
      </c>
      <c r="AB172" s="20" t="str">
        <f t="shared" si="64"/>
        <v/>
      </c>
      <c r="AC172" s="20" t="str">
        <f t="shared" si="65"/>
        <v/>
      </c>
      <c r="AD172" s="20" t="str">
        <f t="shared" si="66"/>
        <v/>
      </c>
      <c r="AE172" s="20" t="str">
        <f t="shared" si="67"/>
        <v/>
      </c>
      <c r="AF172" s="20" t="str">
        <f t="shared" si="68"/>
        <v/>
      </c>
      <c r="AG172" s="20" t="str">
        <f t="shared" si="69"/>
        <v/>
      </c>
      <c r="AH172" s="20" t="str">
        <f t="shared" si="70"/>
        <v/>
      </c>
      <c r="AI172" s="20" t="str">
        <f t="shared" si="71"/>
        <v/>
      </c>
      <c r="AJ172" s="20" t="str">
        <f t="shared" si="72"/>
        <v/>
      </c>
      <c r="AK172" s="20" t="str">
        <f t="shared" si="73"/>
        <v/>
      </c>
      <c r="AL172" s="20" t="str">
        <f t="shared" si="74"/>
        <v/>
      </c>
      <c r="AM172" s="20" t="str">
        <f t="shared" si="75"/>
        <v/>
      </c>
      <c r="AN172" s="20" t="str">
        <f t="shared" si="76"/>
        <v/>
      </c>
      <c r="AO172" s="20" t="str">
        <f t="shared" si="77"/>
        <v/>
      </c>
      <c r="AP172" s="20" t="str">
        <f t="shared" si="78"/>
        <v/>
      </c>
      <c r="AQ172" s="20" t="str">
        <f t="shared" si="79"/>
        <v/>
      </c>
      <c r="AR172" s="20" t="str">
        <f t="shared" si="80"/>
        <v/>
      </c>
      <c r="AS172" s="20" t="str">
        <f t="shared" si="81"/>
        <v/>
      </c>
      <c r="AT172" s="20" t="str">
        <f t="shared" si="82"/>
        <v/>
      </c>
      <c r="AU172" s="20" t="str">
        <f t="shared" si="83"/>
        <v/>
      </c>
      <c r="AV172" s="20" t="str">
        <f t="shared" si="84"/>
        <v/>
      </c>
      <c r="AW172" s="20" t="str">
        <f t="shared" si="85"/>
        <v/>
      </c>
      <c r="BD172" s="24" t="s">
        <v>702</v>
      </c>
      <c r="BE172" s="24" t="s">
        <v>828</v>
      </c>
      <c r="BF172" s="24" t="s">
        <v>1095</v>
      </c>
      <c r="BG172" s="24" t="s">
        <v>596</v>
      </c>
      <c r="BH172" s="24" t="s">
        <v>147</v>
      </c>
      <c r="BI172" s="24" t="str">
        <f t="shared" si="88"/>
        <v>WMCOMMerchantsZAF_JNBBackofficeReporting</v>
      </c>
      <c r="BJ172" s="42"/>
      <c r="BK172" s="116" t="s">
        <v>1117</v>
      </c>
      <c r="BL172" s="116" t="s">
        <v>1117</v>
      </c>
      <c r="BM172" s="75" t="s">
        <v>1097</v>
      </c>
      <c r="BN172" t="s">
        <v>1118</v>
      </c>
      <c r="BO172" s="24" t="s">
        <v>709</v>
      </c>
      <c r="BP172" s="24" t="s">
        <v>1101</v>
      </c>
      <c r="BQ172" s="24" t="s">
        <v>1103</v>
      </c>
      <c r="BR172" s="97" t="s">
        <v>1120</v>
      </c>
      <c r="BS172" s="78" t="s">
        <v>715</v>
      </c>
      <c r="BT172" s="24"/>
      <c r="BU172" s="78" t="s">
        <v>70</v>
      </c>
      <c r="BV172" s="24"/>
      <c r="BW172" s="42"/>
      <c r="BX172">
        <v>124</v>
      </c>
      <c r="BY172">
        <v>210369</v>
      </c>
      <c r="BZ172" s="24"/>
      <c r="CA172" s="42"/>
      <c r="CB172" s="24" t="s">
        <v>83</v>
      </c>
      <c r="CC172" s="24" t="s">
        <v>710</v>
      </c>
      <c r="CD172" s="24" t="s">
        <v>1106</v>
      </c>
      <c r="CE172" t="s">
        <v>64</v>
      </c>
      <c r="CF172" s="24" t="s">
        <v>1132</v>
      </c>
      <c r="CG172" s="24" t="s">
        <v>828</v>
      </c>
      <c r="CH172" s="17" t="s">
        <v>702</v>
      </c>
      <c r="CI172" s="17">
        <v>2081</v>
      </c>
      <c r="CJ172" s="77" t="b">
        <v>0</v>
      </c>
      <c r="CK172" s="77" t="b">
        <v>0</v>
      </c>
      <c r="CL172" s="77" t="b">
        <v>0</v>
      </c>
      <c r="CM172" s="77" t="b">
        <v>1</v>
      </c>
      <c r="CN172" s="23" t="b">
        <v>0</v>
      </c>
      <c r="CO172" s="78" t="s">
        <v>61</v>
      </c>
    </row>
    <row r="173" spans="1:93" ht="16.5" x14ac:dyDescent="0.3">
      <c r="A173" s="97"/>
      <c r="B173" s="97"/>
      <c r="C173" s="97"/>
      <c r="D173" s="97"/>
      <c r="E173" s="97"/>
      <c r="F173" s="97"/>
      <c r="G173" s="98"/>
      <c r="H173" s="97"/>
      <c r="I173" s="97"/>
      <c r="J173" s="97"/>
      <c r="K173" s="97"/>
      <c r="L173" s="97"/>
      <c r="M173" s="97"/>
      <c r="N173" s="97"/>
      <c r="O173" s="97"/>
      <c r="P173" s="97"/>
      <c r="Q173" s="100"/>
      <c r="R173" s="101"/>
      <c r="S173" s="99"/>
      <c r="T173" s="99"/>
      <c r="U173" s="97"/>
      <c r="V173" s="20" t="str">
        <f t="shared" si="58"/>
        <v/>
      </c>
      <c r="W173" s="20" t="str">
        <f t="shared" si="59"/>
        <v/>
      </c>
      <c r="X173" s="20" t="str">
        <f t="shared" si="60"/>
        <v/>
      </c>
      <c r="Y173" s="20" t="str">
        <f t="shared" si="61"/>
        <v/>
      </c>
      <c r="Z173" s="20" t="str">
        <f t="shared" si="62"/>
        <v/>
      </c>
      <c r="AA173" s="20" t="str">
        <f t="shared" si="63"/>
        <v/>
      </c>
      <c r="AB173" s="20" t="str">
        <f t="shared" si="64"/>
        <v/>
      </c>
      <c r="AC173" s="20" t="str">
        <f t="shared" si="65"/>
        <v/>
      </c>
      <c r="AD173" s="20" t="str">
        <f t="shared" si="66"/>
        <v/>
      </c>
      <c r="AE173" s="20" t="str">
        <f t="shared" si="67"/>
        <v/>
      </c>
      <c r="AF173" s="20" t="str">
        <f t="shared" si="68"/>
        <v/>
      </c>
      <c r="AG173" s="20" t="str">
        <f t="shared" si="69"/>
        <v/>
      </c>
      <c r="AH173" s="20" t="str">
        <f t="shared" si="70"/>
        <v/>
      </c>
      <c r="AI173" s="20" t="str">
        <f t="shared" si="71"/>
        <v/>
      </c>
      <c r="AJ173" s="20" t="str">
        <f t="shared" si="72"/>
        <v/>
      </c>
      <c r="AK173" s="20" t="str">
        <f t="shared" si="73"/>
        <v/>
      </c>
      <c r="AL173" s="20" t="str">
        <f t="shared" si="74"/>
        <v/>
      </c>
      <c r="AM173" s="20" t="str">
        <f t="shared" si="75"/>
        <v/>
      </c>
      <c r="AN173" s="20" t="str">
        <f t="shared" si="76"/>
        <v/>
      </c>
      <c r="AO173" s="20" t="str">
        <f t="shared" si="77"/>
        <v/>
      </c>
      <c r="AP173" s="20" t="str">
        <f t="shared" si="78"/>
        <v/>
      </c>
      <c r="AQ173" s="20" t="str">
        <f t="shared" si="79"/>
        <v/>
      </c>
      <c r="AR173" s="20" t="str">
        <f t="shared" si="80"/>
        <v/>
      </c>
      <c r="AS173" s="20" t="str">
        <f t="shared" si="81"/>
        <v/>
      </c>
      <c r="AT173" s="20" t="str">
        <f t="shared" si="82"/>
        <v/>
      </c>
      <c r="AU173" s="20" t="str">
        <f t="shared" si="83"/>
        <v/>
      </c>
      <c r="AV173" s="20" t="str">
        <f t="shared" si="84"/>
        <v/>
      </c>
      <c r="AW173" s="20" t="str">
        <f t="shared" si="85"/>
        <v/>
      </c>
      <c r="BD173" s="24" t="s">
        <v>169</v>
      </c>
      <c r="BE173" s="24" t="s">
        <v>828</v>
      </c>
      <c r="BF173" s="24" t="s">
        <v>1094</v>
      </c>
      <c r="BG173" s="24" t="s">
        <v>127</v>
      </c>
      <c r="BH173" s="24" t="s">
        <v>58</v>
      </c>
      <c r="BI173" s="24" t="str">
        <f t="shared" si="88"/>
        <v>WMCOMConcentrixEGY_ALYChatAgent</v>
      </c>
      <c r="BJ173" s="42"/>
      <c r="BK173" s="110" t="s">
        <v>1121</v>
      </c>
      <c r="BL173" s="110" t="s">
        <v>1121</v>
      </c>
      <c r="BM173" s="75" t="s">
        <v>1098</v>
      </c>
      <c r="BN173" s="75" t="s">
        <v>1110</v>
      </c>
      <c r="BO173" s="24" t="s">
        <v>1057</v>
      </c>
      <c r="BP173" t="s">
        <v>1104</v>
      </c>
      <c r="BQ173" s="24" t="s">
        <v>1102</v>
      </c>
      <c r="BR173" s="110" t="s">
        <v>1124</v>
      </c>
      <c r="BS173" s="78" t="s">
        <v>715</v>
      </c>
      <c r="BT173" s="24"/>
      <c r="BU173" s="78" t="s">
        <v>70</v>
      </c>
      <c r="BV173" s="24"/>
      <c r="BW173" s="42"/>
      <c r="BX173" s="24">
        <v>866</v>
      </c>
      <c r="BY173" s="24">
        <v>210216</v>
      </c>
      <c r="BZ173" s="24"/>
      <c r="CA173" s="42"/>
      <c r="CB173" s="24" t="s">
        <v>58</v>
      </c>
      <c r="CC173" t="s">
        <v>1059</v>
      </c>
      <c r="CD173" t="s">
        <v>1105</v>
      </c>
      <c r="CE173" t="s">
        <v>111</v>
      </c>
      <c r="CF173" s="24" t="s">
        <v>1132</v>
      </c>
      <c r="CG173" s="24" t="s">
        <v>828</v>
      </c>
      <c r="CH173" s="24" t="s">
        <v>169</v>
      </c>
      <c r="CI173">
        <v>9999</v>
      </c>
      <c r="CJ173" s="23" t="b">
        <v>0</v>
      </c>
      <c r="CK173" s="23" t="b">
        <v>1</v>
      </c>
      <c r="CL173" s="23" t="b">
        <v>0</v>
      </c>
      <c r="CM173" s="23" t="b">
        <v>0</v>
      </c>
      <c r="CN173" s="23" t="b">
        <v>0</v>
      </c>
      <c r="CO173" s="78" t="s">
        <v>61</v>
      </c>
    </row>
    <row r="174" spans="1:93" ht="16.5" x14ac:dyDescent="0.3">
      <c r="A174" s="97"/>
      <c r="B174" s="97"/>
      <c r="C174" s="97"/>
      <c r="D174" s="97"/>
      <c r="E174" s="97"/>
      <c r="F174" s="97"/>
      <c r="G174" s="98"/>
      <c r="H174" s="97"/>
      <c r="I174" s="97"/>
      <c r="J174" s="97"/>
      <c r="K174" s="97"/>
      <c r="L174" s="97"/>
      <c r="M174" s="97"/>
      <c r="N174" s="97"/>
      <c r="O174" s="97"/>
      <c r="P174" s="97"/>
      <c r="Q174" s="100"/>
      <c r="R174" s="101"/>
      <c r="S174" s="99"/>
      <c r="T174" s="99"/>
      <c r="U174" s="97"/>
      <c r="V174" s="20" t="str">
        <f t="shared" si="58"/>
        <v/>
      </c>
      <c r="W174" s="20" t="str">
        <f t="shared" si="59"/>
        <v/>
      </c>
      <c r="X174" s="20" t="str">
        <f t="shared" si="60"/>
        <v/>
      </c>
      <c r="Y174" s="20" t="str">
        <f t="shared" si="61"/>
        <v/>
      </c>
      <c r="Z174" s="20" t="str">
        <f t="shared" si="62"/>
        <v/>
      </c>
      <c r="AA174" s="20" t="str">
        <f t="shared" si="63"/>
        <v/>
      </c>
      <c r="AB174" s="20" t="str">
        <f t="shared" si="64"/>
        <v/>
      </c>
      <c r="AC174" s="20" t="str">
        <f t="shared" si="65"/>
        <v/>
      </c>
      <c r="AD174" s="20" t="str">
        <f t="shared" si="66"/>
        <v/>
      </c>
      <c r="AE174" s="20" t="str">
        <f t="shared" si="67"/>
        <v/>
      </c>
      <c r="AF174" s="20" t="str">
        <f t="shared" si="68"/>
        <v/>
      </c>
      <c r="AG174" s="20" t="str">
        <f t="shared" si="69"/>
        <v/>
      </c>
      <c r="AH174" s="20" t="str">
        <f t="shared" si="70"/>
        <v/>
      </c>
      <c r="AI174" s="20" t="str">
        <f t="shared" si="71"/>
        <v/>
      </c>
      <c r="AJ174" s="20" t="str">
        <f t="shared" si="72"/>
        <v/>
      </c>
      <c r="AK174" s="20" t="str">
        <f t="shared" si="73"/>
        <v/>
      </c>
      <c r="AL174" s="20" t="str">
        <f t="shared" si="74"/>
        <v/>
      </c>
      <c r="AM174" s="20" t="str">
        <f t="shared" si="75"/>
        <v/>
      </c>
      <c r="AN174" s="20" t="str">
        <f t="shared" si="76"/>
        <v/>
      </c>
      <c r="AO174" s="20" t="str">
        <f t="shared" si="77"/>
        <v/>
      </c>
      <c r="AP174" s="20" t="str">
        <f t="shared" si="78"/>
        <v/>
      </c>
      <c r="AQ174" s="20" t="str">
        <f t="shared" si="79"/>
        <v/>
      </c>
      <c r="AR174" s="20" t="str">
        <f t="shared" si="80"/>
        <v/>
      </c>
      <c r="AS174" s="20" t="str">
        <f t="shared" si="81"/>
        <v/>
      </c>
      <c r="AT174" s="20" t="str">
        <f t="shared" si="82"/>
        <v/>
      </c>
      <c r="AU174" s="20" t="str">
        <f t="shared" si="83"/>
        <v/>
      </c>
      <c r="AV174" s="20" t="str">
        <f t="shared" si="84"/>
        <v/>
      </c>
      <c r="AW174" s="20" t="str">
        <f t="shared" si="85"/>
        <v/>
      </c>
      <c r="BD174" s="24" t="s">
        <v>169</v>
      </c>
      <c r="BE174" s="24" t="s">
        <v>828</v>
      </c>
      <c r="BF174" s="24" t="s">
        <v>1094</v>
      </c>
      <c r="BG174" s="24" t="s">
        <v>596</v>
      </c>
      <c r="BH174" s="24" t="s">
        <v>92</v>
      </c>
      <c r="BI174" s="24" t="str">
        <f t="shared" si="88"/>
        <v>WMCOMConcentrixEGY_ALYBackofficeSupervisor/Team Lead</v>
      </c>
      <c r="BJ174" s="42"/>
      <c r="BK174" s="110" t="s">
        <v>1122</v>
      </c>
      <c r="BL174" s="110" t="s">
        <v>1122</v>
      </c>
      <c r="BM174" s="75" t="s">
        <v>1099</v>
      </c>
      <c r="BN174" s="75" t="s">
        <v>1110</v>
      </c>
      <c r="BO174" s="24" t="s">
        <v>1057</v>
      </c>
      <c r="BP174" s="97" t="s">
        <v>1104</v>
      </c>
      <c r="BQ174" s="24" t="s">
        <v>1102</v>
      </c>
      <c r="BR174" t="s">
        <v>1125</v>
      </c>
      <c r="BS174" s="107" t="s">
        <v>52</v>
      </c>
      <c r="BT174" s="24"/>
      <c r="BU174" s="78" t="s">
        <v>70</v>
      </c>
      <c r="BV174" s="24"/>
      <c r="BW174" s="42"/>
      <c r="BX174" s="24">
        <v>124</v>
      </c>
      <c r="BY174" s="24">
        <v>210216</v>
      </c>
      <c r="BZ174" s="24"/>
      <c r="CA174" s="42"/>
      <c r="CB174" s="24" t="s">
        <v>83</v>
      </c>
      <c r="CC174" t="s">
        <v>1059</v>
      </c>
      <c r="CD174" t="s">
        <v>1105</v>
      </c>
      <c r="CE174" t="s">
        <v>111</v>
      </c>
      <c r="CF174" s="24" t="s">
        <v>1132</v>
      </c>
      <c r="CG174" s="24" t="s">
        <v>828</v>
      </c>
      <c r="CH174" s="24" t="s">
        <v>169</v>
      </c>
      <c r="CI174">
        <v>9999</v>
      </c>
      <c r="CJ174" s="23" t="b">
        <v>0</v>
      </c>
      <c r="CK174" s="23" t="b">
        <v>0</v>
      </c>
      <c r="CL174" s="23" t="b">
        <v>0</v>
      </c>
      <c r="CM174" s="23" t="b">
        <v>1</v>
      </c>
      <c r="CN174" s="23" t="b">
        <v>0</v>
      </c>
      <c r="CO174" s="78" t="s">
        <v>61</v>
      </c>
    </row>
    <row r="175" spans="1:93" ht="16.5" x14ac:dyDescent="0.3">
      <c r="A175" s="97"/>
      <c r="B175" s="97"/>
      <c r="C175" s="97"/>
      <c r="D175" s="97"/>
      <c r="E175" s="97"/>
      <c r="F175" s="97"/>
      <c r="G175" s="98"/>
      <c r="H175" s="97"/>
      <c r="I175" s="97"/>
      <c r="J175" s="97"/>
      <c r="K175" s="97"/>
      <c r="L175" s="97"/>
      <c r="M175" s="97"/>
      <c r="N175" s="97"/>
      <c r="O175" s="97"/>
      <c r="P175" s="97"/>
      <c r="Q175" s="100"/>
      <c r="R175" s="101"/>
      <c r="S175" s="99"/>
      <c r="T175" s="99"/>
      <c r="U175" s="97"/>
      <c r="V175" s="20" t="str">
        <f t="shared" si="58"/>
        <v/>
      </c>
      <c r="W175" s="20" t="str">
        <f t="shared" si="59"/>
        <v/>
      </c>
      <c r="X175" s="20" t="str">
        <f t="shared" si="60"/>
        <v/>
      </c>
      <c r="Y175" s="20" t="str">
        <f t="shared" si="61"/>
        <v/>
      </c>
      <c r="Z175" s="20" t="str">
        <f t="shared" si="62"/>
        <v/>
      </c>
      <c r="AA175" s="20" t="str">
        <f t="shared" si="63"/>
        <v/>
      </c>
      <c r="AB175" s="20" t="str">
        <f t="shared" si="64"/>
        <v/>
      </c>
      <c r="AC175" s="20" t="str">
        <f t="shared" si="65"/>
        <v/>
      </c>
      <c r="AD175" s="20" t="str">
        <f t="shared" si="66"/>
        <v/>
      </c>
      <c r="AE175" s="20" t="str">
        <f t="shared" si="67"/>
        <v/>
      </c>
      <c r="AF175" s="20" t="str">
        <f t="shared" si="68"/>
        <v/>
      </c>
      <c r="AG175" s="20" t="str">
        <f t="shared" si="69"/>
        <v/>
      </c>
      <c r="AH175" s="20" t="str">
        <f t="shared" si="70"/>
        <v/>
      </c>
      <c r="AI175" s="20" t="str">
        <f t="shared" si="71"/>
        <v/>
      </c>
      <c r="AJ175" s="20" t="str">
        <f t="shared" si="72"/>
        <v/>
      </c>
      <c r="AK175" s="20" t="str">
        <f t="shared" si="73"/>
        <v/>
      </c>
      <c r="AL175" s="20" t="str">
        <f t="shared" si="74"/>
        <v/>
      </c>
      <c r="AM175" s="20" t="str">
        <f t="shared" si="75"/>
        <v/>
      </c>
      <c r="AN175" s="20" t="str">
        <f t="shared" si="76"/>
        <v/>
      </c>
      <c r="AO175" s="20" t="str">
        <f t="shared" si="77"/>
        <v/>
      </c>
      <c r="AP175" s="20" t="str">
        <f t="shared" si="78"/>
        <v/>
      </c>
      <c r="AQ175" s="20" t="str">
        <f t="shared" si="79"/>
        <v/>
      </c>
      <c r="AR175" s="20" t="str">
        <f t="shared" si="80"/>
        <v/>
      </c>
      <c r="AS175" s="20" t="str">
        <f t="shared" si="81"/>
        <v/>
      </c>
      <c r="AT175" s="20" t="str">
        <f t="shared" si="82"/>
        <v/>
      </c>
      <c r="AU175" s="20" t="str">
        <f t="shared" si="83"/>
        <v/>
      </c>
      <c r="AV175" s="20" t="str">
        <f t="shared" si="84"/>
        <v/>
      </c>
      <c r="AW175" s="20" t="str">
        <f t="shared" si="85"/>
        <v/>
      </c>
      <c r="BD175" s="24" t="s">
        <v>169</v>
      </c>
      <c r="BE175" s="24" t="s">
        <v>828</v>
      </c>
      <c r="BF175" s="24" t="s">
        <v>1094</v>
      </c>
      <c r="BG175" s="24" t="s">
        <v>596</v>
      </c>
      <c r="BH175" s="24" t="s">
        <v>147</v>
      </c>
      <c r="BI175" s="24" t="str">
        <f t="shared" si="88"/>
        <v>WMCOMConcentrixEGY_ALYBackofficeReporting</v>
      </c>
      <c r="BJ175" s="42"/>
      <c r="BK175" s="110" t="s">
        <v>1123</v>
      </c>
      <c r="BL175" s="110" t="s">
        <v>1123</v>
      </c>
      <c r="BM175" s="75" t="s">
        <v>1100</v>
      </c>
      <c r="BN175" s="75" t="s">
        <v>1110</v>
      </c>
      <c r="BO175" s="24" t="s">
        <v>1057</v>
      </c>
      <c r="BP175" s="97" t="s">
        <v>1104</v>
      </c>
      <c r="BQ175" s="24" t="s">
        <v>1102</v>
      </c>
      <c r="BR175" t="s">
        <v>1125</v>
      </c>
      <c r="BS175" s="107" t="s">
        <v>52</v>
      </c>
      <c r="BT175" s="24"/>
      <c r="BU175" s="78" t="s">
        <v>70</v>
      </c>
      <c r="BV175" s="24"/>
      <c r="BW175" s="42"/>
      <c r="BX175" s="24">
        <v>124</v>
      </c>
      <c r="BY175" s="24">
        <v>210216</v>
      </c>
      <c r="BZ175" s="24"/>
      <c r="CA175" s="42"/>
      <c r="CB175" s="24" t="s">
        <v>83</v>
      </c>
      <c r="CC175" t="s">
        <v>1059</v>
      </c>
      <c r="CD175" t="s">
        <v>1105</v>
      </c>
      <c r="CE175" t="s">
        <v>111</v>
      </c>
      <c r="CF175" s="24" t="s">
        <v>1132</v>
      </c>
      <c r="CG175" s="24" t="s">
        <v>828</v>
      </c>
      <c r="CH175" s="24" t="s">
        <v>169</v>
      </c>
      <c r="CI175">
        <v>9999</v>
      </c>
      <c r="CJ175" s="23" t="b">
        <v>0</v>
      </c>
      <c r="CK175" s="23" t="b">
        <v>0</v>
      </c>
      <c r="CL175" s="23" t="b">
        <v>0</v>
      </c>
      <c r="CM175" s="23" t="b">
        <v>1</v>
      </c>
      <c r="CN175" s="23" t="b">
        <v>0</v>
      </c>
      <c r="CO175" s="78" t="s">
        <v>61</v>
      </c>
    </row>
    <row r="176" spans="1:93" ht="16.5" x14ac:dyDescent="0.25">
      <c r="A176" s="97"/>
      <c r="B176" s="97"/>
      <c r="C176" s="97"/>
      <c r="D176" s="97"/>
      <c r="E176" s="97"/>
      <c r="F176" s="97"/>
      <c r="G176" s="98"/>
      <c r="H176" s="97"/>
      <c r="I176" s="97"/>
      <c r="J176" s="97"/>
      <c r="K176" s="97"/>
      <c r="L176" s="97"/>
      <c r="M176" s="97"/>
      <c r="N176" s="97"/>
      <c r="O176" s="97"/>
      <c r="P176" s="97"/>
      <c r="Q176" s="100"/>
      <c r="R176" s="101"/>
      <c r="S176" s="99"/>
      <c r="T176" s="99"/>
      <c r="U176" s="97"/>
      <c r="V176" s="20" t="str">
        <f t="shared" si="58"/>
        <v/>
      </c>
      <c r="W176" s="20" t="str">
        <f t="shared" si="59"/>
        <v/>
      </c>
      <c r="X176" s="20" t="str">
        <f t="shared" si="60"/>
        <v/>
      </c>
      <c r="Y176" s="20" t="str">
        <f t="shared" si="61"/>
        <v/>
      </c>
      <c r="Z176" s="20" t="str">
        <f t="shared" si="62"/>
        <v/>
      </c>
      <c r="AA176" s="20" t="str">
        <f t="shared" si="63"/>
        <v/>
      </c>
      <c r="AB176" s="20" t="str">
        <f t="shared" si="64"/>
        <v/>
      </c>
      <c r="AC176" s="20" t="str">
        <f t="shared" si="65"/>
        <v/>
      </c>
      <c r="AD176" s="20" t="str">
        <f t="shared" si="66"/>
        <v/>
      </c>
      <c r="AE176" s="20" t="str">
        <f t="shared" si="67"/>
        <v/>
      </c>
      <c r="AF176" s="20" t="str">
        <f t="shared" si="68"/>
        <v/>
      </c>
      <c r="AG176" s="20" t="str">
        <f t="shared" si="69"/>
        <v/>
      </c>
      <c r="AH176" s="20" t="str">
        <f t="shared" si="70"/>
        <v/>
      </c>
      <c r="AI176" s="20" t="str">
        <f t="shared" si="71"/>
        <v/>
      </c>
      <c r="AJ176" s="20" t="str">
        <f t="shared" si="72"/>
        <v/>
      </c>
      <c r="AK176" s="20" t="str">
        <f t="shared" si="73"/>
        <v/>
      </c>
      <c r="AL176" s="20" t="str">
        <f t="shared" si="74"/>
        <v/>
      </c>
      <c r="AM176" s="20" t="str">
        <f t="shared" si="75"/>
        <v/>
      </c>
      <c r="AN176" s="20" t="str">
        <f t="shared" si="76"/>
        <v/>
      </c>
      <c r="AO176" s="20" t="str">
        <f t="shared" si="77"/>
        <v/>
      </c>
      <c r="AP176" s="20" t="str">
        <f t="shared" si="78"/>
        <v/>
      </c>
      <c r="AQ176" s="20" t="str">
        <f t="shared" si="79"/>
        <v/>
      </c>
      <c r="AR176" s="20" t="str">
        <f t="shared" si="80"/>
        <v/>
      </c>
      <c r="AS176" s="20" t="str">
        <f t="shared" si="81"/>
        <v/>
      </c>
      <c r="AT176" s="20" t="str">
        <f t="shared" si="82"/>
        <v/>
      </c>
      <c r="AU176" s="20" t="str">
        <f t="shared" si="83"/>
        <v/>
      </c>
      <c r="AV176" s="20" t="str">
        <f t="shared" si="84"/>
        <v/>
      </c>
      <c r="AW176" s="20" t="str">
        <f t="shared" si="85"/>
        <v/>
      </c>
      <c r="BD176" s="24" t="s">
        <v>87</v>
      </c>
      <c r="BE176" s="24" t="s">
        <v>828</v>
      </c>
      <c r="BF176" s="24" t="s">
        <v>1107</v>
      </c>
      <c r="BG176" s="24" t="s">
        <v>595</v>
      </c>
      <c r="BH176" s="24" t="s">
        <v>58</v>
      </c>
      <c r="BI176" s="24" t="str">
        <f t="shared" si="88"/>
        <v>WMCOM24-7 IntouchPHL_MNLPhoneAgent</v>
      </c>
      <c r="BJ176" s="42"/>
      <c r="BK176" t="s">
        <v>1128</v>
      </c>
      <c r="BL176" t="s">
        <v>1128</v>
      </c>
      <c r="BM176" s="75" t="s">
        <v>1112</v>
      </c>
      <c r="BN176" s="5" t="s">
        <v>1111</v>
      </c>
      <c r="BO176" s="24" t="s">
        <v>74</v>
      </c>
      <c r="BP176" s="24" t="s">
        <v>1108</v>
      </c>
      <c r="BQ176" s="24" t="s">
        <v>943</v>
      </c>
      <c r="BR176" s="97" t="s">
        <v>1129</v>
      </c>
      <c r="BS176" s="78" t="s">
        <v>715</v>
      </c>
      <c r="BT176" s="57"/>
      <c r="BU176" s="78" t="s">
        <v>70</v>
      </c>
      <c r="BV176" s="24"/>
      <c r="BW176" s="42"/>
      <c r="BX176">
        <v>785</v>
      </c>
      <c r="BY176">
        <v>200147</v>
      </c>
      <c r="BZ176" s="24"/>
      <c r="CA176" s="42"/>
      <c r="CB176" s="24" t="s">
        <v>58</v>
      </c>
      <c r="CC176" s="24" t="s">
        <v>568</v>
      </c>
      <c r="CD176" s="24" t="s">
        <v>1109</v>
      </c>
      <c r="CE176" s="97" t="s">
        <v>64</v>
      </c>
      <c r="CF176" s="24" t="s">
        <v>1132</v>
      </c>
      <c r="CG176" s="24" t="s">
        <v>828</v>
      </c>
      <c r="CH176" s="24" t="s">
        <v>87</v>
      </c>
      <c r="CI176" s="97">
        <v>5254</v>
      </c>
      <c r="CJ176" s="77" t="b">
        <v>1</v>
      </c>
      <c r="CK176" s="77" t="b">
        <v>0</v>
      </c>
      <c r="CL176" s="77" t="b">
        <v>0</v>
      </c>
      <c r="CM176" s="77" t="b">
        <v>0</v>
      </c>
      <c r="CN176" s="23" t="b">
        <v>0</v>
      </c>
      <c r="CO176" s="78" t="s">
        <v>61</v>
      </c>
    </row>
    <row r="177" spans="1:93" ht="16.5" x14ac:dyDescent="0.25">
      <c r="A177" s="97"/>
      <c r="B177" s="97"/>
      <c r="C177" s="97"/>
      <c r="D177" s="97"/>
      <c r="E177" s="97"/>
      <c r="F177" s="97"/>
      <c r="G177" s="98"/>
      <c r="H177" s="97"/>
      <c r="I177" s="97"/>
      <c r="J177" s="97"/>
      <c r="K177" s="97"/>
      <c r="L177" s="97"/>
      <c r="M177" s="97"/>
      <c r="N177" s="97"/>
      <c r="O177" s="97"/>
      <c r="P177" s="97"/>
      <c r="Q177" s="100"/>
      <c r="R177" s="101"/>
      <c r="S177" s="99"/>
      <c r="T177" s="99"/>
      <c r="U177" s="97"/>
      <c r="V177" s="20" t="str">
        <f t="shared" si="58"/>
        <v/>
      </c>
      <c r="W177" s="20" t="str">
        <f t="shared" si="59"/>
        <v/>
      </c>
      <c r="X177" s="20" t="str">
        <f t="shared" si="60"/>
        <v/>
      </c>
      <c r="Y177" s="20" t="str">
        <f t="shared" si="61"/>
        <v/>
      </c>
      <c r="Z177" s="20" t="str">
        <f t="shared" si="62"/>
        <v/>
      </c>
      <c r="AA177" s="20" t="str">
        <f t="shared" si="63"/>
        <v/>
      </c>
      <c r="AB177" s="20" t="str">
        <f t="shared" si="64"/>
        <v/>
      </c>
      <c r="AC177" s="20" t="str">
        <f t="shared" si="65"/>
        <v/>
      </c>
      <c r="AD177" s="20" t="str">
        <f t="shared" si="66"/>
        <v/>
      </c>
      <c r="AE177" s="20" t="str">
        <f t="shared" si="67"/>
        <v/>
      </c>
      <c r="AF177" s="20" t="str">
        <f t="shared" si="68"/>
        <v/>
      </c>
      <c r="AG177" s="20" t="str">
        <f t="shared" si="69"/>
        <v/>
      </c>
      <c r="AH177" s="20" t="str">
        <f t="shared" si="70"/>
        <v/>
      </c>
      <c r="AI177" s="20" t="str">
        <f t="shared" si="71"/>
        <v/>
      </c>
      <c r="AJ177" s="20" t="str">
        <f t="shared" si="72"/>
        <v/>
      </c>
      <c r="AK177" s="20" t="str">
        <f t="shared" si="73"/>
        <v/>
      </c>
      <c r="AL177" s="20" t="str">
        <f t="shared" si="74"/>
        <v/>
      </c>
      <c r="AM177" s="20" t="str">
        <f t="shared" si="75"/>
        <v/>
      </c>
      <c r="AN177" s="20" t="str">
        <f t="shared" si="76"/>
        <v/>
      </c>
      <c r="AO177" s="20" t="str">
        <f t="shared" si="77"/>
        <v/>
      </c>
      <c r="AP177" s="20" t="str">
        <f t="shared" si="78"/>
        <v/>
      </c>
      <c r="AQ177" s="20" t="str">
        <f t="shared" si="79"/>
        <v/>
      </c>
      <c r="AR177" s="20" t="str">
        <f t="shared" si="80"/>
        <v/>
      </c>
      <c r="AS177" s="20" t="str">
        <f t="shared" si="81"/>
        <v/>
      </c>
      <c r="AT177" s="20" t="str">
        <f t="shared" si="82"/>
        <v/>
      </c>
      <c r="AU177" s="20" t="str">
        <f t="shared" si="83"/>
        <v/>
      </c>
      <c r="AV177" s="20" t="str">
        <f t="shared" si="84"/>
        <v/>
      </c>
      <c r="AW177" s="20" t="str">
        <f t="shared" si="85"/>
        <v/>
      </c>
      <c r="BD177" s="24" t="s">
        <v>87</v>
      </c>
      <c r="BE177" s="24" t="s">
        <v>828</v>
      </c>
      <c r="BF177" s="24" t="s">
        <v>1107</v>
      </c>
      <c r="BG177" s="24" t="s">
        <v>596</v>
      </c>
      <c r="BH177" s="24" t="s">
        <v>92</v>
      </c>
      <c r="BI177" s="24" t="str">
        <f t="shared" si="88"/>
        <v>WMCOM24-7 IntouchPHL_MNLBackofficeSupervisor/Team Lead</v>
      </c>
      <c r="BJ177" s="42"/>
      <c r="BK177" t="s">
        <v>1126</v>
      </c>
      <c r="BL177" t="s">
        <v>1126</v>
      </c>
      <c r="BM177" s="75" t="s">
        <v>1113</v>
      </c>
      <c r="BN177" s="5" t="s">
        <v>1111</v>
      </c>
      <c r="BO177" s="24" t="s">
        <v>74</v>
      </c>
      <c r="BP177" s="24" t="s">
        <v>1108</v>
      </c>
      <c r="BQ177" s="24" t="s">
        <v>943</v>
      </c>
      <c r="BR177" s="97" t="s">
        <v>1130</v>
      </c>
      <c r="BS177" s="78" t="s">
        <v>715</v>
      </c>
      <c r="BT177" s="57"/>
      <c r="BU177" s="78" t="s">
        <v>70</v>
      </c>
      <c r="BV177" s="24"/>
      <c r="BW177" s="42"/>
      <c r="BX177">
        <v>124</v>
      </c>
      <c r="BY177">
        <v>200147</v>
      </c>
      <c r="BZ177" s="24"/>
      <c r="CA177" s="42"/>
      <c r="CB177" s="24" t="s">
        <v>83</v>
      </c>
      <c r="CC177" s="24" t="s">
        <v>568</v>
      </c>
      <c r="CD177" s="24" t="s">
        <v>1109</v>
      </c>
      <c r="CE177" s="97" t="s">
        <v>64</v>
      </c>
      <c r="CF177" s="24" t="s">
        <v>1132</v>
      </c>
      <c r="CG177" s="24" t="s">
        <v>828</v>
      </c>
      <c r="CH177" s="24" t="s">
        <v>87</v>
      </c>
      <c r="CI177" s="97">
        <v>5254</v>
      </c>
      <c r="CJ177" s="77" t="b">
        <v>0</v>
      </c>
      <c r="CK177" s="77" t="b">
        <v>0</v>
      </c>
      <c r="CL177" s="77" t="b">
        <v>0</v>
      </c>
      <c r="CM177" s="77" t="b">
        <v>1</v>
      </c>
      <c r="CN177" s="23" t="b">
        <v>0</v>
      </c>
      <c r="CO177" s="78" t="s">
        <v>61</v>
      </c>
    </row>
    <row r="178" spans="1:93" ht="16.5" x14ac:dyDescent="0.25">
      <c r="A178" s="97"/>
      <c r="B178" s="97"/>
      <c r="C178" s="97"/>
      <c r="D178" s="97"/>
      <c r="E178" s="97"/>
      <c r="F178" s="97"/>
      <c r="G178" s="98"/>
      <c r="H178" s="97"/>
      <c r="I178" s="97"/>
      <c r="J178" s="97"/>
      <c r="K178" s="97"/>
      <c r="L178" s="97"/>
      <c r="M178" s="97"/>
      <c r="N178" s="97"/>
      <c r="O178" s="97"/>
      <c r="P178" s="97"/>
      <c r="Q178" s="100"/>
      <c r="R178" s="101"/>
      <c r="S178" s="99"/>
      <c r="T178" s="99"/>
      <c r="U178" s="97"/>
      <c r="V178" s="20" t="str">
        <f t="shared" si="58"/>
        <v/>
      </c>
      <c r="W178" s="20" t="str">
        <f t="shared" si="59"/>
        <v/>
      </c>
      <c r="X178" s="20" t="str">
        <f t="shared" si="60"/>
        <v/>
      </c>
      <c r="Y178" s="20" t="str">
        <f t="shared" si="61"/>
        <v/>
      </c>
      <c r="Z178" s="20" t="str">
        <f t="shared" si="62"/>
        <v/>
      </c>
      <c r="AA178" s="20" t="str">
        <f t="shared" si="63"/>
        <v/>
      </c>
      <c r="AB178" s="20" t="str">
        <f t="shared" si="64"/>
        <v/>
      </c>
      <c r="AC178" s="20" t="str">
        <f t="shared" si="65"/>
        <v/>
      </c>
      <c r="AD178" s="20" t="str">
        <f t="shared" si="66"/>
        <v/>
      </c>
      <c r="AE178" s="20" t="str">
        <f t="shared" si="67"/>
        <v/>
      </c>
      <c r="AF178" s="20" t="str">
        <f t="shared" si="68"/>
        <v/>
      </c>
      <c r="AG178" s="20" t="str">
        <f t="shared" si="69"/>
        <v/>
      </c>
      <c r="AH178" s="20" t="str">
        <f t="shared" si="70"/>
        <v/>
      </c>
      <c r="AI178" s="20" t="str">
        <f t="shared" si="71"/>
        <v/>
      </c>
      <c r="AJ178" s="20" t="str">
        <f t="shared" si="72"/>
        <v/>
      </c>
      <c r="AK178" s="20" t="str">
        <f t="shared" si="73"/>
        <v/>
      </c>
      <c r="AL178" s="20" t="str">
        <f t="shared" si="74"/>
        <v/>
      </c>
      <c r="AM178" s="20" t="str">
        <f t="shared" si="75"/>
        <v/>
      </c>
      <c r="AN178" s="20" t="str">
        <f t="shared" si="76"/>
        <v/>
      </c>
      <c r="AO178" s="20" t="str">
        <f t="shared" si="77"/>
        <v/>
      </c>
      <c r="AP178" s="20" t="str">
        <f t="shared" si="78"/>
        <v/>
      </c>
      <c r="AQ178" s="20" t="str">
        <f t="shared" si="79"/>
        <v/>
      </c>
      <c r="AR178" s="20" t="str">
        <f t="shared" si="80"/>
        <v/>
      </c>
      <c r="AS178" s="20" t="str">
        <f t="shared" si="81"/>
        <v/>
      </c>
      <c r="AT178" s="20" t="str">
        <f t="shared" si="82"/>
        <v/>
      </c>
      <c r="AU178" s="20" t="str">
        <f t="shared" si="83"/>
        <v/>
      </c>
      <c r="AV178" s="20" t="str">
        <f t="shared" si="84"/>
        <v/>
      </c>
      <c r="AW178" s="20" t="str">
        <f t="shared" si="85"/>
        <v/>
      </c>
      <c r="BD178" s="24" t="s">
        <v>87</v>
      </c>
      <c r="BE178" s="24" t="s">
        <v>828</v>
      </c>
      <c r="BF178" s="24" t="s">
        <v>1107</v>
      </c>
      <c r="BG178" s="24" t="s">
        <v>596</v>
      </c>
      <c r="BH178" s="24" t="s">
        <v>147</v>
      </c>
      <c r="BI178" s="24" t="str">
        <f t="shared" si="88"/>
        <v>WMCOM24-7 IntouchPHL_MNLBackofficeReporting</v>
      </c>
      <c r="BJ178" s="42"/>
      <c r="BK178" t="s">
        <v>1127</v>
      </c>
      <c r="BL178" t="s">
        <v>1127</v>
      </c>
      <c r="BM178" s="75" t="s">
        <v>1114</v>
      </c>
      <c r="BN178" s="5" t="s">
        <v>1111</v>
      </c>
      <c r="BO178" s="24" t="s">
        <v>74</v>
      </c>
      <c r="BP178" s="24" t="s">
        <v>1108</v>
      </c>
      <c r="BQ178" s="24" t="s">
        <v>943</v>
      </c>
      <c r="BR178" s="97" t="s">
        <v>1130</v>
      </c>
      <c r="BS178" s="78" t="s">
        <v>715</v>
      </c>
      <c r="BT178" s="57"/>
      <c r="BU178" s="78" t="s">
        <v>70</v>
      </c>
      <c r="BV178" s="24"/>
      <c r="BW178" s="42"/>
      <c r="BX178">
        <v>124</v>
      </c>
      <c r="BY178">
        <v>200147</v>
      </c>
      <c r="BZ178" s="24"/>
      <c r="CA178" s="42"/>
      <c r="CB178" s="24" t="s">
        <v>83</v>
      </c>
      <c r="CC178" s="24" t="s">
        <v>568</v>
      </c>
      <c r="CD178" s="24" t="s">
        <v>1109</v>
      </c>
      <c r="CE178" s="97" t="s">
        <v>64</v>
      </c>
      <c r="CF178" s="24" t="s">
        <v>1132</v>
      </c>
      <c r="CG178" s="24" t="s">
        <v>828</v>
      </c>
      <c r="CH178" s="24" t="s">
        <v>87</v>
      </c>
      <c r="CI178" s="97">
        <v>5254</v>
      </c>
      <c r="CJ178" s="77" t="b">
        <v>0</v>
      </c>
      <c r="CK178" s="77" t="b">
        <v>0</v>
      </c>
      <c r="CL178" s="77" t="b">
        <v>0</v>
      </c>
      <c r="CM178" s="77" t="b">
        <v>1</v>
      </c>
      <c r="CN178" s="23" t="b">
        <v>0</v>
      </c>
      <c r="CO178" s="78" t="s">
        <v>61</v>
      </c>
    </row>
    <row r="179" spans="1:93" ht="16.5" x14ac:dyDescent="0.25">
      <c r="A179" s="97"/>
      <c r="B179" s="97"/>
      <c r="C179" s="97"/>
      <c r="D179" s="97"/>
      <c r="E179" s="97"/>
      <c r="F179" s="97"/>
      <c r="G179" s="98"/>
      <c r="H179" s="97"/>
      <c r="I179" s="97"/>
      <c r="J179" s="97"/>
      <c r="K179" s="97"/>
      <c r="L179" s="97"/>
      <c r="M179" s="97"/>
      <c r="N179" s="97"/>
      <c r="O179" s="97"/>
      <c r="P179" s="97"/>
      <c r="Q179" s="100"/>
      <c r="R179" s="101"/>
      <c r="S179" s="99"/>
      <c r="T179" s="99"/>
      <c r="U179" s="97"/>
      <c r="V179" s="20" t="str">
        <f t="shared" si="58"/>
        <v/>
      </c>
      <c r="W179" s="20" t="str">
        <f t="shared" si="59"/>
        <v/>
      </c>
      <c r="X179" s="20" t="str">
        <f t="shared" si="60"/>
        <v/>
      </c>
      <c r="Y179" s="20" t="str">
        <f t="shared" si="61"/>
        <v/>
      </c>
      <c r="Z179" s="20" t="str">
        <f t="shared" si="62"/>
        <v/>
      </c>
      <c r="AA179" s="20" t="str">
        <f t="shared" si="63"/>
        <v/>
      </c>
      <c r="AB179" s="20" t="str">
        <f t="shared" si="64"/>
        <v/>
      </c>
      <c r="AC179" s="20" t="str">
        <f t="shared" si="65"/>
        <v/>
      </c>
      <c r="AD179" s="20" t="str">
        <f t="shared" si="66"/>
        <v/>
      </c>
      <c r="AE179" s="20" t="str">
        <f t="shared" si="67"/>
        <v/>
      </c>
      <c r="AF179" s="20" t="str">
        <f t="shared" si="68"/>
        <v/>
      </c>
      <c r="AG179" s="20" t="str">
        <f t="shared" si="69"/>
        <v/>
      </c>
      <c r="AH179" s="20" t="str">
        <f t="shared" si="70"/>
        <v/>
      </c>
      <c r="AI179" s="20" t="str">
        <f t="shared" si="71"/>
        <v/>
      </c>
      <c r="AJ179" s="20" t="str">
        <f t="shared" si="72"/>
        <v/>
      </c>
      <c r="AK179" s="20" t="str">
        <f t="shared" si="73"/>
        <v/>
      </c>
      <c r="AL179" s="20" t="str">
        <f t="shared" si="74"/>
        <v/>
      </c>
      <c r="AM179" s="20" t="str">
        <f t="shared" si="75"/>
        <v/>
      </c>
      <c r="AN179" s="20" t="str">
        <f t="shared" si="76"/>
        <v/>
      </c>
      <c r="AO179" s="20" t="str">
        <f t="shared" si="77"/>
        <v/>
      </c>
      <c r="AP179" s="20" t="str">
        <f t="shared" si="78"/>
        <v/>
      </c>
      <c r="AQ179" s="20" t="str">
        <f t="shared" si="79"/>
        <v/>
      </c>
      <c r="AR179" s="20" t="str">
        <f t="shared" si="80"/>
        <v/>
      </c>
      <c r="AS179" s="20" t="str">
        <f t="shared" si="81"/>
        <v/>
      </c>
      <c r="AT179" s="20" t="str">
        <f t="shared" si="82"/>
        <v/>
      </c>
      <c r="AU179" s="20" t="str">
        <f t="shared" si="83"/>
        <v/>
      </c>
      <c r="AV179" s="20" t="str">
        <f t="shared" si="84"/>
        <v/>
      </c>
      <c r="AW179" s="20" t="str">
        <f t="shared" si="85"/>
        <v/>
      </c>
      <c r="BD179" s="24"/>
      <c r="BE179" s="24"/>
      <c r="BF179" s="24"/>
      <c r="BG179" s="24"/>
      <c r="BH179" s="24"/>
      <c r="BI179" s="24"/>
      <c r="BJ179" s="42"/>
      <c r="BL179" s="75"/>
      <c r="BM179" s="75"/>
      <c r="BN179" s="75"/>
      <c r="BO179" s="24"/>
      <c r="BP179" s="24"/>
      <c r="BQ179" s="24"/>
      <c r="BR179" s="91"/>
      <c r="BS179" s="57"/>
      <c r="BT179" s="57"/>
      <c r="BU179" s="24"/>
      <c r="BV179" s="24"/>
      <c r="BW179" s="42"/>
      <c r="BY179" s="24"/>
      <c r="BZ179" s="24"/>
      <c r="CA179" s="42"/>
      <c r="CB179" s="24"/>
      <c r="CC179" s="24"/>
      <c r="CD179" s="24"/>
      <c r="CE179" s="90"/>
      <c r="CF179"/>
      <c r="CG179"/>
      <c r="CH179"/>
      <c r="CI179" s="89"/>
      <c r="CJ179" s="77"/>
      <c r="CK179" s="77"/>
      <c r="CL179" s="77"/>
      <c r="CM179" s="77"/>
      <c r="CN179" s="77"/>
      <c r="CO179" s="77"/>
    </row>
    <row r="180" spans="1:93" ht="16.5" x14ac:dyDescent="0.25">
      <c r="A180" s="97"/>
      <c r="B180" s="97"/>
      <c r="C180" s="97"/>
      <c r="D180" s="97"/>
      <c r="E180" s="97"/>
      <c r="F180" s="97"/>
      <c r="G180" s="98"/>
      <c r="H180" s="97"/>
      <c r="I180" s="97"/>
      <c r="J180" s="97"/>
      <c r="K180" s="97"/>
      <c r="L180" s="97"/>
      <c r="M180" s="97"/>
      <c r="N180" s="97"/>
      <c r="O180" s="97"/>
      <c r="P180" s="97"/>
      <c r="Q180" s="100"/>
      <c r="R180" s="101"/>
      <c r="S180" s="99"/>
      <c r="T180" s="99"/>
      <c r="U180" s="97"/>
      <c r="V180" s="20" t="str">
        <f t="shared" si="58"/>
        <v/>
      </c>
      <c r="W180" s="20" t="str">
        <f t="shared" si="59"/>
        <v/>
      </c>
      <c r="X180" s="20" t="str">
        <f t="shared" si="60"/>
        <v/>
      </c>
      <c r="Y180" s="20" t="str">
        <f t="shared" si="61"/>
        <v/>
      </c>
      <c r="Z180" s="20" t="str">
        <f t="shared" si="62"/>
        <v/>
      </c>
      <c r="AA180" s="20" t="str">
        <f t="shared" si="63"/>
        <v/>
      </c>
      <c r="AB180" s="20" t="str">
        <f t="shared" si="64"/>
        <v/>
      </c>
      <c r="AC180" s="20" t="str">
        <f t="shared" si="65"/>
        <v/>
      </c>
      <c r="AD180" s="20" t="str">
        <f t="shared" si="66"/>
        <v/>
      </c>
      <c r="AE180" s="20" t="str">
        <f t="shared" si="67"/>
        <v/>
      </c>
      <c r="AF180" s="20" t="str">
        <f t="shared" si="68"/>
        <v/>
      </c>
      <c r="AG180" s="20" t="str">
        <f t="shared" si="69"/>
        <v/>
      </c>
      <c r="AH180" s="20" t="str">
        <f t="shared" si="70"/>
        <v/>
      </c>
      <c r="AI180" s="20" t="str">
        <f t="shared" si="71"/>
        <v/>
      </c>
      <c r="AJ180" s="20" t="str">
        <f t="shared" si="72"/>
        <v/>
      </c>
      <c r="AK180" s="20" t="str">
        <f t="shared" si="73"/>
        <v/>
      </c>
      <c r="AL180" s="20" t="str">
        <f t="shared" si="74"/>
        <v/>
      </c>
      <c r="AM180" s="20" t="str">
        <f t="shared" si="75"/>
        <v/>
      </c>
      <c r="AN180" s="20" t="str">
        <f t="shared" si="76"/>
        <v/>
      </c>
      <c r="AO180" s="20" t="str">
        <f t="shared" si="77"/>
        <v/>
      </c>
      <c r="AP180" s="20" t="str">
        <f t="shared" si="78"/>
        <v/>
      </c>
      <c r="AQ180" s="20" t="str">
        <f t="shared" si="79"/>
        <v/>
      </c>
      <c r="AR180" s="20" t="str">
        <f t="shared" si="80"/>
        <v/>
      </c>
      <c r="AS180" s="20" t="str">
        <f t="shared" si="81"/>
        <v/>
      </c>
      <c r="AT180" s="20" t="str">
        <f t="shared" si="82"/>
        <v/>
      </c>
      <c r="AU180" s="20" t="str">
        <f t="shared" si="83"/>
        <v/>
      </c>
      <c r="AV180" s="20" t="str">
        <f t="shared" si="84"/>
        <v/>
      </c>
      <c r="AW180" s="20" t="str">
        <f t="shared" si="85"/>
        <v/>
      </c>
      <c r="BD180" s="24"/>
      <c r="BE180" s="24"/>
      <c r="BF180" s="24"/>
      <c r="BG180" s="24"/>
      <c r="BH180" s="24"/>
      <c r="BI180" s="24"/>
      <c r="BJ180" s="42"/>
      <c r="BL180" s="75"/>
      <c r="BM180" s="75"/>
      <c r="BN180" s="75"/>
      <c r="BO180" s="24"/>
      <c r="BP180" s="24"/>
      <c r="BQ180" s="24"/>
      <c r="BR180" s="91"/>
      <c r="BS180" s="57"/>
      <c r="BT180" s="57"/>
      <c r="BU180" s="24"/>
      <c r="BV180" s="24"/>
      <c r="BW180" s="42"/>
      <c r="BY180" s="24"/>
      <c r="BZ180" s="24"/>
      <c r="CA180" s="42"/>
      <c r="CB180" s="24"/>
      <c r="CC180" s="24"/>
      <c r="CD180" s="24"/>
      <c r="CE180" s="90"/>
      <c r="CF180"/>
      <c r="CG180"/>
      <c r="CH180"/>
      <c r="CI180" s="89"/>
      <c r="CJ180" s="77"/>
      <c r="CK180" s="77"/>
      <c r="CL180" s="77"/>
      <c r="CM180" s="77"/>
      <c r="CN180" s="77"/>
      <c r="CO180" s="77"/>
    </row>
    <row r="181" spans="1:93" ht="16.5" x14ac:dyDescent="0.25">
      <c r="A181" s="97"/>
      <c r="B181" s="97"/>
      <c r="C181" s="97"/>
      <c r="D181" s="97"/>
      <c r="E181" s="97"/>
      <c r="F181" s="97"/>
      <c r="G181" s="98"/>
      <c r="H181" s="97"/>
      <c r="I181" s="97"/>
      <c r="J181" s="97"/>
      <c r="K181" s="97"/>
      <c r="L181" s="97"/>
      <c r="M181" s="97"/>
      <c r="N181" s="97"/>
      <c r="O181" s="97"/>
      <c r="P181" s="97"/>
      <c r="Q181" s="100"/>
      <c r="R181" s="101"/>
      <c r="S181" s="99"/>
      <c r="T181" s="99"/>
      <c r="U181" s="97"/>
      <c r="V181" s="20" t="str">
        <f t="shared" si="58"/>
        <v/>
      </c>
      <c r="W181" s="20" t="str">
        <f t="shared" si="59"/>
        <v/>
      </c>
      <c r="X181" s="20" t="str">
        <f t="shared" si="60"/>
        <v/>
      </c>
      <c r="Y181" s="20" t="str">
        <f t="shared" si="61"/>
        <v/>
      </c>
      <c r="Z181" s="20" t="str">
        <f t="shared" si="62"/>
        <v/>
      </c>
      <c r="AA181" s="20" t="str">
        <f t="shared" si="63"/>
        <v/>
      </c>
      <c r="AB181" s="20" t="str">
        <f t="shared" si="64"/>
        <v/>
      </c>
      <c r="AC181" s="20" t="str">
        <f t="shared" si="65"/>
        <v/>
      </c>
      <c r="AD181" s="20" t="str">
        <f t="shared" si="66"/>
        <v/>
      </c>
      <c r="AE181" s="20" t="str">
        <f t="shared" si="67"/>
        <v/>
      </c>
      <c r="AF181" s="20" t="str">
        <f t="shared" si="68"/>
        <v/>
      </c>
      <c r="AG181" s="20" t="str">
        <f t="shared" si="69"/>
        <v/>
      </c>
      <c r="AH181" s="20" t="str">
        <f t="shared" si="70"/>
        <v/>
      </c>
      <c r="AI181" s="20" t="str">
        <f t="shared" si="71"/>
        <v/>
      </c>
      <c r="AJ181" s="20" t="str">
        <f t="shared" si="72"/>
        <v/>
      </c>
      <c r="AK181" s="20" t="str">
        <f t="shared" si="73"/>
        <v/>
      </c>
      <c r="AL181" s="20" t="str">
        <f t="shared" si="74"/>
        <v/>
      </c>
      <c r="AM181" s="20" t="str">
        <f t="shared" si="75"/>
        <v/>
      </c>
      <c r="AN181" s="20" t="str">
        <f t="shared" si="76"/>
        <v/>
      </c>
      <c r="AO181" s="20" t="str">
        <f t="shared" si="77"/>
        <v/>
      </c>
      <c r="AP181" s="20" t="str">
        <f t="shared" si="78"/>
        <v/>
      </c>
      <c r="AQ181" s="20" t="str">
        <f t="shared" si="79"/>
        <v/>
      </c>
      <c r="AR181" s="20" t="str">
        <f t="shared" si="80"/>
        <v/>
      </c>
      <c r="AS181" s="20" t="str">
        <f t="shared" si="81"/>
        <v/>
      </c>
      <c r="AT181" s="20" t="str">
        <f t="shared" si="82"/>
        <v/>
      </c>
      <c r="AU181" s="20" t="str">
        <f t="shared" si="83"/>
        <v/>
      </c>
      <c r="AV181" s="20" t="str">
        <f t="shared" si="84"/>
        <v/>
      </c>
      <c r="AW181" s="20" t="str">
        <f t="shared" si="85"/>
        <v/>
      </c>
      <c r="BD181" s="24"/>
      <c r="BE181" s="24"/>
      <c r="BF181" s="24"/>
      <c r="BG181" s="24"/>
      <c r="BH181" s="24"/>
      <c r="BI181" s="24"/>
      <c r="BJ181" s="42"/>
      <c r="BL181" s="75"/>
      <c r="BM181" s="75"/>
      <c r="BN181" s="75"/>
      <c r="BO181" s="24"/>
      <c r="BP181" s="24"/>
      <c r="BQ181" s="24"/>
      <c r="BR181" s="88"/>
      <c r="BS181" s="57"/>
      <c r="BT181" s="57"/>
      <c r="BU181" s="24"/>
      <c r="BV181" s="24"/>
      <c r="BW181" s="42"/>
      <c r="BY181" s="24"/>
      <c r="BZ181" s="24"/>
      <c r="CA181" s="42"/>
      <c r="CB181" s="24"/>
      <c r="CC181" s="24"/>
      <c r="CD181" s="24"/>
      <c r="CE181" s="90"/>
      <c r="CF181" s="24"/>
      <c r="CG181" s="24"/>
      <c r="CH181" s="24"/>
      <c r="CI181" s="89"/>
      <c r="CJ181" s="77"/>
      <c r="CK181" s="77"/>
      <c r="CL181" s="77"/>
      <c r="CM181" s="77"/>
      <c r="CN181" s="77"/>
      <c r="CO181" s="77"/>
    </row>
    <row r="182" spans="1:93" ht="16.5" x14ac:dyDescent="0.25">
      <c r="A182" s="97"/>
      <c r="B182" s="97"/>
      <c r="C182" s="97"/>
      <c r="D182" s="97"/>
      <c r="E182" s="97"/>
      <c r="F182" s="97"/>
      <c r="G182" s="98"/>
      <c r="H182" s="97"/>
      <c r="I182" s="97"/>
      <c r="J182" s="97"/>
      <c r="K182" s="97"/>
      <c r="L182" s="97"/>
      <c r="M182" s="97"/>
      <c r="N182" s="97"/>
      <c r="O182" s="97"/>
      <c r="P182" s="97"/>
      <c r="Q182" s="100"/>
      <c r="R182" s="101"/>
      <c r="S182" s="99"/>
      <c r="T182" s="99"/>
      <c r="U182" s="97"/>
      <c r="V182" s="20" t="str">
        <f t="shared" si="58"/>
        <v/>
      </c>
      <c r="W182" s="20" t="str">
        <f t="shared" si="59"/>
        <v/>
      </c>
      <c r="X182" s="20" t="str">
        <f t="shared" si="60"/>
        <v/>
      </c>
      <c r="Y182" s="20" t="str">
        <f t="shared" si="61"/>
        <v/>
      </c>
      <c r="Z182" s="20" t="str">
        <f t="shared" si="62"/>
        <v/>
      </c>
      <c r="AA182" s="20" t="str">
        <f t="shared" si="63"/>
        <v/>
      </c>
      <c r="AB182" s="20" t="str">
        <f t="shared" si="64"/>
        <v/>
      </c>
      <c r="AC182" s="20" t="str">
        <f t="shared" si="65"/>
        <v/>
      </c>
      <c r="AD182" s="20" t="str">
        <f t="shared" si="66"/>
        <v/>
      </c>
      <c r="AE182" s="20" t="str">
        <f t="shared" si="67"/>
        <v/>
      </c>
      <c r="AF182" s="20" t="str">
        <f t="shared" si="68"/>
        <v/>
      </c>
      <c r="AG182" s="20" t="str">
        <f t="shared" si="69"/>
        <v/>
      </c>
      <c r="AH182" s="20" t="str">
        <f t="shared" si="70"/>
        <v/>
      </c>
      <c r="AI182" s="20" t="str">
        <f t="shared" si="71"/>
        <v/>
      </c>
      <c r="AJ182" s="20" t="str">
        <f t="shared" si="72"/>
        <v/>
      </c>
      <c r="AK182" s="20" t="str">
        <f t="shared" si="73"/>
        <v/>
      </c>
      <c r="AL182" s="20" t="str">
        <f t="shared" si="74"/>
        <v/>
      </c>
      <c r="AM182" s="20" t="str">
        <f t="shared" si="75"/>
        <v/>
      </c>
      <c r="AN182" s="20" t="str">
        <f t="shared" si="76"/>
        <v/>
      </c>
      <c r="AO182" s="20" t="str">
        <f t="shared" si="77"/>
        <v/>
      </c>
      <c r="AP182" s="20" t="str">
        <f t="shared" si="78"/>
        <v/>
      </c>
      <c r="AQ182" s="20" t="str">
        <f t="shared" si="79"/>
        <v/>
      </c>
      <c r="AR182" s="20" t="str">
        <f t="shared" si="80"/>
        <v/>
      </c>
      <c r="AS182" s="20" t="str">
        <f t="shared" si="81"/>
        <v/>
      </c>
      <c r="AT182" s="20" t="str">
        <f t="shared" si="82"/>
        <v/>
      </c>
      <c r="AU182" s="20" t="str">
        <f t="shared" si="83"/>
        <v/>
      </c>
      <c r="AV182" s="20" t="str">
        <f t="shared" si="84"/>
        <v/>
      </c>
      <c r="AW182" s="20" t="str">
        <f t="shared" si="85"/>
        <v/>
      </c>
      <c r="BD182" s="24"/>
      <c r="BE182" s="24"/>
      <c r="BF182" s="24"/>
      <c r="BG182" s="24"/>
      <c r="BH182" s="24"/>
      <c r="BI182" s="24"/>
      <c r="BJ182" s="42"/>
      <c r="BL182" s="75"/>
      <c r="BM182" s="75"/>
      <c r="BN182" s="75"/>
      <c r="BO182" s="24"/>
      <c r="BP182" s="24"/>
      <c r="BQ182" s="24"/>
      <c r="BR182" s="88"/>
      <c r="BS182" s="57"/>
      <c r="BT182" s="57"/>
      <c r="BU182" s="24"/>
      <c r="BV182" s="24"/>
      <c r="BW182" s="42"/>
      <c r="BY182" s="24"/>
      <c r="BZ182" s="24"/>
      <c r="CA182" s="42"/>
      <c r="CB182" s="24"/>
      <c r="CC182" s="24"/>
      <c r="CD182" s="24"/>
      <c r="CE182" s="90"/>
      <c r="CF182" s="24"/>
      <c r="CG182" s="24"/>
      <c r="CH182" s="24"/>
      <c r="CI182" s="89"/>
      <c r="CJ182" s="77"/>
      <c r="CK182" s="77"/>
      <c r="CL182" s="77"/>
      <c r="CM182" s="77"/>
      <c r="CN182" s="77"/>
      <c r="CO182" s="77"/>
    </row>
    <row r="183" spans="1:93" ht="16.5" x14ac:dyDescent="0.25">
      <c r="A183" s="97"/>
      <c r="B183" s="97"/>
      <c r="C183" s="97"/>
      <c r="D183" s="97"/>
      <c r="E183" s="97"/>
      <c r="F183" s="97"/>
      <c r="G183" s="98"/>
      <c r="H183" s="97"/>
      <c r="I183" s="97"/>
      <c r="J183" s="97"/>
      <c r="K183" s="97"/>
      <c r="L183" s="97"/>
      <c r="M183" s="97"/>
      <c r="N183" s="97"/>
      <c r="O183" s="97"/>
      <c r="P183" s="97"/>
      <c r="Q183" s="100"/>
      <c r="R183" s="101"/>
      <c r="S183" s="99"/>
      <c r="T183" s="99"/>
      <c r="U183" s="97"/>
      <c r="V183" s="20" t="str">
        <f t="shared" si="58"/>
        <v/>
      </c>
      <c r="W183" s="20" t="str">
        <f t="shared" si="59"/>
        <v/>
      </c>
      <c r="X183" s="20" t="str">
        <f t="shared" si="60"/>
        <v/>
      </c>
      <c r="Y183" s="20" t="str">
        <f t="shared" si="61"/>
        <v/>
      </c>
      <c r="Z183" s="20" t="str">
        <f t="shared" si="62"/>
        <v/>
      </c>
      <c r="AA183" s="20" t="str">
        <f t="shared" si="63"/>
        <v/>
      </c>
      <c r="AB183" s="20" t="str">
        <f t="shared" si="64"/>
        <v/>
      </c>
      <c r="AC183" s="20" t="str">
        <f t="shared" si="65"/>
        <v/>
      </c>
      <c r="AD183" s="20" t="str">
        <f t="shared" si="66"/>
        <v/>
      </c>
      <c r="AE183" s="20" t="str">
        <f t="shared" si="67"/>
        <v/>
      </c>
      <c r="AF183" s="20" t="str">
        <f t="shared" si="68"/>
        <v/>
      </c>
      <c r="AG183" s="20" t="str">
        <f t="shared" si="69"/>
        <v/>
      </c>
      <c r="AH183" s="20" t="str">
        <f t="shared" si="70"/>
        <v/>
      </c>
      <c r="AI183" s="20" t="str">
        <f t="shared" si="71"/>
        <v/>
      </c>
      <c r="AJ183" s="20" t="str">
        <f t="shared" si="72"/>
        <v/>
      </c>
      <c r="AK183" s="20" t="str">
        <f t="shared" si="73"/>
        <v/>
      </c>
      <c r="AL183" s="20" t="str">
        <f t="shared" si="74"/>
        <v/>
      </c>
      <c r="AM183" s="20" t="str">
        <f t="shared" si="75"/>
        <v/>
      </c>
      <c r="AN183" s="20" t="str">
        <f t="shared" si="76"/>
        <v/>
      </c>
      <c r="AO183" s="20" t="str">
        <f t="shared" si="77"/>
        <v/>
      </c>
      <c r="AP183" s="20" t="str">
        <f t="shared" si="78"/>
        <v/>
      </c>
      <c r="AQ183" s="20" t="str">
        <f t="shared" si="79"/>
        <v/>
      </c>
      <c r="AR183" s="20" t="str">
        <f t="shared" si="80"/>
        <v/>
      </c>
      <c r="AS183" s="20" t="str">
        <f t="shared" si="81"/>
        <v/>
      </c>
      <c r="AT183" s="20" t="str">
        <f t="shared" si="82"/>
        <v/>
      </c>
      <c r="AU183" s="20" t="str">
        <f t="shared" si="83"/>
        <v/>
      </c>
      <c r="AV183" s="20" t="str">
        <f t="shared" si="84"/>
        <v/>
      </c>
      <c r="AW183" s="20" t="str">
        <f t="shared" si="85"/>
        <v/>
      </c>
      <c r="BD183" s="24"/>
      <c r="BE183" s="24"/>
      <c r="BF183" s="24"/>
      <c r="BG183" s="24"/>
      <c r="BH183" s="24"/>
      <c r="BI183" s="24"/>
      <c r="BJ183" s="42"/>
      <c r="BK183"/>
      <c r="BL183"/>
      <c r="BM183" s="75"/>
      <c r="BN183" s="75"/>
      <c r="BO183" s="24"/>
      <c r="BP183" s="24"/>
      <c r="BQ183" s="24"/>
      <c r="BR183" s="24"/>
      <c r="BS183" s="57"/>
      <c r="BT183" s="57"/>
      <c r="BU183" s="24"/>
      <c r="BV183" s="24"/>
      <c r="BW183" s="42"/>
      <c r="BY183" s="24"/>
      <c r="BZ183" s="24"/>
      <c r="CA183" s="42"/>
      <c r="CB183" s="24"/>
      <c r="CC183" s="24"/>
      <c r="CD183" s="24"/>
      <c r="CE183" s="90"/>
      <c r="CF183" s="24"/>
      <c r="CG183" s="24"/>
      <c r="CH183" s="24"/>
      <c r="CI183" s="89"/>
      <c r="CJ183" s="77"/>
      <c r="CK183" s="77"/>
      <c r="CL183" s="77"/>
      <c r="CM183" s="77"/>
      <c r="CN183" s="77"/>
      <c r="CO183" s="77"/>
    </row>
    <row r="184" spans="1:93" ht="16.5" x14ac:dyDescent="0.25">
      <c r="A184" s="97"/>
      <c r="B184" s="97"/>
      <c r="C184" s="97"/>
      <c r="D184" s="97"/>
      <c r="E184" s="97"/>
      <c r="F184" s="97"/>
      <c r="G184" s="98"/>
      <c r="H184" s="97"/>
      <c r="I184" s="97"/>
      <c r="J184" s="97"/>
      <c r="K184" s="97"/>
      <c r="L184" s="97"/>
      <c r="M184" s="97"/>
      <c r="N184" s="97"/>
      <c r="O184" s="97"/>
      <c r="P184" s="97"/>
      <c r="Q184" s="100"/>
      <c r="R184" s="101"/>
      <c r="S184" s="99"/>
      <c r="T184" s="99"/>
      <c r="U184" s="97"/>
      <c r="V184" s="20" t="str">
        <f t="shared" si="58"/>
        <v/>
      </c>
      <c r="W184" s="20" t="str">
        <f t="shared" si="59"/>
        <v/>
      </c>
      <c r="X184" s="20" t="str">
        <f t="shared" si="60"/>
        <v/>
      </c>
      <c r="Y184" s="20" t="str">
        <f t="shared" si="61"/>
        <v/>
      </c>
      <c r="Z184" s="20" t="str">
        <f t="shared" si="62"/>
        <v/>
      </c>
      <c r="AA184" s="20" t="str">
        <f t="shared" si="63"/>
        <v/>
      </c>
      <c r="AB184" s="20" t="str">
        <f t="shared" si="64"/>
        <v/>
      </c>
      <c r="AC184" s="20" t="str">
        <f t="shared" si="65"/>
        <v/>
      </c>
      <c r="AD184" s="20" t="str">
        <f t="shared" si="66"/>
        <v/>
      </c>
      <c r="AE184" s="20" t="str">
        <f t="shared" si="67"/>
        <v/>
      </c>
      <c r="AF184" s="20" t="str">
        <f t="shared" si="68"/>
        <v/>
      </c>
      <c r="AG184" s="20" t="str">
        <f t="shared" si="69"/>
        <v/>
      </c>
      <c r="AH184" s="20" t="str">
        <f t="shared" si="70"/>
        <v/>
      </c>
      <c r="AI184" s="20" t="str">
        <f t="shared" si="71"/>
        <v/>
      </c>
      <c r="AJ184" s="20" t="str">
        <f t="shared" si="72"/>
        <v/>
      </c>
      <c r="AK184" s="20" t="str">
        <f t="shared" si="73"/>
        <v/>
      </c>
      <c r="AL184" s="20" t="str">
        <f t="shared" si="74"/>
        <v/>
      </c>
      <c r="AM184" s="20" t="str">
        <f t="shared" si="75"/>
        <v/>
      </c>
      <c r="AN184" s="20" t="str">
        <f t="shared" si="76"/>
        <v/>
      </c>
      <c r="AO184" s="20" t="str">
        <f t="shared" si="77"/>
        <v/>
      </c>
      <c r="AP184" s="20" t="str">
        <f t="shared" si="78"/>
        <v/>
      </c>
      <c r="AQ184" s="20" t="str">
        <f t="shared" si="79"/>
        <v/>
      </c>
      <c r="AR184" s="20" t="str">
        <f t="shared" si="80"/>
        <v/>
      </c>
      <c r="AS184" s="20" t="str">
        <f t="shared" si="81"/>
        <v/>
      </c>
      <c r="AT184" s="20" t="str">
        <f t="shared" si="82"/>
        <v/>
      </c>
      <c r="AU184" s="20" t="str">
        <f t="shared" si="83"/>
        <v/>
      </c>
      <c r="AV184" s="20" t="str">
        <f t="shared" si="84"/>
        <v/>
      </c>
      <c r="AW184" s="20" t="str">
        <f t="shared" si="85"/>
        <v/>
      </c>
      <c r="BD184" s="24"/>
      <c r="BE184" s="24"/>
      <c r="BF184" s="24"/>
      <c r="BG184" s="24"/>
      <c r="BH184" s="24"/>
      <c r="BI184" s="24"/>
      <c r="BJ184" s="42"/>
      <c r="BK184"/>
      <c r="BL184"/>
      <c r="BM184" s="75"/>
      <c r="BN184" s="75"/>
      <c r="BO184" s="24"/>
      <c r="BP184" s="24"/>
      <c r="BQ184" s="24"/>
      <c r="BR184" s="88"/>
      <c r="BS184" s="57"/>
      <c r="BT184" s="24"/>
      <c r="BU184" s="24"/>
      <c r="BV184" s="24"/>
      <c r="BW184" s="42"/>
      <c r="BY184" s="24"/>
      <c r="BZ184" s="24"/>
      <c r="CA184" s="42"/>
      <c r="CB184" s="24"/>
      <c r="CC184" s="24"/>
      <c r="CD184" s="24"/>
      <c r="CE184" s="90"/>
      <c r="CF184" s="24"/>
      <c r="CG184" s="24"/>
      <c r="CH184" s="24"/>
      <c r="CI184" s="89"/>
      <c r="CJ184" s="77"/>
      <c r="CK184" s="77"/>
      <c r="CL184" s="77"/>
      <c r="CM184" s="77"/>
      <c r="CN184" s="77"/>
      <c r="CO184" s="77"/>
    </row>
    <row r="185" spans="1:93" ht="16.5" x14ac:dyDescent="0.25">
      <c r="A185" s="97"/>
      <c r="B185" s="97"/>
      <c r="C185" s="97"/>
      <c r="D185" s="97"/>
      <c r="E185" s="97"/>
      <c r="F185" s="97"/>
      <c r="G185" s="98"/>
      <c r="H185" s="97"/>
      <c r="I185" s="97"/>
      <c r="J185" s="97"/>
      <c r="K185" s="97"/>
      <c r="L185" s="97"/>
      <c r="M185" s="97"/>
      <c r="N185" s="97"/>
      <c r="O185" s="97"/>
      <c r="P185" s="97"/>
      <c r="Q185" s="100"/>
      <c r="R185" s="101"/>
      <c r="S185" s="99"/>
      <c r="T185" s="99"/>
      <c r="U185" s="97"/>
      <c r="V185" s="20" t="str">
        <f t="shared" si="58"/>
        <v/>
      </c>
      <c r="W185" s="20" t="str">
        <f t="shared" si="59"/>
        <v/>
      </c>
      <c r="X185" s="20" t="str">
        <f t="shared" si="60"/>
        <v/>
      </c>
      <c r="Y185" s="20" t="str">
        <f t="shared" si="61"/>
        <v/>
      </c>
      <c r="Z185" s="20" t="str">
        <f t="shared" si="62"/>
        <v/>
      </c>
      <c r="AA185" s="20" t="str">
        <f t="shared" si="63"/>
        <v/>
      </c>
      <c r="AB185" s="20" t="str">
        <f t="shared" si="64"/>
        <v/>
      </c>
      <c r="AC185" s="20" t="str">
        <f t="shared" si="65"/>
        <v/>
      </c>
      <c r="AD185" s="20" t="str">
        <f t="shared" si="66"/>
        <v/>
      </c>
      <c r="AE185" s="20" t="str">
        <f t="shared" si="67"/>
        <v/>
      </c>
      <c r="AF185" s="20" t="str">
        <f t="shared" si="68"/>
        <v/>
      </c>
      <c r="AG185" s="20" t="str">
        <f t="shared" si="69"/>
        <v/>
      </c>
      <c r="AH185" s="20" t="str">
        <f t="shared" si="70"/>
        <v/>
      </c>
      <c r="AI185" s="20" t="str">
        <f t="shared" si="71"/>
        <v/>
      </c>
      <c r="AJ185" s="20" t="str">
        <f t="shared" si="72"/>
        <v/>
      </c>
      <c r="AK185" s="20" t="str">
        <f t="shared" si="73"/>
        <v/>
      </c>
      <c r="AL185" s="20" t="str">
        <f t="shared" si="74"/>
        <v/>
      </c>
      <c r="AM185" s="20" t="str">
        <f t="shared" si="75"/>
        <v/>
      </c>
      <c r="AN185" s="20" t="str">
        <f t="shared" si="76"/>
        <v/>
      </c>
      <c r="AO185" s="20" t="str">
        <f t="shared" si="77"/>
        <v/>
      </c>
      <c r="AP185" s="20" t="str">
        <f t="shared" si="78"/>
        <v/>
      </c>
      <c r="AQ185" s="20" t="str">
        <f t="shared" si="79"/>
        <v/>
      </c>
      <c r="AR185" s="20" t="str">
        <f t="shared" si="80"/>
        <v/>
      </c>
      <c r="AS185" s="20" t="str">
        <f t="shared" si="81"/>
        <v/>
      </c>
      <c r="AT185" s="20" t="str">
        <f t="shared" si="82"/>
        <v/>
      </c>
      <c r="AU185" s="20" t="str">
        <f t="shared" si="83"/>
        <v/>
      </c>
      <c r="AV185" s="20" t="str">
        <f t="shared" si="84"/>
        <v/>
      </c>
      <c r="AW185" s="20" t="str">
        <f t="shared" si="85"/>
        <v/>
      </c>
      <c r="BD185" s="24"/>
      <c r="BE185" s="24"/>
      <c r="BF185" s="24"/>
      <c r="BG185" s="24"/>
      <c r="BH185" s="24"/>
      <c r="BI185" s="24"/>
      <c r="BJ185" s="42"/>
      <c r="BK185"/>
      <c r="BL185"/>
      <c r="BM185" s="75"/>
      <c r="BN185" s="75"/>
      <c r="BO185" s="24"/>
      <c r="BP185" s="24"/>
      <c r="BQ185" s="24"/>
      <c r="BR185" s="88"/>
      <c r="BS185" s="57"/>
      <c r="BT185" s="24"/>
      <c r="BU185" s="24"/>
      <c r="BV185" s="24"/>
      <c r="BW185" s="42"/>
      <c r="BY185" s="24"/>
      <c r="BZ185" s="24"/>
      <c r="CA185" s="42"/>
      <c r="CB185" s="24"/>
      <c r="CC185" s="24"/>
      <c r="CD185" s="24"/>
      <c r="CE185" s="90"/>
      <c r="CF185" s="24"/>
      <c r="CG185" s="24"/>
      <c r="CH185" s="24"/>
      <c r="CI185" s="89"/>
      <c r="CJ185" s="77"/>
      <c r="CK185" s="77"/>
      <c r="CL185" s="77"/>
      <c r="CM185" s="77"/>
      <c r="CN185" s="77"/>
      <c r="CO185" s="77"/>
    </row>
    <row r="186" spans="1:93" ht="16.5" x14ac:dyDescent="0.25">
      <c r="A186" s="97"/>
      <c r="B186" s="97"/>
      <c r="C186" s="97"/>
      <c r="D186" s="97"/>
      <c r="E186" s="97"/>
      <c r="F186" s="97"/>
      <c r="G186" s="98"/>
      <c r="H186" s="97"/>
      <c r="I186" s="97"/>
      <c r="J186" s="97"/>
      <c r="K186" s="97"/>
      <c r="L186" s="97"/>
      <c r="M186" s="97"/>
      <c r="N186" s="97"/>
      <c r="O186" s="97"/>
      <c r="P186" s="97"/>
      <c r="Q186" s="100"/>
      <c r="R186" s="101"/>
      <c r="S186" s="99"/>
      <c r="T186" s="99"/>
      <c r="U186" s="97"/>
      <c r="V186" s="20" t="str">
        <f t="shared" si="58"/>
        <v/>
      </c>
      <c r="W186" s="20" t="str">
        <f t="shared" si="59"/>
        <v/>
      </c>
      <c r="X186" s="20" t="str">
        <f t="shared" si="60"/>
        <v/>
      </c>
      <c r="Y186" s="20" t="str">
        <f t="shared" si="61"/>
        <v/>
      </c>
      <c r="Z186" s="20" t="str">
        <f t="shared" si="62"/>
        <v/>
      </c>
      <c r="AA186" s="20" t="str">
        <f t="shared" si="63"/>
        <v/>
      </c>
      <c r="AB186" s="20" t="str">
        <f t="shared" si="64"/>
        <v/>
      </c>
      <c r="AC186" s="20" t="str">
        <f t="shared" si="65"/>
        <v/>
      </c>
      <c r="AD186" s="20" t="str">
        <f t="shared" si="66"/>
        <v/>
      </c>
      <c r="AE186" s="20" t="str">
        <f t="shared" si="67"/>
        <v/>
      </c>
      <c r="AF186" s="20" t="str">
        <f t="shared" si="68"/>
        <v/>
      </c>
      <c r="AG186" s="20" t="str">
        <f t="shared" si="69"/>
        <v/>
      </c>
      <c r="AH186" s="20" t="str">
        <f t="shared" si="70"/>
        <v/>
      </c>
      <c r="AI186" s="20" t="str">
        <f t="shared" si="71"/>
        <v/>
      </c>
      <c r="AJ186" s="20" t="str">
        <f t="shared" si="72"/>
        <v/>
      </c>
      <c r="AK186" s="20" t="str">
        <f t="shared" si="73"/>
        <v/>
      </c>
      <c r="AL186" s="20" t="str">
        <f t="shared" si="74"/>
        <v/>
      </c>
      <c r="AM186" s="20" t="str">
        <f t="shared" si="75"/>
        <v/>
      </c>
      <c r="AN186" s="20" t="str">
        <f t="shared" si="76"/>
        <v/>
      </c>
      <c r="AO186" s="20" t="str">
        <f t="shared" si="77"/>
        <v/>
      </c>
      <c r="AP186" s="20" t="str">
        <f t="shared" si="78"/>
        <v/>
      </c>
      <c r="AQ186" s="20" t="str">
        <f t="shared" si="79"/>
        <v/>
      </c>
      <c r="AR186" s="20" t="str">
        <f t="shared" si="80"/>
        <v/>
      </c>
      <c r="AS186" s="20" t="str">
        <f t="shared" si="81"/>
        <v/>
      </c>
      <c r="AT186" s="20" t="str">
        <f t="shared" si="82"/>
        <v/>
      </c>
      <c r="AU186" s="20" t="str">
        <f t="shared" si="83"/>
        <v/>
      </c>
      <c r="AV186" s="20" t="str">
        <f t="shared" si="84"/>
        <v/>
      </c>
      <c r="AW186" s="20" t="str">
        <f t="shared" si="85"/>
        <v/>
      </c>
      <c r="BD186" s="24"/>
      <c r="BE186" s="24"/>
      <c r="BF186" s="24"/>
      <c r="BG186" s="24"/>
      <c r="BH186" s="24"/>
      <c r="BI186" s="24"/>
      <c r="BJ186" s="42"/>
      <c r="BK186"/>
      <c r="BL186"/>
      <c r="BM186" s="75"/>
      <c r="BN186" s="75"/>
      <c r="BO186" s="24"/>
      <c r="BP186" s="24"/>
      <c r="BQ186" s="24"/>
      <c r="BR186" s="88"/>
      <c r="BS186" s="57"/>
      <c r="BT186" s="24"/>
      <c r="BU186" s="24"/>
      <c r="BV186" s="24"/>
      <c r="BW186" s="42"/>
      <c r="BY186" s="24"/>
      <c r="BZ186" s="24"/>
      <c r="CA186" s="42"/>
      <c r="CB186" s="24"/>
      <c r="CC186" s="24"/>
      <c r="CD186" s="24"/>
      <c r="CE186" s="90"/>
      <c r="CF186" s="24"/>
      <c r="CG186" s="24"/>
      <c r="CH186" s="24"/>
      <c r="CI186" s="89"/>
      <c r="CJ186" s="77"/>
      <c r="CK186" s="77"/>
      <c r="CL186" s="77"/>
      <c r="CM186" s="77"/>
      <c r="CN186" s="77"/>
      <c r="CO186" s="77"/>
    </row>
    <row r="187" spans="1:93" ht="16.5" x14ac:dyDescent="0.25">
      <c r="A187" s="97"/>
      <c r="B187" s="97"/>
      <c r="C187" s="97"/>
      <c r="D187" s="97"/>
      <c r="E187" s="97"/>
      <c r="F187" s="97"/>
      <c r="G187" s="98"/>
      <c r="H187" s="97"/>
      <c r="I187" s="97"/>
      <c r="J187" s="97"/>
      <c r="K187" s="97"/>
      <c r="L187" s="97"/>
      <c r="M187" s="97"/>
      <c r="N187" s="97"/>
      <c r="O187" s="97"/>
      <c r="P187" s="97"/>
      <c r="Q187" s="100"/>
      <c r="R187" s="101"/>
      <c r="S187" s="99"/>
      <c r="T187" s="99"/>
      <c r="U187" s="97"/>
      <c r="V187" s="20" t="str">
        <f t="shared" si="58"/>
        <v/>
      </c>
      <c r="W187" s="20" t="str">
        <f t="shared" si="59"/>
        <v/>
      </c>
      <c r="X187" s="20" t="str">
        <f t="shared" si="60"/>
        <v/>
      </c>
      <c r="Y187" s="20" t="str">
        <f t="shared" si="61"/>
        <v/>
      </c>
      <c r="Z187" s="20" t="str">
        <f t="shared" si="62"/>
        <v/>
      </c>
      <c r="AA187" s="20" t="str">
        <f t="shared" si="63"/>
        <v/>
      </c>
      <c r="AB187" s="20" t="str">
        <f t="shared" si="64"/>
        <v/>
      </c>
      <c r="AC187" s="20" t="str">
        <f t="shared" si="65"/>
        <v/>
      </c>
      <c r="AD187" s="20" t="str">
        <f t="shared" si="66"/>
        <v/>
      </c>
      <c r="AE187" s="20" t="str">
        <f t="shared" si="67"/>
        <v/>
      </c>
      <c r="AF187" s="20" t="str">
        <f t="shared" si="68"/>
        <v/>
      </c>
      <c r="AG187" s="20" t="str">
        <f t="shared" si="69"/>
        <v/>
      </c>
      <c r="AH187" s="20" t="str">
        <f t="shared" si="70"/>
        <v/>
      </c>
      <c r="AI187" s="20" t="str">
        <f t="shared" si="71"/>
        <v/>
      </c>
      <c r="AJ187" s="20" t="str">
        <f t="shared" si="72"/>
        <v/>
      </c>
      <c r="AK187" s="20" t="str">
        <f t="shared" si="73"/>
        <v/>
      </c>
      <c r="AL187" s="20" t="str">
        <f t="shared" si="74"/>
        <v/>
      </c>
      <c r="AM187" s="20" t="str">
        <f t="shared" si="75"/>
        <v/>
      </c>
      <c r="AN187" s="20" t="str">
        <f t="shared" si="76"/>
        <v/>
      </c>
      <c r="AO187" s="20" t="str">
        <f t="shared" si="77"/>
        <v/>
      </c>
      <c r="AP187" s="20" t="str">
        <f t="shared" si="78"/>
        <v/>
      </c>
      <c r="AQ187" s="20" t="str">
        <f t="shared" si="79"/>
        <v/>
      </c>
      <c r="AR187" s="20" t="str">
        <f t="shared" si="80"/>
        <v/>
      </c>
      <c r="AS187" s="20" t="str">
        <f t="shared" si="81"/>
        <v/>
      </c>
      <c r="AT187" s="20" t="str">
        <f t="shared" si="82"/>
        <v/>
      </c>
      <c r="AU187" s="20" t="str">
        <f t="shared" si="83"/>
        <v/>
      </c>
      <c r="AV187" s="20" t="str">
        <f t="shared" si="84"/>
        <v/>
      </c>
      <c r="AW187" s="20" t="str">
        <f t="shared" si="85"/>
        <v/>
      </c>
      <c r="BD187" s="24"/>
      <c r="BE187" s="24"/>
      <c r="BF187" s="24"/>
      <c r="BG187" s="24"/>
      <c r="BH187" s="24"/>
      <c r="BI187" s="24"/>
      <c r="BJ187" s="42"/>
      <c r="BK187"/>
      <c r="BL187"/>
      <c r="BM187" s="75"/>
      <c r="BN187" s="75"/>
      <c r="BO187" s="24"/>
      <c r="BP187" s="24"/>
      <c r="BQ187" s="24"/>
      <c r="BR187" s="88"/>
      <c r="BS187" s="57"/>
      <c r="BT187" s="24"/>
      <c r="BU187" s="24"/>
      <c r="BV187" s="24"/>
      <c r="BW187" s="42"/>
      <c r="BY187" s="24"/>
      <c r="BZ187" s="24"/>
      <c r="CA187" s="42"/>
      <c r="CB187" s="24"/>
      <c r="CC187" s="24"/>
      <c r="CD187" s="24"/>
      <c r="CE187" s="90"/>
      <c r="CF187" s="24"/>
      <c r="CG187" s="24"/>
      <c r="CH187" s="24"/>
      <c r="CI187" s="89"/>
      <c r="CJ187" s="77"/>
      <c r="CK187" s="77"/>
      <c r="CL187" s="77"/>
      <c r="CM187" s="77"/>
      <c r="CN187" s="77"/>
      <c r="CO187" s="77"/>
    </row>
    <row r="188" spans="1:93" ht="16.5" x14ac:dyDescent="0.25">
      <c r="A188" s="97"/>
      <c r="B188" s="97"/>
      <c r="C188" s="97"/>
      <c r="D188" s="97"/>
      <c r="E188" s="97"/>
      <c r="F188" s="97"/>
      <c r="G188" s="98"/>
      <c r="H188" s="97"/>
      <c r="I188" s="97"/>
      <c r="J188" s="97"/>
      <c r="K188" s="97"/>
      <c r="L188" s="97"/>
      <c r="M188" s="97"/>
      <c r="N188" s="97"/>
      <c r="O188" s="97"/>
      <c r="P188" s="97"/>
      <c r="Q188" s="100"/>
      <c r="R188" s="101"/>
      <c r="S188" s="99"/>
      <c r="T188" s="99"/>
      <c r="U188" s="97"/>
      <c r="V188" s="20" t="str">
        <f t="shared" si="58"/>
        <v/>
      </c>
      <c r="W188" s="20" t="str">
        <f t="shared" si="59"/>
        <v/>
      </c>
      <c r="X188" s="20" t="str">
        <f t="shared" si="60"/>
        <v/>
      </c>
      <c r="Y188" s="20" t="str">
        <f t="shared" si="61"/>
        <v/>
      </c>
      <c r="Z188" s="20" t="str">
        <f t="shared" si="62"/>
        <v/>
      </c>
      <c r="AA188" s="20" t="str">
        <f t="shared" si="63"/>
        <v/>
      </c>
      <c r="AB188" s="20" t="str">
        <f t="shared" si="64"/>
        <v/>
      </c>
      <c r="AC188" s="20" t="str">
        <f t="shared" si="65"/>
        <v/>
      </c>
      <c r="AD188" s="20" t="str">
        <f t="shared" si="66"/>
        <v/>
      </c>
      <c r="AE188" s="20" t="str">
        <f t="shared" si="67"/>
        <v/>
      </c>
      <c r="AF188" s="20" t="str">
        <f t="shared" si="68"/>
        <v/>
      </c>
      <c r="AG188" s="20" t="str">
        <f t="shared" si="69"/>
        <v/>
      </c>
      <c r="AH188" s="20" t="str">
        <f t="shared" si="70"/>
        <v/>
      </c>
      <c r="AI188" s="20" t="str">
        <f t="shared" si="71"/>
        <v/>
      </c>
      <c r="AJ188" s="20" t="str">
        <f t="shared" si="72"/>
        <v/>
      </c>
      <c r="AK188" s="20" t="str">
        <f t="shared" si="73"/>
        <v/>
      </c>
      <c r="AL188" s="20" t="str">
        <f t="shared" si="74"/>
        <v/>
      </c>
      <c r="AM188" s="20" t="str">
        <f t="shared" si="75"/>
        <v/>
      </c>
      <c r="AN188" s="20" t="str">
        <f t="shared" si="76"/>
        <v/>
      </c>
      <c r="AO188" s="20" t="str">
        <f t="shared" si="77"/>
        <v/>
      </c>
      <c r="AP188" s="20" t="str">
        <f t="shared" si="78"/>
        <v/>
      </c>
      <c r="AQ188" s="20" t="str">
        <f t="shared" si="79"/>
        <v/>
      </c>
      <c r="AR188" s="20" t="str">
        <f t="shared" si="80"/>
        <v/>
      </c>
      <c r="AS188" s="20" t="str">
        <f t="shared" si="81"/>
        <v/>
      </c>
      <c r="AT188" s="20" t="str">
        <f t="shared" si="82"/>
        <v/>
      </c>
      <c r="AU188" s="20" t="str">
        <f t="shared" si="83"/>
        <v/>
      </c>
      <c r="AV188" s="20" t="str">
        <f t="shared" si="84"/>
        <v/>
      </c>
      <c r="AW188" s="20" t="str">
        <f t="shared" si="85"/>
        <v/>
      </c>
      <c r="BD188" s="24"/>
      <c r="BE188" s="24"/>
      <c r="BF188" s="24"/>
      <c r="BG188" s="24"/>
      <c r="BH188" s="24"/>
      <c r="BI188" s="24"/>
      <c r="BJ188" s="42"/>
      <c r="BL188" s="75"/>
      <c r="BM188" s="75"/>
      <c r="BN188" s="75"/>
      <c r="BO188" s="24"/>
      <c r="BP188" s="24"/>
      <c r="BQ188" s="24"/>
      <c r="BR188" s="24"/>
      <c r="BS188" s="57"/>
      <c r="BT188" s="57"/>
      <c r="BU188" s="24"/>
      <c r="BV188" s="24"/>
      <c r="BW188" s="42"/>
      <c r="BY188" s="24"/>
      <c r="BZ188" s="24"/>
      <c r="CA188" s="42"/>
      <c r="CB188" s="24"/>
      <c r="CC188" s="24"/>
      <c r="CD188" s="24"/>
      <c r="CE188" s="90"/>
      <c r="CF188" s="24"/>
      <c r="CG188" s="24"/>
      <c r="CH188" s="24"/>
      <c r="CI188" s="89"/>
      <c r="CJ188" s="77"/>
      <c r="CK188" s="77"/>
      <c r="CL188" s="77"/>
      <c r="CM188" s="77"/>
      <c r="CN188" s="77"/>
      <c r="CO188" s="77"/>
    </row>
    <row r="189" spans="1:93" ht="16.5" x14ac:dyDescent="0.25">
      <c r="A189" s="97"/>
      <c r="B189" s="97"/>
      <c r="C189" s="97"/>
      <c r="D189" s="97"/>
      <c r="E189" s="97"/>
      <c r="F189" s="97"/>
      <c r="G189" s="98"/>
      <c r="H189" s="97"/>
      <c r="I189" s="97"/>
      <c r="J189" s="97"/>
      <c r="K189" s="97"/>
      <c r="L189" s="97"/>
      <c r="M189" s="97"/>
      <c r="N189" s="97"/>
      <c r="O189" s="97"/>
      <c r="P189" s="97"/>
      <c r="Q189" s="100"/>
      <c r="R189" s="101"/>
      <c r="S189" s="99"/>
      <c r="T189" s="99"/>
      <c r="U189" s="97"/>
      <c r="V189" s="20" t="str">
        <f t="shared" si="58"/>
        <v/>
      </c>
      <c r="W189" s="20" t="str">
        <f t="shared" si="59"/>
        <v/>
      </c>
      <c r="X189" s="20" t="str">
        <f t="shared" si="60"/>
        <v/>
      </c>
      <c r="Y189" s="20" t="str">
        <f t="shared" si="61"/>
        <v/>
      </c>
      <c r="Z189" s="20" t="str">
        <f t="shared" si="62"/>
        <v/>
      </c>
      <c r="AA189" s="20" t="str">
        <f t="shared" si="63"/>
        <v/>
      </c>
      <c r="AB189" s="20" t="str">
        <f t="shared" si="64"/>
        <v/>
      </c>
      <c r="AC189" s="20" t="str">
        <f t="shared" si="65"/>
        <v/>
      </c>
      <c r="AD189" s="20" t="str">
        <f t="shared" si="66"/>
        <v/>
      </c>
      <c r="AE189" s="20" t="str">
        <f t="shared" si="67"/>
        <v/>
      </c>
      <c r="AF189" s="20" t="str">
        <f t="shared" si="68"/>
        <v/>
      </c>
      <c r="AG189" s="20" t="str">
        <f t="shared" si="69"/>
        <v/>
      </c>
      <c r="AH189" s="20" t="str">
        <f t="shared" si="70"/>
        <v/>
      </c>
      <c r="AI189" s="20" t="str">
        <f t="shared" si="71"/>
        <v/>
      </c>
      <c r="AJ189" s="20" t="str">
        <f t="shared" si="72"/>
        <v/>
      </c>
      <c r="AK189" s="20" t="str">
        <f t="shared" si="73"/>
        <v/>
      </c>
      <c r="AL189" s="20" t="str">
        <f t="shared" si="74"/>
        <v/>
      </c>
      <c r="AM189" s="20" t="str">
        <f t="shared" si="75"/>
        <v/>
      </c>
      <c r="AN189" s="20" t="str">
        <f t="shared" si="76"/>
        <v/>
      </c>
      <c r="AO189" s="20" t="str">
        <f t="shared" si="77"/>
        <v/>
      </c>
      <c r="AP189" s="20" t="str">
        <f t="shared" si="78"/>
        <v/>
      </c>
      <c r="AQ189" s="20" t="str">
        <f t="shared" si="79"/>
        <v/>
      </c>
      <c r="AR189" s="20" t="str">
        <f t="shared" si="80"/>
        <v/>
      </c>
      <c r="AS189" s="20" t="str">
        <f t="shared" si="81"/>
        <v/>
      </c>
      <c r="AT189" s="20" t="str">
        <f t="shared" si="82"/>
        <v/>
      </c>
      <c r="AU189" s="20" t="str">
        <f t="shared" si="83"/>
        <v/>
      </c>
      <c r="AV189" s="20" t="str">
        <f t="shared" si="84"/>
        <v/>
      </c>
      <c r="AW189" s="20" t="str">
        <f t="shared" si="85"/>
        <v/>
      </c>
      <c r="BD189" s="24"/>
      <c r="BE189" s="24"/>
      <c r="BF189" s="24"/>
      <c r="BG189" s="24"/>
      <c r="BH189" s="24"/>
      <c r="BI189" s="24"/>
      <c r="BJ189" s="42"/>
      <c r="BL189" s="75"/>
      <c r="BM189" s="75"/>
      <c r="BN189" s="75"/>
      <c r="BO189" s="24"/>
      <c r="BP189" s="24"/>
      <c r="BQ189" s="24"/>
      <c r="BR189" s="24"/>
      <c r="BS189" s="24"/>
      <c r="BT189" s="24"/>
      <c r="BU189" s="24"/>
      <c r="BV189" s="24"/>
      <c r="BW189" s="42"/>
      <c r="BY189" s="24"/>
      <c r="BZ189" s="24"/>
      <c r="CA189" s="42"/>
      <c r="CB189" s="24"/>
      <c r="CC189" s="24"/>
      <c r="CD189" s="24"/>
      <c r="CE189" s="90"/>
      <c r="CF189" s="24"/>
      <c r="CG189" s="24"/>
      <c r="CH189" s="24"/>
      <c r="CI189" s="89"/>
      <c r="CJ189" s="77"/>
      <c r="CK189" s="77"/>
      <c r="CL189" s="77"/>
      <c r="CM189" s="77"/>
      <c r="CN189" s="77"/>
      <c r="CO189" s="77"/>
    </row>
    <row r="190" spans="1:93" ht="16.5" x14ac:dyDescent="0.25">
      <c r="A190" s="97"/>
      <c r="B190" s="97"/>
      <c r="C190" s="97"/>
      <c r="D190" s="97"/>
      <c r="E190" s="97"/>
      <c r="F190" s="97"/>
      <c r="G190" s="98"/>
      <c r="H190" s="97"/>
      <c r="I190" s="97"/>
      <c r="J190" s="97"/>
      <c r="K190" s="97"/>
      <c r="L190" s="97"/>
      <c r="M190" s="97"/>
      <c r="N190" s="97"/>
      <c r="O190" s="97"/>
      <c r="P190" s="97"/>
      <c r="Q190" s="100"/>
      <c r="R190" s="101"/>
      <c r="S190" s="99"/>
      <c r="T190" s="99"/>
      <c r="U190" s="97"/>
      <c r="V190" s="20" t="str">
        <f t="shared" si="58"/>
        <v/>
      </c>
      <c r="W190" s="20" t="str">
        <f t="shared" si="59"/>
        <v/>
      </c>
      <c r="X190" s="20" t="str">
        <f t="shared" si="60"/>
        <v/>
      </c>
      <c r="Y190" s="20" t="str">
        <f t="shared" si="61"/>
        <v/>
      </c>
      <c r="Z190" s="20" t="str">
        <f t="shared" si="62"/>
        <v/>
      </c>
      <c r="AA190" s="20" t="str">
        <f t="shared" si="63"/>
        <v/>
      </c>
      <c r="AB190" s="20" t="str">
        <f t="shared" si="64"/>
        <v/>
      </c>
      <c r="AC190" s="20" t="str">
        <f t="shared" si="65"/>
        <v/>
      </c>
      <c r="AD190" s="20" t="str">
        <f t="shared" si="66"/>
        <v/>
      </c>
      <c r="AE190" s="20" t="str">
        <f t="shared" si="67"/>
        <v/>
      </c>
      <c r="AF190" s="20" t="str">
        <f t="shared" si="68"/>
        <v/>
      </c>
      <c r="AG190" s="20" t="str">
        <f t="shared" si="69"/>
        <v/>
      </c>
      <c r="AH190" s="20" t="str">
        <f t="shared" si="70"/>
        <v/>
      </c>
      <c r="AI190" s="20" t="str">
        <f t="shared" si="71"/>
        <v/>
      </c>
      <c r="AJ190" s="20" t="str">
        <f t="shared" si="72"/>
        <v/>
      </c>
      <c r="AK190" s="20" t="str">
        <f t="shared" si="73"/>
        <v/>
      </c>
      <c r="AL190" s="20" t="str">
        <f t="shared" si="74"/>
        <v/>
      </c>
      <c r="AM190" s="20" t="str">
        <f t="shared" si="75"/>
        <v/>
      </c>
      <c r="AN190" s="20" t="str">
        <f t="shared" si="76"/>
        <v/>
      </c>
      <c r="AO190" s="20" t="str">
        <f t="shared" si="77"/>
        <v/>
      </c>
      <c r="AP190" s="20" t="str">
        <f t="shared" si="78"/>
        <v/>
      </c>
      <c r="AQ190" s="20" t="str">
        <f t="shared" si="79"/>
        <v/>
      </c>
      <c r="AR190" s="20" t="str">
        <f t="shared" si="80"/>
        <v/>
      </c>
      <c r="AS190" s="20" t="str">
        <f t="shared" si="81"/>
        <v/>
      </c>
      <c r="AT190" s="20" t="str">
        <f t="shared" si="82"/>
        <v/>
      </c>
      <c r="AU190" s="20" t="str">
        <f t="shared" si="83"/>
        <v/>
      </c>
      <c r="AV190" s="20" t="str">
        <f t="shared" si="84"/>
        <v/>
      </c>
      <c r="AW190" s="20" t="str">
        <f t="shared" si="85"/>
        <v/>
      </c>
      <c r="BD190" s="24"/>
      <c r="BE190" s="24"/>
      <c r="BF190" s="24"/>
      <c r="BG190" s="24"/>
      <c r="BH190" s="24"/>
      <c r="BI190" s="24"/>
      <c r="BJ190" s="42"/>
      <c r="BL190" s="75"/>
      <c r="BM190" s="75"/>
      <c r="BN190" s="75"/>
      <c r="BO190" s="24"/>
      <c r="BP190" s="24"/>
      <c r="BQ190" s="24"/>
      <c r="BR190" s="24"/>
      <c r="BS190" s="24"/>
      <c r="BT190" s="24"/>
      <c r="BU190" s="24"/>
      <c r="BV190" s="24"/>
      <c r="BW190" s="42"/>
      <c r="BY190" s="24"/>
      <c r="BZ190" s="24"/>
      <c r="CA190" s="42"/>
      <c r="CB190" s="24"/>
      <c r="CC190" s="24"/>
      <c r="CD190" s="24"/>
      <c r="CE190" s="90"/>
      <c r="CF190" s="24"/>
      <c r="CG190" s="24"/>
      <c r="CH190" s="24"/>
      <c r="CI190" s="89"/>
      <c r="CJ190" s="77"/>
      <c r="CK190" s="77"/>
      <c r="CL190" s="77"/>
      <c r="CM190" s="77"/>
      <c r="CN190" s="77"/>
      <c r="CO190" s="77"/>
    </row>
    <row r="191" spans="1:93" ht="16.5" x14ac:dyDescent="0.25">
      <c r="A191" s="97"/>
      <c r="B191" s="97"/>
      <c r="C191" s="97"/>
      <c r="D191" s="97"/>
      <c r="E191" s="97"/>
      <c r="F191" s="97"/>
      <c r="G191" s="98"/>
      <c r="H191" s="97"/>
      <c r="I191" s="97"/>
      <c r="J191" s="97"/>
      <c r="K191" s="97"/>
      <c r="L191" s="97"/>
      <c r="M191" s="97"/>
      <c r="N191" s="97"/>
      <c r="O191" s="97"/>
      <c r="P191" s="97"/>
      <c r="Q191" s="100"/>
      <c r="R191" s="101"/>
      <c r="S191" s="99"/>
      <c r="T191" s="99"/>
      <c r="U191" s="97"/>
      <c r="V191" s="20" t="str">
        <f t="shared" si="58"/>
        <v/>
      </c>
      <c r="W191" s="20" t="str">
        <f t="shared" si="59"/>
        <v/>
      </c>
      <c r="X191" s="20" t="str">
        <f t="shared" si="60"/>
        <v/>
      </c>
      <c r="Y191" s="20" t="str">
        <f t="shared" si="61"/>
        <v/>
      </c>
      <c r="Z191" s="20" t="str">
        <f t="shared" si="62"/>
        <v/>
      </c>
      <c r="AA191" s="20" t="str">
        <f t="shared" si="63"/>
        <v/>
      </c>
      <c r="AB191" s="20" t="str">
        <f t="shared" si="64"/>
        <v/>
      </c>
      <c r="AC191" s="20" t="str">
        <f t="shared" si="65"/>
        <v/>
      </c>
      <c r="AD191" s="20" t="str">
        <f t="shared" si="66"/>
        <v/>
      </c>
      <c r="AE191" s="20" t="str">
        <f t="shared" si="67"/>
        <v/>
      </c>
      <c r="AF191" s="20" t="str">
        <f t="shared" si="68"/>
        <v/>
      </c>
      <c r="AG191" s="20" t="str">
        <f t="shared" si="69"/>
        <v/>
      </c>
      <c r="AH191" s="20" t="str">
        <f t="shared" si="70"/>
        <v/>
      </c>
      <c r="AI191" s="20" t="str">
        <f t="shared" si="71"/>
        <v/>
      </c>
      <c r="AJ191" s="20" t="str">
        <f t="shared" si="72"/>
        <v/>
      </c>
      <c r="AK191" s="20" t="str">
        <f t="shared" si="73"/>
        <v/>
      </c>
      <c r="AL191" s="20" t="str">
        <f t="shared" si="74"/>
        <v/>
      </c>
      <c r="AM191" s="20" t="str">
        <f t="shared" si="75"/>
        <v/>
      </c>
      <c r="AN191" s="20" t="str">
        <f t="shared" si="76"/>
        <v/>
      </c>
      <c r="AO191" s="20" t="str">
        <f t="shared" si="77"/>
        <v/>
      </c>
      <c r="AP191" s="20" t="str">
        <f t="shared" si="78"/>
        <v/>
      </c>
      <c r="AQ191" s="20" t="str">
        <f t="shared" si="79"/>
        <v/>
      </c>
      <c r="AR191" s="20" t="str">
        <f t="shared" si="80"/>
        <v/>
      </c>
      <c r="AS191" s="20" t="str">
        <f t="shared" si="81"/>
        <v/>
      </c>
      <c r="AT191" s="20" t="str">
        <f t="shared" si="82"/>
        <v/>
      </c>
      <c r="AU191" s="20" t="str">
        <f t="shared" si="83"/>
        <v/>
      </c>
      <c r="AV191" s="20" t="str">
        <f t="shared" si="84"/>
        <v/>
      </c>
      <c r="AW191" s="20" t="str">
        <f t="shared" si="85"/>
        <v/>
      </c>
      <c r="BD191" s="24"/>
      <c r="BE191" s="24"/>
      <c r="BF191" s="24"/>
      <c r="BG191" s="24"/>
      <c r="BH191" s="24"/>
      <c r="BI191" s="24"/>
      <c r="BJ191" s="42"/>
      <c r="BL191" s="75"/>
      <c r="BM191" s="75"/>
      <c r="BN191" s="75"/>
      <c r="BO191" s="24"/>
      <c r="BP191" s="24"/>
      <c r="BQ191" s="24"/>
      <c r="BR191" s="24"/>
      <c r="BS191" s="24"/>
      <c r="BT191" s="24"/>
      <c r="BU191" s="24"/>
      <c r="BV191" s="24"/>
      <c r="BW191" s="42"/>
      <c r="BY191" s="24"/>
      <c r="BZ191" s="24"/>
      <c r="CA191" s="42"/>
      <c r="CB191" s="24"/>
      <c r="CC191" s="24"/>
      <c r="CD191" s="24"/>
      <c r="CE191" s="90"/>
      <c r="CF191" s="24"/>
      <c r="CG191" s="24"/>
      <c r="CH191" s="24"/>
      <c r="CI191" s="89"/>
      <c r="CJ191" s="77"/>
      <c r="CK191" s="77"/>
      <c r="CL191" s="77"/>
      <c r="CM191" s="77"/>
      <c r="CN191" s="77"/>
      <c r="CO191" s="77"/>
    </row>
    <row r="192" spans="1:93" ht="16.5" x14ac:dyDescent="0.25">
      <c r="A192" s="97"/>
      <c r="B192" s="97"/>
      <c r="C192" s="97"/>
      <c r="D192" s="97"/>
      <c r="E192" s="97"/>
      <c r="F192" s="97"/>
      <c r="G192" s="98"/>
      <c r="H192" s="97"/>
      <c r="I192" s="97"/>
      <c r="J192" s="97"/>
      <c r="K192" s="97"/>
      <c r="L192" s="97"/>
      <c r="M192" s="97"/>
      <c r="N192" s="97"/>
      <c r="O192" s="97"/>
      <c r="P192" s="97"/>
      <c r="Q192" s="100"/>
      <c r="R192" s="101"/>
      <c r="S192" s="99"/>
      <c r="T192" s="99"/>
      <c r="U192" s="97"/>
      <c r="V192" s="20" t="str">
        <f t="shared" si="58"/>
        <v/>
      </c>
      <c r="W192" s="20" t="str">
        <f t="shared" si="59"/>
        <v/>
      </c>
      <c r="X192" s="20" t="str">
        <f t="shared" si="60"/>
        <v/>
      </c>
      <c r="Y192" s="20" t="str">
        <f t="shared" si="61"/>
        <v/>
      </c>
      <c r="Z192" s="20" t="str">
        <f t="shared" si="62"/>
        <v/>
      </c>
      <c r="AA192" s="20" t="str">
        <f t="shared" si="63"/>
        <v/>
      </c>
      <c r="AB192" s="20" t="str">
        <f t="shared" si="64"/>
        <v/>
      </c>
      <c r="AC192" s="20" t="str">
        <f t="shared" si="65"/>
        <v/>
      </c>
      <c r="AD192" s="20" t="str">
        <f t="shared" si="66"/>
        <v/>
      </c>
      <c r="AE192" s="20" t="str">
        <f t="shared" si="67"/>
        <v/>
      </c>
      <c r="AF192" s="20" t="str">
        <f t="shared" si="68"/>
        <v/>
      </c>
      <c r="AG192" s="20" t="str">
        <f t="shared" si="69"/>
        <v/>
      </c>
      <c r="AH192" s="20" t="str">
        <f t="shared" si="70"/>
        <v/>
      </c>
      <c r="AI192" s="20" t="str">
        <f t="shared" si="71"/>
        <v/>
      </c>
      <c r="AJ192" s="20" t="str">
        <f t="shared" si="72"/>
        <v/>
      </c>
      <c r="AK192" s="20" t="str">
        <f t="shared" si="73"/>
        <v/>
      </c>
      <c r="AL192" s="20" t="str">
        <f t="shared" si="74"/>
        <v/>
      </c>
      <c r="AM192" s="20" t="str">
        <f t="shared" si="75"/>
        <v/>
      </c>
      <c r="AN192" s="20" t="str">
        <f t="shared" si="76"/>
        <v/>
      </c>
      <c r="AO192" s="20" t="str">
        <f t="shared" si="77"/>
        <v/>
      </c>
      <c r="AP192" s="20" t="str">
        <f t="shared" si="78"/>
        <v/>
      </c>
      <c r="AQ192" s="20" t="str">
        <f t="shared" si="79"/>
        <v/>
      </c>
      <c r="AR192" s="20" t="str">
        <f t="shared" si="80"/>
        <v/>
      </c>
      <c r="AS192" s="20" t="str">
        <f t="shared" si="81"/>
        <v/>
      </c>
      <c r="AT192" s="20" t="str">
        <f t="shared" si="82"/>
        <v/>
      </c>
      <c r="AU192" s="20" t="str">
        <f t="shared" si="83"/>
        <v/>
      </c>
      <c r="AV192" s="20" t="str">
        <f t="shared" si="84"/>
        <v/>
      </c>
      <c r="AW192" s="20" t="str">
        <f t="shared" si="85"/>
        <v/>
      </c>
      <c r="BD192" s="24"/>
      <c r="BE192" s="24"/>
      <c r="BF192" s="24"/>
      <c r="BG192" s="24"/>
      <c r="BH192" s="24"/>
      <c r="BI192" s="24"/>
      <c r="BJ192" s="42"/>
      <c r="BL192" s="75"/>
      <c r="BM192" s="75"/>
      <c r="BN192" s="75"/>
      <c r="BO192" s="24"/>
      <c r="BP192" s="24"/>
      <c r="BQ192" s="24"/>
      <c r="BR192" s="24"/>
      <c r="BS192" s="24"/>
      <c r="BT192" s="24"/>
      <c r="BU192" s="24"/>
      <c r="BV192" s="24"/>
      <c r="BW192" s="42"/>
      <c r="BY192" s="24"/>
      <c r="BZ192" s="24"/>
      <c r="CA192" s="42"/>
      <c r="CB192" s="24"/>
      <c r="CC192" s="24"/>
      <c r="CD192" s="24"/>
      <c r="CE192" s="90"/>
      <c r="CF192" s="24"/>
      <c r="CG192" s="24"/>
      <c r="CH192" s="24"/>
      <c r="CI192" s="89"/>
      <c r="CJ192" s="77"/>
      <c r="CK192" s="77"/>
      <c r="CL192" s="77"/>
      <c r="CM192" s="77"/>
      <c r="CN192" s="77"/>
      <c r="CO192" s="77"/>
    </row>
    <row r="193" spans="1:93" ht="16.5" x14ac:dyDescent="0.25">
      <c r="A193" s="97"/>
      <c r="B193" s="97"/>
      <c r="C193" s="97"/>
      <c r="D193" s="97"/>
      <c r="E193" s="97"/>
      <c r="F193" s="97"/>
      <c r="G193" s="98"/>
      <c r="H193" s="97"/>
      <c r="I193" s="97"/>
      <c r="J193" s="97"/>
      <c r="K193" s="97"/>
      <c r="L193" s="97"/>
      <c r="M193" s="97"/>
      <c r="N193" s="97"/>
      <c r="O193" s="97"/>
      <c r="P193" s="97"/>
      <c r="Q193" s="100"/>
      <c r="R193" s="101"/>
      <c r="S193" s="99"/>
      <c r="T193" s="99"/>
      <c r="U193" s="97"/>
      <c r="V193" s="20" t="str">
        <f t="shared" si="58"/>
        <v/>
      </c>
      <c r="W193" s="20" t="str">
        <f t="shared" si="59"/>
        <v/>
      </c>
      <c r="X193" s="20" t="str">
        <f t="shared" si="60"/>
        <v/>
      </c>
      <c r="Y193" s="20" t="str">
        <f t="shared" si="61"/>
        <v/>
      </c>
      <c r="Z193" s="20" t="str">
        <f t="shared" si="62"/>
        <v/>
      </c>
      <c r="AA193" s="20" t="str">
        <f t="shared" si="63"/>
        <v/>
      </c>
      <c r="AB193" s="20" t="str">
        <f t="shared" si="64"/>
        <v/>
      </c>
      <c r="AC193" s="20" t="str">
        <f t="shared" si="65"/>
        <v/>
      </c>
      <c r="AD193" s="20" t="str">
        <f t="shared" si="66"/>
        <v/>
      </c>
      <c r="AE193" s="20" t="str">
        <f t="shared" si="67"/>
        <v/>
      </c>
      <c r="AF193" s="20" t="str">
        <f t="shared" si="68"/>
        <v/>
      </c>
      <c r="AG193" s="20" t="str">
        <f t="shared" si="69"/>
        <v/>
      </c>
      <c r="AH193" s="20" t="str">
        <f t="shared" si="70"/>
        <v/>
      </c>
      <c r="AI193" s="20" t="str">
        <f t="shared" si="71"/>
        <v/>
      </c>
      <c r="AJ193" s="20" t="str">
        <f t="shared" si="72"/>
        <v/>
      </c>
      <c r="AK193" s="20" t="str">
        <f t="shared" si="73"/>
        <v/>
      </c>
      <c r="AL193" s="20" t="str">
        <f t="shared" si="74"/>
        <v/>
      </c>
      <c r="AM193" s="20" t="str">
        <f t="shared" si="75"/>
        <v/>
      </c>
      <c r="AN193" s="20" t="str">
        <f t="shared" si="76"/>
        <v/>
      </c>
      <c r="AO193" s="20" t="str">
        <f t="shared" si="77"/>
        <v/>
      </c>
      <c r="AP193" s="20" t="str">
        <f t="shared" si="78"/>
        <v/>
      </c>
      <c r="AQ193" s="20" t="str">
        <f t="shared" si="79"/>
        <v/>
      </c>
      <c r="AR193" s="20" t="str">
        <f t="shared" si="80"/>
        <v/>
      </c>
      <c r="AS193" s="20" t="str">
        <f t="shared" si="81"/>
        <v/>
      </c>
      <c r="AT193" s="20" t="str">
        <f t="shared" si="82"/>
        <v/>
      </c>
      <c r="AU193" s="20" t="str">
        <f t="shared" si="83"/>
        <v/>
      </c>
      <c r="AV193" s="20" t="str">
        <f t="shared" si="84"/>
        <v/>
      </c>
      <c r="AW193" s="20" t="str">
        <f t="shared" si="85"/>
        <v/>
      </c>
      <c r="BD193" s="24"/>
      <c r="BE193" s="24"/>
      <c r="BF193" s="24"/>
      <c r="BG193" s="24"/>
      <c r="BH193" s="24"/>
      <c r="BI193" s="24"/>
      <c r="BJ193" s="42"/>
      <c r="BL193" s="75"/>
      <c r="BM193" s="75"/>
      <c r="BN193" s="75"/>
      <c r="BO193" s="24"/>
      <c r="BP193" s="24"/>
      <c r="BQ193" s="24"/>
      <c r="BR193" s="75"/>
      <c r="BS193" s="57"/>
      <c r="BT193" s="24"/>
      <c r="BU193" s="24"/>
      <c r="BV193" s="24"/>
      <c r="BW193" s="42"/>
      <c r="BY193" s="24"/>
      <c r="BZ193" s="24"/>
      <c r="CA193" s="42"/>
      <c r="CB193" s="24"/>
      <c r="CC193" s="24"/>
      <c r="CD193" s="24"/>
      <c r="CE193" s="90"/>
      <c r="CF193" s="24"/>
      <c r="CG193" s="24"/>
      <c r="CH193" s="24"/>
      <c r="CI193" s="89"/>
      <c r="CJ193" s="77"/>
      <c r="CK193" s="77"/>
      <c r="CL193" s="77"/>
      <c r="CM193" s="77"/>
      <c r="CN193" s="77"/>
      <c r="CO193" s="24"/>
    </row>
    <row r="194" spans="1:93" ht="16.5" x14ac:dyDescent="0.25">
      <c r="A194" s="97"/>
      <c r="B194" s="97"/>
      <c r="C194" s="97"/>
      <c r="D194" s="97"/>
      <c r="E194" s="97"/>
      <c r="F194" s="97"/>
      <c r="G194" s="98"/>
      <c r="H194" s="97"/>
      <c r="I194" s="97"/>
      <c r="J194" s="97"/>
      <c r="K194" s="97"/>
      <c r="L194" s="97"/>
      <c r="M194" s="97"/>
      <c r="N194" s="97"/>
      <c r="O194" s="97"/>
      <c r="P194" s="97"/>
      <c r="Q194" s="100"/>
      <c r="R194" s="101"/>
      <c r="S194" s="99"/>
      <c r="T194" s="99"/>
      <c r="U194" s="97"/>
      <c r="V194" s="20" t="str">
        <f t="shared" si="58"/>
        <v/>
      </c>
      <c r="W194" s="20" t="str">
        <f t="shared" si="59"/>
        <v/>
      </c>
      <c r="X194" s="20" t="str">
        <f t="shared" si="60"/>
        <v/>
      </c>
      <c r="Y194" s="20" t="str">
        <f t="shared" si="61"/>
        <v/>
      </c>
      <c r="Z194" s="20" t="str">
        <f t="shared" si="62"/>
        <v/>
      </c>
      <c r="AA194" s="20" t="str">
        <f t="shared" si="63"/>
        <v/>
      </c>
      <c r="AB194" s="20" t="str">
        <f t="shared" si="64"/>
        <v/>
      </c>
      <c r="AC194" s="20" t="str">
        <f t="shared" si="65"/>
        <v/>
      </c>
      <c r="AD194" s="20" t="str">
        <f t="shared" si="66"/>
        <v/>
      </c>
      <c r="AE194" s="20" t="str">
        <f t="shared" si="67"/>
        <v/>
      </c>
      <c r="AF194" s="20" t="str">
        <f t="shared" si="68"/>
        <v/>
      </c>
      <c r="AG194" s="20" t="str">
        <f t="shared" si="69"/>
        <v/>
      </c>
      <c r="AH194" s="20" t="str">
        <f t="shared" si="70"/>
        <v/>
      </c>
      <c r="AI194" s="20" t="str">
        <f t="shared" si="71"/>
        <v/>
      </c>
      <c r="AJ194" s="20" t="str">
        <f t="shared" si="72"/>
        <v/>
      </c>
      <c r="AK194" s="20" t="str">
        <f t="shared" si="73"/>
        <v/>
      </c>
      <c r="AL194" s="20" t="str">
        <f t="shared" si="74"/>
        <v/>
      </c>
      <c r="AM194" s="20" t="str">
        <f t="shared" si="75"/>
        <v/>
      </c>
      <c r="AN194" s="20" t="str">
        <f t="shared" si="76"/>
        <v/>
      </c>
      <c r="AO194" s="20" t="str">
        <f t="shared" si="77"/>
        <v/>
      </c>
      <c r="AP194" s="20" t="str">
        <f t="shared" si="78"/>
        <v/>
      </c>
      <c r="AQ194" s="20" t="str">
        <f t="shared" si="79"/>
        <v/>
      </c>
      <c r="AR194" s="20" t="str">
        <f t="shared" si="80"/>
        <v/>
      </c>
      <c r="AS194" s="20" t="str">
        <f t="shared" si="81"/>
        <v/>
      </c>
      <c r="AT194" s="20" t="str">
        <f t="shared" si="82"/>
        <v/>
      </c>
      <c r="AU194" s="20" t="str">
        <f t="shared" si="83"/>
        <v/>
      </c>
      <c r="AV194" s="20" t="str">
        <f t="shared" si="84"/>
        <v/>
      </c>
      <c r="AW194" s="20" t="str">
        <f t="shared" si="85"/>
        <v/>
      </c>
      <c r="BD194" s="24"/>
      <c r="BE194" s="24"/>
      <c r="BF194" s="24"/>
      <c r="BG194" s="24"/>
      <c r="BH194" s="24"/>
      <c r="BI194" s="24"/>
      <c r="BJ194" s="42"/>
      <c r="BL194" s="75"/>
      <c r="BM194" s="75"/>
      <c r="BN194" s="75"/>
      <c r="BO194" s="24"/>
      <c r="BP194" s="24"/>
      <c r="BQ194" s="24"/>
      <c r="BR194" s="75"/>
      <c r="BS194" s="57"/>
      <c r="BT194" s="24"/>
      <c r="BU194" s="24"/>
      <c r="BV194" s="24"/>
      <c r="BW194" s="42"/>
      <c r="BY194" s="24"/>
      <c r="BZ194" s="24"/>
      <c r="CA194" s="42"/>
      <c r="CB194" s="24"/>
      <c r="CC194" s="24"/>
      <c r="CD194" s="24"/>
      <c r="CE194" s="90"/>
      <c r="CF194" s="24"/>
      <c r="CG194" s="24"/>
      <c r="CH194" s="24"/>
      <c r="CI194" s="89"/>
      <c r="CJ194" s="77"/>
      <c r="CK194" s="77"/>
      <c r="CL194" s="77"/>
      <c r="CM194" s="77"/>
      <c r="CN194" s="77"/>
      <c r="CO194" s="24"/>
    </row>
    <row r="195" spans="1:93" ht="16.5" x14ac:dyDescent="0.25">
      <c r="A195" s="97"/>
      <c r="B195" s="97"/>
      <c r="C195" s="97"/>
      <c r="D195" s="97"/>
      <c r="E195" s="97"/>
      <c r="F195" s="97"/>
      <c r="G195" s="98"/>
      <c r="H195" s="97"/>
      <c r="I195" s="97"/>
      <c r="J195" s="97"/>
      <c r="K195" s="97"/>
      <c r="L195" s="97"/>
      <c r="M195" s="97"/>
      <c r="N195" s="97"/>
      <c r="O195" s="97"/>
      <c r="P195" s="97"/>
      <c r="Q195" s="100"/>
      <c r="R195" s="101"/>
      <c r="S195" s="99"/>
      <c r="T195" s="99"/>
      <c r="U195" s="97"/>
      <c r="V195" s="20" t="str">
        <f t="shared" ref="V195:V251" si="89">IF(ISNA(VLOOKUP(J195&amp;H195&amp;I195&amp;L195&amp;K195,$BI:$CO,3,FALSE)),"",VLOOKUP(J195&amp;H195&amp;I195&amp;L195&amp;K195,$BI:$CO,3,FALSE))</f>
        <v/>
      </c>
      <c r="W195" s="20" t="str">
        <f t="shared" ref="W195:W251" si="90">IF(ISNA(VLOOKUP(J195&amp;H195&amp;I195&amp;L195&amp;K195,$BI:$CO,5,FALSE)),"",VLOOKUP(J195&amp;H195&amp;I195&amp;L195&amp;K195,$BI:$CO,5,FALSE))</f>
        <v/>
      </c>
      <c r="X195" s="20" t="str">
        <f t="shared" ref="X195:X251" si="91">IF(ISNA(VLOOKUP(J195&amp;H195&amp;I195&amp;L195&amp;K195,$BI:$CO,6,FALSE)),"",VLOOKUP(J195&amp;H195&amp;I195&amp;L195&amp;K195,$BI:$CO,6,FALSE))</f>
        <v/>
      </c>
      <c r="Y195" s="20" t="str">
        <f t="shared" ref="Y195:Y251" si="92">IF(ISNA(VLOOKUP(J195&amp;H195&amp;I195&amp;L195&amp;K195,$BI:$CO,10,FALSE)),"",VLOOKUP(J195&amp;H195&amp;I195&amp;L195&amp;K195,$BI:$CO,10,FALSE))</f>
        <v/>
      </c>
      <c r="Z195" s="20" t="str">
        <f t="shared" ref="Z195:Z251" si="93">IF(ISNA(VLOOKUP(J195&amp;H195&amp;I195&amp;L195&amp;K195,$BI:$CO,12,FALSE)),"",VLOOKUP(J195&amp;H195&amp;I195&amp;L195&amp;K195,$BI:$CO,12,FALSE))</f>
        <v/>
      </c>
      <c r="AA195" s="20" t="str">
        <f t="shared" ref="AA195:AA251" si="94">IF(ISNA(VLOOKUP(J195&amp;H195&amp;I195&amp;L195&amp;K195,$BI:$CO,7,FALSE)),"",VLOOKUP(J195&amp;H195&amp;I195&amp;L195&amp;K195,$BI:$CO,7,FALSE))</f>
        <v/>
      </c>
      <c r="AB195" s="20" t="str">
        <f t="shared" ref="AB195:AB251" si="95">IF(ISNA(VLOOKUP(J195&amp;H195&amp;I195&amp;L195&amp;K195,$BI:$CO,8,FALSE)),"",VLOOKUP(J195&amp;H195&amp;I195&amp;L195&amp;K195,$BI:$CO,8,FALSE))</f>
        <v/>
      </c>
      <c r="AC195" s="20" t="str">
        <f t="shared" ref="AC195:AC251" si="96">IF(ISNA(VLOOKUP(J195&amp;H195&amp;I195&amp;L195&amp;K195,$BI:$CO,9,FALSE)),"",VLOOKUP(J195&amp;H195&amp;I195&amp;L195&amp;K195,$BI:$CO,9,FALSE))</f>
        <v/>
      </c>
      <c r="AD195" s="20" t="str">
        <f t="shared" ref="AD195:AD251" si="97">IF(ISNA(VLOOKUP(J195&amp;H195&amp;I195&amp;L195&amp;K195,$BI:$CO,13,FALSE)),"",VLOOKUP(J195&amp;H195&amp;I195&amp;L195&amp;K195,$BI:$CO,13,FALSE))</f>
        <v/>
      </c>
      <c r="AE195" s="20" t="str">
        <f t="shared" ref="AE195:AE251" si="98">IF(ISNA(VLOOKUP(J195&amp;H195&amp;I195&amp;L195&amp;K195,$BI:$CO,11,FALSE)),"",VLOOKUP(J195&amp;H195&amp;I195&amp;L195&amp;K195,$BI:$CO,11,FALSE))</f>
        <v/>
      </c>
      <c r="AF195" s="20" t="str">
        <f t="shared" ref="AF195:AF251" si="99">IF(ISNA(VLOOKUP(J195&amp;H195&amp;I195&amp;L195&amp;K195,$BI:$CO,14,FALSE)),"",VLOOKUP(J195&amp;H195&amp;I195&amp;L195&amp;K195,$BI:$CO,14,FALSE))</f>
        <v/>
      </c>
      <c r="AG195" s="20" t="str">
        <f t="shared" ref="AG195:AG251" si="100">IF(ISNA(VLOOKUP(J195&amp;H195&amp;I195&amp;L195&amp;K195,$BI:$CO,16,FALSE)),"",VLOOKUP(J195&amp;H195&amp;I195&amp;L195&amp;K195,$BI:$CO,16,FALSE))</f>
        <v/>
      </c>
      <c r="AH195" s="20" t="str">
        <f t="shared" ref="AH195:AH251" si="101">IF(ISNA(VLOOKUP(J195&amp;H195&amp;I195&amp;L195&amp;K195,$BI:$CO,17,FALSE)),"",VLOOKUP(J195&amp;H195&amp;I195&amp;L195&amp;K195,$BI:$CO,17,FALSE))</f>
        <v/>
      </c>
      <c r="AI195" s="20" t="str">
        <f t="shared" ref="AI195:AI251" si="102">IF(ISNA(VLOOKUP(J195&amp;H195&amp;I195&amp;L195&amp;K195,$BI:$CO,18,FALSE)),"",VLOOKUP(J195&amp;H195&amp;I195&amp;L195&amp;K195,$BI:$CO,18,FALSE))</f>
        <v/>
      </c>
      <c r="AJ195" s="20" t="str">
        <f t="shared" ref="AJ195:AJ251" si="103">IF(ISNA(VLOOKUP(J195&amp;H195&amp;I195&amp;L195&amp;K195,$BI:$CO,20,FALSE)),"",VLOOKUP(J195&amp;H195&amp;I195&amp;L195&amp;K195,$BI:$CO,20,FALSE))</f>
        <v/>
      </c>
      <c r="AK195" s="20" t="str">
        <f t="shared" ref="AK195:AK251" si="104">IF(ISNA(VLOOKUP(J195&amp;H195&amp;I195&amp;L195&amp;K195,$BI:$CO,21,FALSE)),"",VLOOKUP(J195&amp;H195&amp;I195&amp;L195&amp;K195,$BI:$CO,21,FALSE))</f>
        <v/>
      </c>
      <c r="AL195" s="20" t="str">
        <f t="shared" ref="AL195:AL251" si="105">IF(ISNA(VLOOKUP(J195&amp;H195&amp;I195&amp;L195&amp;K195,$BI:$CO,22,FALSE)),"",VLOOKUP(J195&amp;H195&amp;I195&amp;L195&amp;K195,$BI:$CO,22,FALSE))</f>
        <v/>
      </c>
      <c r="AM195" s="20" t="str">
        <f t="shared" ref="AM195:AM251" si="106">IF(ISNA(VLOOKUP(J195&amp;H195&amp;I195&amp;L195&amp;K195,$BI:$CO,23,FALSE)),"",VLOOKUP(J195&amp;H195&amp;I195&amp;L195&amp;K195,$BI:$CO,23,FALSE))</f>
        <v/>
      </c>
      <c r="AN195" s="20" t="str">
        <f t="shared" ref="AN195:AN251" si="107">IF(ISNA(VLOOKUP(J195&amp;H195&amp;I195&amp;L195&amp;K195,$BI:$CO,24,FALSE)),"",VLOOKUP(J195&amp;H195&amp;I195&amp;L195&amp;K195,$BI:$CO,24,FALSE))</f>
        <v/>
      </c>
      <c r="AO195" s="20" t="str">
        <f t="shared" ref="AO195:AO251" si="108">IF(ISNA(VLOOKUP(J195&amp;H195&amp;I195&amp;L195&amp;K195,$BI:$CO,25,FALSE)),"",VLOOKUP(J195&amp;H195&amp;I195&amp;L195&amp;K195,$BI:$CO,25,FALSE))</f>
        <v/>
      </c>
      <c r="AP195" s="20" t="str">
        <f t="shared" ref="AP195:AP251" si="109">IF(ISNA(VLOOKUP(J195&amp;H195&amp;I195&amp;L195&amp;K195,$BI:$CO,26,FALSE)),"",VLOOKUP(J195&amp;H195&amp;I195&amp;L195&amp;K195,$BI:$CO,26,FALSE))</f>
        <v/>
      </c>
      <c r="AQ195" s="20" t="str">
        <f t="shared" ref="AQ195:AQ251" si="110">IF(ISNA(VLOOKUP(J195&amp;H195&amp;I195&amp;L195&amp;K195,$BI:$CO,28,FALSE)),"",VLOOKUP(J195&amp;H195&amp;I195&amp;L195&amp;K195,$BI:$CO,28,FALSE))</f>
        <v/>
      </c>
      <c r="AR195" s="20" t="str">
        <f t="shared" ref="AR195:AR251" si="111">IF(ISNA(VLOOKUP(J195&amp;H195&amp;I195&amp;L195&amp;K195,$BI:$CO,29,FALSE)),"",VLOOKUP(J195&amp;H195&amp;I195&amp;L195&amp;K195,$BI:$CO,29,FALSE))</f>
        <v/>
      </c>
      <c r="AS195" s="20" t="str">
        <f t="shared" ref="AS195:AS251" si="112">IF(ISNA(VLOOKUP(J195&amp;H195&amp;I195&amp;L195&amp;K195,$BI:$CO,30,FALSE)),"",VLOOKUP(J195&amp;H195&amp;I195&amp;L195&amp;K195,$BI:$CO,30,FALSE))</f>
        <v/>
      </c>
      <c r="AT195" s="20" t="str">
        <f t="shared" ref="AT195:AT251" si="113">IF(ISNA(VLOOKUP(J195&amp;H195&amp;I195&amp;L195&amp;K195,$BI:$CO,31,FALSE)),"",VLOOKUP(J195&amp;H195&amp;I195&amp;L195&amp;K195,$BI:$CO,31,FALSE))</f>
        <v/>
      </c>
      <c r="AU195" s="20" t="str">
        <f t="shared" ref="AU195:AU251" si="114">IF(ISNA(VLOOKUP(J195&amp;H195&amp;I195&amp;L195&amp;K195,$BI:$CO,32,FALSE)),"",VLOOKUP(J195&amp;H195&amp;I195&amp;L195&amp;K195,$BI:$CO,32,FALSE))</f>
        <v/>
      </c>
      <c r="AV195" s="20" t="str">
        <f t="shared" ref="AV195:AV251" si="115">IF(ISNA(VLOOKUP(J195&amp;H195&amp;I195&amp;L195&amp;K195,$BI:$CO,33,FALSE)),"",VLOOKUP(J195&amp;H195&amp;I195&amp;L195&amp;K195,$BI:$CO,33,FALSE))</f>
        <v/>
      </c>
      <c r="AW195" s="20" t="str">
        <f t="shared" ref="AW195:AW251" si="116">TRIM(N195)</f>
        <v/>
      </c>
      <c r="BD195" s="24"/>
      <c r="BE195" s="24"/>
      <c r="BF195" s="24"/>
      <c r="BG195" s="24"/>
      <c r="BH195" s="24"/>
      <c r="BI195" s="24"/>
      <c r="BJ195" s="42"/>
      <c r="BL195" s="75"/>
      <c r="BM195" s="75"/>
      <c r="BN195" s="75"/>
      <c r="BO195" s="24"/>
      <c r="BP195" s="24"/>
      <c r="BQ195" s="24"/>
      <c r="BR195" s="75"/>
      <c r="BS195" s="57"/>
      <c r="BT195" s="24"/>
      <c r="BU195" s="24"/>
      <c r="BV195" s="24"/>
      <c r="BW195" s="42"/>
      <c r="BY195" s="24"/>
      <c r="BZ195" s="24"/>
      <c r="CA195" s="42"/>
      <c r="CB195" s="24"/>
      <c r="CC195" s="24"/>
      <c r="CD195" s="24"/>
      <c r="CE195" s="90"/>
      <c r="CF195" s="24"/>
      <c r="CG195" s="24"/>
      <c r="CH195" s="24"/>
      <c r="CI195" s="89"/>
      <c r="CJ195" s="77"/>
      <c r="CK195" s="77"/>
      <c r="CL195" s="77"/>
      <c r="CM195" s="77"/>
      <c r="CN195" s="77"/>
      <c r="CO195" s="24"/>
    </row>
    <row r="196" spans="1:93" ht="16.5" x14ac:dyDescent="0.25">
      <c r="A196" s="97"/>
      <c r="B196" s="97"/>
      <c r="C196" s="97"/>
      <c r="D196" s="97"/>
      <c r="E196" s="97"/>
      <c r="F196" s="97"/>
      <c r="G196" s="98"/>
      <c r="H196" s="97"/>
      <c r="I196" s="97"/>
      <c r="J196" s="97"/>
      <c r="K196" s="97"/>
      <c r="L196" s="97"/>
      <c r="M196" s="97"/>
      <c r="N196" s="97"/>
      <c r="O196" s="97"/>
      <c r="P196" s="97"/>
      <c r="Q196" s="100"/>
      <c r="R196" s="101"/>
      <c r="S196" s="99"/>
      <c r="T196" s="99"/>
      <c r="U196" s="97"/>
      <c r="V196" s="20" t="str">
        <f t="shared" si="89"/>
        <v/>
      </c>
      <c r="W196" s="20" t="str">
        <f t="shared" si="90"/>
        <v/>
      </c>
      <c r="X196" s="20" t="str">
        <f t="shared" si="91"/>
        <v/>
      </c>
      <c r="Y196" s="20" t="str">
        <f t="shared" si="92"/>
        <v/>
      </c>
      <c r="Z196" s="20" t="str">
        <f t="shared" si="93"/>
        <v/>
      </c>
      <c r="AA196" s="20" t="str">
        <f t="shared" si="94"/>
        <v/>
      </c>
      <c r="AB196" s="20" t="str">
        <f t="shared" si="95"/>
        <v/>
      </c>
      <c r="AC196" s="20" t="str">
        <f t="shared" si="96"/>
        <v/>
      </c>
      <c r="AD196" s="20" t="str">
        <f t="shared" si="97"/>
        <v/>
      </c>
      <c r="AE196" s="20" t="str">
        <f t="shared" si="98"/>
        <v/>
      </c>
      <c r="AF196" s="20" t="str">
        <f t="shared" si="99"/>
        <v/>
      </c>
      <c r="AG196" s="20" t="str">
        <f t="shared" si="100"/>
        <v/>
      </c>
      <c r="AH196" s="20" t="str">
        <f t="shared" si="101"/>
        <v/>
      </c>
      <c r="AI196" s="20" t="str">
        <f t="shared" si="102"/>
        <v/>
      </c>
      <c r="AJ196" s="20" t="str">
        <f t="shared" si="103"/>
        <v/>
      </c>
      <c r="AK196" s="20" t="str">
        <f t="shared" si="104"/>
        <v/>
      </c>
      <c r="AL196" s="20" t="str">
        <f t="shared" si="105"/>
        <v/>
      </c>
      <c r="AM196" s="20" t="str">
        <f t="shared" si="106"/>
        <v/>
      </c>
      <c r="AN196" s="20" t="str">
        <f t="shared" si="107"/>
        <v/>
      </c>
      <c r="AO196" s="20" t="str">
        <f t="shared" si="108"/>
        <v/>
      </c>
      <c r="AP196" s="20" t="str">
        <f t="shared" si="109"/>
        <v/>
      </c>
      <c r="AQ196" s="20" t="str">
        <f t="shared" si="110"/>
        <v/>
      </c>
      <c r="AR196" s="20" t="str">
        <f t="shared" si="111"/>
        <v/>
      </c>
      <c r="AS196" s="20" t="str">
        <f t="shared" si="112"/>
        <v/>
      </c>
      <c r="AT196" s="20" t="str">
        <f t="shared" si="113"/>
        <v/>
      </c>
      <c r="AU196" s="20" t="str">
        <f t="shared" si="114"/>
        <v/>
      </c>
      <c r="AV196" s="20" t="str">
        <f t="shared" si="115"/>
        <v/>
      </c>
      <c r="AW196" s="20" t="str">
        <f t="shared" si="116"/>
        <v/>
      </c>
      <c r="BD196" s="24"/>
      <c r="BE196" s="24"/>
      <c r="BF196" s="24"/>
      <c r="BG196" s="24"/>
      <c r="BH196" s="24"/>
      <c r="BI196" s="24"/>
      <c r="BJ196" s="42"/>
      <c r="BL196" s="75"/>
      <c r="BM196" s="75"/>
      <c r="BN196" s="75"/>
      <c r="BO196" s="24"/>
      <c r="BP196" s="24"/>
      <c r="BQ196" s="24"/>
      <c r="BR196" s="75"/>
      <c r="BS196" s="57"/>
      <c r="BT196" s="24"/>
      <c r="BU196" s="24"/>
      <c r="BV196" s="24"/>
      <c r="BW196" s="42"/>
      <c r="BY196" s="24"/>
      <c r="BZ196" s="24"/>
      <c r="CA196" s="42"/>
      <c r="CB196" s="24"/>
      <c r="CC196" s="24"/>
      <c r="CD196" s="24"/>
      <c r="CE196" s="90"/>
      <c r="CF196" s="24"/>
      <c r="CG196" s="24"/>
      <c r="CH196" s="24"/>
      <c r="CI196" s="89"/>
      <c r="CJ196" s="77"/>
      <c r="CK196" s="77"/>
      <c r="CL196" s="77"/>
      <c r="CM196" s="77"/>
      <c r="CN196" s="77"/>
      <c r="CO196" s="24"/>
    </row>
    <row r="197" spans="1:93" ht="16.5" x14ac:dyDescent="0.25">
      <c r="A197" s="97"/>
      <c r="B197" s="97"/>
      <c r="C197" s="97"/>
      <c r="D197" s="97"/>
      <c r="E197" s="97"/>
      <c r="F197" s="97"/>
      <c r="G197" s="98"/>
      <c r="H197" s="97"/>
      <c r="I197" s="97"/>
      <c r="J197" s="97"/>
      <c r="K197" s="97"/>
      <c r="L197" s="97"/>
      <c r="M197" s="97"/>
      <c r="N197" s="97"/>
      <c r="O197" s="97"/>
      <c r="P197" s="97"/>
      <c r="Q197" s="100"/>
      <c r="R197" s="101"/>
      <c r="S197" s="99"/>
      <c r="T197" s="99"/>
      <c r="U197" s="97"/>
      <c r="V197" s="20" t="str">
        <f t="shared" si="89"/>
        <v/>
      </c>
      <c r="W197" s="20" t="str">
        <f t="shared" si="90"/>
        <v/>
      </c>
      <c r="X197" s="20" t="str">
        <f t="shared" si="91"/>
        <v/>
      </c>
      <c r="Y197" s="20" t="str">
        <f t="shared" si="92"/>
        <v/>
      </c>
      <c r="Z197" s="20" t="str">
        <f t="shared" si="93"/>
        <v/>
      </c>
      <c r="AA197" s="20" t="str">
        <f t="shared" si="94"/>
        <v/>
      </c>
      <c r="AB197" s="20" t="str">
        <f t="shared" si="95"/>
        <v/>
      </c>
      <c r="AC197" s="20" t="str">
        <f t="shared" si="96"/>
        <v/>
      </c>
      <c r="AD197" s="20" t="str">
        <f t="shared" si="97"/>
        <v/>
      </c>
      <c r="AE197" s="20" t="str">
        <f t="shared" si="98"/>
        <v/>
      </c>
      <c r="AF197" s="20" t="str">
        <f t="shared" si="99"/>
        <v/>
      </c>
      <c r="AG197" s="20" t="str">
        <f t="shared" si="100"/>
        <v/>
      </c>
      <c r="AH197" s="20" t="str">
        <f t="shared" si="101"/>
        <v/>
      </c>
      <c r="AI197" s="20" t="str">
        <f t="shared" si="102"/>
        <v/>
      </c>
      <c r="AJ197" s="20" t="str">
        <f t="shared" si="103"/>
        <v/>
      </c>
      <c r="AK197" s="20" t="str">
        <f t="shared" si="104"/>
        <v/>
      </c>
      <c r="AL197" s="20" t="str">
        <f t="shared" si="105"/>
        <v/>
      </c>
      <c r="AM197" s="20" t="str">
        <f t="shared" si="106"/>
        <v/>
      </c>
      <c r="AN197" s="20" t="str">
        <f t="shared" si="107"/>
        <v/>
      </c>
      <c r="AO197" s="20" t="str">
        <f t="shared" si="108"/>
        <v/>
      </c>
      <c r="AP197" s="20" t="str">
        <f t="shared" si="109"/>
        <v/>
      </c>
      <c r="AQ197" s="20" t="str">
        <f t="shared" si="110"/>
        <v/>
      </c>
      <c r="AR197" s="20" t="str">
        <f t="shared" si="111"/>
        <v/>
      </c>
      <c r="AS197" s="20" t="str">
        <f t="shared" si="112"/>
        <v/>
      </c>
      <c r="AT197" s="20" t="str">
        <f t="shared" si="113"/>
        <v/>
      </c>
      <c r="AU197" s="20" t="str">
        <f t="shared" si="114"/>
        <v/>
      </c>
      <c r="AV197" s="20" t="str">
        <f t="shared" si="115"/>
        <v/>
      </c>
      <c r="AW197" s="20" t="str">
        <f t="shared" si="116"/>
        <v/>
      </c>
      <c r="BD197" s="24"/>
      <c r="BE197" s="24"/>
      <c r="BF197" s="24"/>
      <c r="BG197" s="24"/>
      <c r="BH197" s="24"/>
      <c r="BI197" s="24"/>
      <c r="BJ197" s="42"/>
      <c r="BL197" s="75"/>
      <c r="BM197" s="75"/>
      <c r="BN197" s="75"/>
      <c r="BO197" s="24"/>
      <c r="BP197" s="24"/>
      <c r="BQ197" s="24"/>
      <c r="BR197" s="91"/>
      <c r="BS197" s="57"/>
      <c r="BT197" s="57"/>
      <c r="BU197" s="24"/>
      <c r="BV197" s="24"/>
      <c r="BW197" s="42"/>
      <c r="BY197" s="24"/>
      <c r="BZ197" s="24"/>
      <c r="CA197" s="42"/>
      <c r="CB197" s="24"/>
      <c r="CC197" s="24"/>
      <c r="CD197" s="24"/>
      <c r="CE197" s="90"/>
      <c r="CF197" s="24"/>
      <c r="CG197" s="24"/>
      <c r="CH197" s="24"/>
      <c r="CI197" s="24"/>
      <c r="CJ197" s="77"/>
      <c r="CK197" s="77"/>
      <c r="CL197" s="77"/>
      <c r="CM197" s="77"/>
      <c r="CN197" s="77"/>
      <c r="CO197" s="77"/>
    </row>
    <row r="198" spans="1:93" ht="16.5" x14ac:dyDescent="0.25">
      <c r="A198" s="97"/>
      <c r="B198" s="97"/>
      <c r="C198" s="97"/>
      <c r="D198" s="97"/>
      <c r="E198" s="97"/>
      <c r="F198" s="97"/>
      <c r="G198" s="98"/>
      <c r="H198" s="97"/>
      <c r="I198" s="97"/>
      <c r="J198" s="97"/>
      <c r="K198" s="97"/>
      <c r="L198" s="97"/>
      <c r="M198" s="97"/>
      <c r="N198" s="97"/>
      <c r="O198" s="97"/>
      <c r="P198" s="97"/>
      <c r="Q198" s="100"/>
      <c r="R198" s="101"/>
      <c r="S198" s="99"/>
      <c r="T198" s="99"/>
      <c r="U198" s="97"/>
      <c r="V198" s="20" t="str">
        <f t="shared" si="89"/>
        <v/>
      </c>
      <c r="W198" s="20" t="str">
        <f t="shared" si="90"/>
        <v/>
      </c>
      <c r="X198" s="20" t="str">
        <f t="shared" si="91"/>
        <v/>
      </c>
      <c r="Y198" s="20" t="str">
        <f t="shared" si="92"/>
        <v/>
      </c>
      <c r="Z198" s="20" t="str">
        <f t="shared" si="93"/>
        <v/>
      </c>
      <c r="AA198" s="20" t="str">
        <f t="shared" si="94"/>
        <v/>
      </c>
      <c r="AB198" s="20" t="str">
        <f t="shared" si="95"/>
        <v/>
      </c>
      <c r="AC198" s="20" t="str">
        <f t="shared" si="96"/>
        <v/>
      </c>
      <c r="AD198" s="20" t="str">
        <f t="shared" si="97"/>
        <v/>
      </c>
      <c r="AE198" s="20" t="str">
        <f t="shared" si="98"/>
        <v/>
      </c>
      <c r="AF198" s="20" t="str">
        <f t="shared" si="99"/>
        <v/>
      </c>
      <c r="AG198" s="20" t="str">
        <f t="shared" si="100"/>
        <v/>
      </c>
      <c r="AH198" s="20" t="str">
        <f t="shared" si="101"/>
        <v/>
      </c>
      <c r="AI198" s="20" t="str">
        <f t="shared" si="102"/>
        <v/>
      </c>
      <c r="AJ198" s="20" t="str">
        <f t="shared" si="103"/>
        <v/>
      </c>
      <c r="AK198" s="20" t="str">
        <f t="shared" si="104"/>
        <v/>
      </c>
      <c r="AL198" s="20" t="str">
        <f t="shared" si="105"/>
        <v/>
      </c>
      <c r="AM198" s="20" t="str">
        <f t="shared" si="106"/>
        <v/>
      </c>
      <c r="AN198" s="20" t="str">
        <f t="shared" si="107"/>
        <v/>
      </c>
      <c r="AO198" s="20" t="str">
        <f t="shared" si="108"/>
        <v/>
      </c>
      <c r="AP198" s="20" t="str">
        <f t="shared" si="109"/>
        <v/>
      </c>
      <c r="AQ198" s="20" t="str">
        <f t="shared" si="110"/>
        <v/>
      </c>
      <c r="AR198" s="20" t="str">
        <f t="shared" si="111"/>
        <v/>
      </c>
      <c r="AS198" s="20" t="str">
        <f t="shared" si="112"/>
        <v/>
      </c>
      <c r="AT198" s="20" t="str">
        <f t="shared" si="113"/>
        <v/>
      </c>
      <c r="AU198" s="20" t="str">
        <f t="shared" si="114"/>
        <v/>
      </c>
      <c r="AV198" s="20" t="str">
        <f t="shared" si="115"/>
        <v/>
      </c>
      <c r="AW198" s="20" t="str">
        <f t="shared" si="116"/>
        <v/>
      </c>
      <c r="BD198" s="24"/>
      <c r="BE198" s="24"/>
      <c r="BF198" s="24"/>
      <c r="BG198" s="24"/>
      <c r="BH198" s="24"/>
      <c r="BI198" s="24"/>
      <c r="BJ198" s="42"/>
      <c r="BL198" s="75"/>
      <c r="BM198" s="75"/>
      <c r="BN198" s="75"/>
      <c r="BO198" s="24"/>
      <c r="BP198" s="24"/>
      <c r="BQ198" s="24"/>
      <c r="BR198" s="91"/>
      <c r="BS198" s="57"/>
      <c r="BT198" s="57"/>
      <c r="BU198" s="24"/>
      <c r="BV198" s="24"/>
      <c r="BW198" s="42"/>
      <c r="BY198" s="24"/>
      <c r="BZ198" s="24"/>
      <c r="CA198" s="42"/>
      <c r="CB198" s="24"/>
      <c r="CC198" s="24"/>
      <c r="CD198" s="24"/>
      <c r="CE198" s="90"/>
      <c r="CF198" s="24"/>
      <c r="CG198" s="24"/>
      <c r="CH198" s="24"/>
      <c r="CI198" s="24"/>
      <c r="CJ198" s="77"/>
      <c r="CK198" s="77"/>
      <c r="CL198" s="77"/>
      <c r="CM198" s="77"/>
      <c r="CN198" s="77"/>
      <c r="CO198" s="77"/>
    </row>
    <row r="199" spans="1:93" ht="16.5" x14ac:dyDescent="0.25">
      <c r="A199" s="97"/>
      <c r="B199" s="97"/>
      <c r="C199" s="97"/>
      <c r="D199" s="97"/>
      <c r="E199" s="97"/>
      <c r="F199" s="97"/>
      <c r="G199" s="98"/>
      <c r="H199" s="97"/>
      <c r="I199" s="97"/>
      <c r="J199" s="97"/>
      <c r="K199" s="97"/>
      <c r="L199" s="97"/>
      <c r="M199" s="97"/>
      <c r="N199" s="97"/>
      <c r="O199" s="97"/>
      <c r="P199" s="97"/>
      <c r="Q199" s="100"/>
      <c r="R199" s="101"/>
      <c r="S199" s="99"/>
      <c r="T199" s="99"/>
      <c r="U199" s="97"/>
      <c r="V199" s="20" t="str">
        <f t="shared" si="89"/>
        <v/>
      </c>
      <c r="W199" s="20" t="str">
        <f t="shared" si="90"/>
        <v/>
      </c>
      <c r="X199" s="20" t="str">
        <f t="shared" si="91"/>
        <v/>
      </c>
      <c r="Y199" s="20" t="str">
        <f t="shared" si="92"/>
        <v/>
      </c>
      <c r="Z199" s="20" t="str">
        <f t="shared" si="93"/>
        <v/>
      </c>
      <c r="AA199" s="20" t="str">
        <f t="shared" si="94"/>
        <v/>
      </c>
      <c r="AB199" s="20" t="str">
        <f t="shared" si="95"/>
        <v/>
      </c>
      <c r="AC199" s="20" t="str">
        <f t="shared" si="96"/>
        <v/>
      </c>
      <c r="AD199" s="20" t="str">
        <f t="shared" si="97"/>
        <v/>
      </c>
      <c r="AE199" s="20" t="str">
        <f t="shared" si="98"/>
        <v/>
      </c>
      <c r="AF199" s="20" t="str">
        <f t="shared" si="99"/>
        <v/>
      </c>
      <c r="AG199" s="20" t="str">
        <f t="shared" si="100"/>
        <v/>
      </c>
      <c r="AH199" s="20" t="str">
        <f t="shared" si="101"/>
        <v/>
      </c>
      <c r="AI199" s="20" t="str">
        <f t="shared" si="102"/>
        <v/>
      </c>
      <c r="AJ199" s="20" t="str">
        <f t="shared" si="103"/>
        <v/>
      </c>
      <c r="AK199" s="20" t="str">
        <f t="shared" si="104"/>
        <v/>
      </c>
      <c r="AL199" s="20" t="str">
        <f t="shared" si="105"/>
        <v/>
      </c>
      <c r="AM199" s="20" t="str">
        <f t="shared" si="106"/>
        <v/>
      </c>
      <c r="AN199" s="20" t="str">
        <f t="shared" si="107"/>
        <v/>
      </c>
      <c r="AO199" s="20" t="str">
        <f t="shared" si="108"/>
        <v/>
      </c>
      <c r="AP199" s="20" t="str">
        <f t="shared" si="109"/>
        <v/>
      </c>
      <c r="AQ199" s="20" t="str">
        <f t="shared" si="110"/>
        <v/>
      </c>
      <c r="AR199" s="20" t="str">
        <f t="shared" si="111"/>
        <v/>
      </c>
      <c r="AS199" s="20" t="str">
        <f t="shared" si="112"/>
        <v/>
      </c>
      <c r="AT199" s="20" t="str">
        <f t="shared" si="113"/>
        <v/>
      </c>
      <c r="AU199" s="20" t="str">
        <f t="shared" si="114"/>
        <v/>
      </c>
      <c r="AV199" s="20" t="str">
        <f t="shared" si="115"/>
        <v/>
      </c>
      <c r="AW199" s="20" t="str">
        <f t="shared" si="116"/>
        <v/>
      </c>
      <c r="BD199" s="24"/>
      <c r="BE199" s="24"/>
      <c r="BF199" s="24"/>
      <c r="BG199" s="24"/>
      <c r="BH199" s="24"/>
      <c r="BI199" s="24"/>
      <c r="BJ199" s="42"/>
      <c r="BL199" s="75"/>
      <c r="BM199" s="75"/>
      <c r="BN199" s="75"/>
      <c r="BO199" s="24"/>
      <c r="BP199" s="24"/>
      <c r="BQ199" s="24"/>
      <c r="BR199" s="91"/>
      <c r="BS199" s="57"/>
      <c r="BT199" s="57"/>
      <c r="BU199" s="24"/>
      <c r="BV199" s="24"/>
      <c r="BW199" s="42"/>
      <c r="BY199" s="24"/>
      <c r="BZ199" s="24"/>
      <c r="CA199" s="42"/>
      <c r="CB199" s="24"/>
      <c r="CC199" s="24"/>
      <c r="CD199" s="24"/>
      <c r="CE199" s="90"/>
      <c r="CF199" s="24"/>
      <c r="CG199" s="24"/>
      <c r="CH199" s="24"/>
      <c r="CI199" s="24"/>
      <c r="CJ199" s="77"/>
      <c r="CK199" s="77"/>
      <c r="CL199" s="77"/>
      <c r="CM199" s="77"/>
      <c r="CN199" s="77"/>
      <c r="CO199" s="77"/>
    </row>
    <row r="200" spans="1:93" ht="16.5" x14ac:dyDescent="0.25">
      <c r="A200" s="97"/>
      <c r="B200" s="97"/>
      <c r="C200" s="97"/>
      <c r="D200" s="97"/>
      <c r="E200" s="97"/>
      <c r="F200" s="97"/>
      <c r="G200" s="98"/>
      <c r="H200" s="97"/>
      <c r="I200" s="97"/>
      <c r="J200" s="97"/>
      <c r="K200" s="97"/>
      <c r="L200" s="97"/>
      <c r="M200" s="97"/>
      <c r="N200" s="97"/>
      <c r="O200" s="97"/>
      <c r="P200" s="97"/>
      <c r="Q200" s="100"/>
      <c r="R200" s="101"/>
      <c r="S200" s="99"/>
      <c r="T200" s="99"/>
      <c r="U200" s="97"/>
      <c r="V200" s="20" t="str">
        <f t="shared" si="89"/>
        <v/>
      </c>
      <c r="W200" s="20" t="str">
        <f t="shared" si="90"/>
        <v/>
      </c>
      <c r="X200" s="20" t="str">
        <f t="shared" si="91"/>
        <v/>
      </c>
      <c r="Y200" s="20" t="str">
        <f t="shared" si="92"/>
        <v/>
      </c>
      <c r="Z200" s="20" t="str">
        <f t="shared" si="93"/>
        <v/>
      </c>
      <c r="AA200" s="20" t="str">
        <f t="shared" si="94"/>
        <v/>
      </c>
      <c r="AB200" s="20" t="str">
        <f t="shared" si="95"/>
        <v/>
      </c>
      <c r="AC200" s="20" t="str">
        <f t="shared" si="96"/>
        <v/>
      </c>
      <c r="AD200" s="20" t="str">
        <f t="shared" si="97"/>
        <v/>
      </c>
      <c r="AE200" s="20" t="str">
        <f t="shared" si="98"/>
        <v/>
      </c>
      <c r="AF200" s="20" t="str">
        <f t="shared" si="99"/>
        <v/>
      </c>
      <c r="AG200" s="20" t="str">
        <f t="shared" si="100"/>
        <v/>
      </c>
      <c r="AH200" s="20" t="str">
        <f t="shared" si="101"/>
        <v/>
      </c>
      <c r="AI200" s="20" t="str">
        <f t="shared" si="102"/>
        <v/>
      </c>
      <c r="AJ200" s="20" t="str">
        <f t="shared" si="103"/>
        <v/>
      </c>
      <c r="AK200" s="20" t="str">
        <f t="shared" si="104"/>
        <v/>
      </c>
      <c r="AL200" s="20" t="str">
        <f t="shared" si="105"/>
        <v/>
      </c>
      <c r="AM200" s="20" t="str">
        <f t="shared" si="106"/>
        <v/>
      </c>
      <c r="AN200" s="20" t="str">
        <f t="shared" si="107"/>
        <v/>
      </c>
      <c r="AO200" s="20" t="str">
        <f t="shared" si="108"/>
        <v/>
      </c>
      <c r="AP200" s="20" t="str">
        <f t="shared" si="109"/>
        <v/>
      </c>
      <c r="AQ200" s="20" t="str">
        <f t="shared" si="110"/>
        <v/>
      </c>
      <c r="AR200" s="20" t="str">
        <f t="shared" si="111"/>
        <v/>
      </c>
      <c r="AS200" s="20" t="str">
        <f t="shared" si="112"/>
        <v/>
      </c>
      <c r="AT200" s="20" t="str">
        <f t="shared" si="113"/>
        <v/>
      </c>
      <c r="AU200" s="20" t="str">
        <f t="shared" si="114"/>
        <v/>
      </c>
      <c r="AV200" s="20" t="str">
        <f t="shared" si="115"/>
        <v/>
      </c>
      <c r="AW200" s="20" t="str">
        <f t="shared" si="116"/>
        <v/>
      </c>
      <c r="BD200" s="24"/>
      <c r="BE200" s="24"/>
      <c r="BF200" s="24"/>
      <c r="BG200" s="24"/>
      <c r="BH200" s="24"/>
      <c r="BI200" s="24"/>
      <c r="BJ200" s="42"/>
      <c r="BL200" s="75"/>
      <c r="BM200" s="75"/>
      <c r="BN200" s="75"/>
      <c r="BO200" s="24"/>
      <c r="BP200" s="24"/>
      <c r="BQ200" s="24"/>
      <c r="BR200" s="91"/>
      <c r="BS200" s="57"/>
      <c r="BT200" s="57"/>
      <c r="BU200" s="24"/>
      <c r="BV200" s="24"/>
      <c r="BW200" s="42"/>
      <c r="BY200" s="24"/>
      <c r="BZ200" s="24"/>
      <c r="CA200" s="42"/>
      <c r="CB200" s="24"/>
      <c r="CC200" s="24"/>
      <c r="CD200" s="24"/>
      <c r="CE200" s="90"/>
      <c r="CF200" s="24"/>
      <c r="CG200" s="24"/>
      <c r="CH200" s="24"/>
      <c r="CI200" s="24"/>
      <c r="CJ200" s="77"/>
      <c r="CK200" s="77"/>
      <c r="CL200" s="77"/>
      <c r="CM200" s="77"/>
      <c r="CN200" s="77"/>
      <c r="CO200" s="77"/>
    </row>
    <row r="201" spans="1:93" ht="16.5" x14ac:dyDescent="0.25">
      <c r="A201" s="97"/>
      <c r="B201" s="97"/>
      <c r="C201" s="97"/>
      <c r="D201" s="97"/>
      <c r="E201" s="97"/>
      <c r="F201" s="97"/>
      <c r="G201" s="98"/>
      <c r="H201" s="97"/>
      <c r="I201" s="97"/>
      <c r="J201" s="97"/>
      <c r="K201" s="97"/>
      <c r="L201" s="97"/>
      <c r="M201" s="97"/>
      <c r="N201" s="97"/>
      <c r="O201" s="97"/>
      <c r="P201" s="97"/>
      <c r="Q201" s="100"/>
      <c r="R201" s="101"/>
      <c r="S201" s="99"/>
      <c r="T201" s="99"/>
      <c r="U201" s="97"/>
      <c r="V201" s="20" t="str">
        <f t="shared" si="89"/>
        <v/>
      </c>
      <c r="W201" s="20" t="str">
        <f t="shared" si="90"/>
        <v/>
      </c>
      <c r="X201" s="20" t="str">
        <f t="shared" si="91"/>
        <v/>
      </c>
      <c r="Y201" s="20" t="str">
        <f t="shared" si="92"/>
        <v/>
      </c>
      <c r="Z201" s="20" t="str">
        <f t="shared" si="93"/>
        <v/>
      </c>
      <c r="AA201" s="20" t="str">
        <f t="shared" si="94"/>
        <v/>
      </c>
      <c r="AB201" s="20" t="str">
        <f t="shared" si="95"/>
        <v/>
      </c>
      <c r="AC201" s="20" t="str">
        <f t="shared" si="96"/>
        <v/>
      </c>
      <c r="AD201" s="20" t="str">
        <f t="shared" si="97"/>
        <v/>
      </c>
      <c r="AE201" s="20" t="str">
        <f t="shared" si="98"/>
        <v/>
      </c>
      <c r="AF201" s="20" t="str">
        <f t="shared" si="99"/>
        <v/>
      </c>
      <c r="AG201" s="20" t="str">
        <f t="shared" si="100"/>
        <v/>
      </c>
      <c r="AH201" s="20" t="str">
        <f t="shared" si="101"/>
        <v/>
      </c>
      <c r="AI201" s="20" t="str">
        <f t="shared" si="102"/>
        <v/>
      </c>
      <c r="AJ201" s="20" t="str">
        <f t="shared" si="103"/>
        <v/>
      </c>
      <c r="AK201" s="20" t="str">
        <f t="shared" si="104"/>
        <v/>
      </c>
      <c r="AL201" s="20" t="str">
        <f t="shared" si="105"/>
        <v/>
      </c>
      <c r="AM201" s="20" t="str">
        <f t="shared" si="106"/>
        <v/>
      </c>
      <c r="AN201" s="20" t="str">
        <f t="shared" si="107"/>
        <v/>
      </c>
      <c r="AO201" s="20" t="str">
        <f t="shared" si="108"/>
        <v/>
      </c>
      <c r="AP201" s="20" t="str">
        <f t="shared" si="109"/>
        <v/>
      </c>
      <c r="AQ201" s="20" t="str">
        <f t="shared" si="110"/>
        <v/>
      </c>
      <c r="AR201" s="20" t="str">
        <f t="shared" si="111"/>
        <v/>
      </c>
      <c r="AS201" s="20" t="str">
        <f t="shared" si="112"/>
        <v/>
      </c>
      <c r="AT201" s="20" t="str">
        <f t="shared" si="113"/>
        <v/>
      </c>
      <c r="AU201" s="20" t="str">
        <f t="shared" si="114"/>
        <v/>
      </c>
      <c r="AV201" s="20" t="str">
        <f t="shared" si="115"/>
        <v/>
      </c>
      <c r="AW201" s="20" t="str">
        <f t="shared" si="116"/>
        <v/>
      </c>
      <c r="BD201" s="24"/>
      <c r="BE201" s="24"/>
      <c r="BF201" s="24"/>
      <c r="BG201" s="24"/>
      <c r="BH201" s="24"/>
      <c r="BI201" s="24"/>
      <c r="BJ201" s="42"/>
      <c r="BL201" s="75"/>
      <c r="BM201" s="75"/>
      <c r="BN201" s="75"/>
      <c r="BO201" s="24"/>
      <c r="BP201" s="24"/>
      <c r="BQ201" s="24"/>
      <c r="BR201" s="24"/>
      <c r="BS201" s="57"/>
      <c r="BT201" s="57"/>
      <c r="BU201" s="24"/>
      <c r="BV201" s="24"/>
      <c r="BW201" s="42"/>
      <c r="BY201" s="24"/>
      <c r="BZ201" s="24"/>
      <c r="CA201" s="42"/>
      <c r="CB201" s="24"/>
      <c r="CC201" s="24"/>
      <c r="CD201" s="24"/>
      <c r="CE201" s="90"/>
      <c r="CF201" s="24"/>
      <c r="CG201" s="24"/>
      <c r="CH201" s="24"/>
      <c r="CI201" s="24"/>
      <c r="CJ201" s="77"/>
      <c r="CK201" s="77"/>
      <c r="CL201" s="77"/>
      <c r="CM201" s="77"/>
      <c r="CN201" s="77"/>
      <c r="CO201" s="77"/>
    </row>
    <row r="202" spans="1:93" ht="16.5" x14ac:dyDescent="0.25">
      <c r="A202" s="97"/>
      <c r="B202" s="97"/>
      <c r="C202" s="97"/>
      <c r="D202" s="97"/>
      <c r="E202" s="97"/>
      <c r="F202" s="97"/>
      <c r="G202" s="98"/>
      <c r="H202" s="97"/>
      <c r="I202" s="97"/>
      <c r="J202" s="97"/>
      <c r="K202" s="97"/>
      <c r="L202" s="97"/>
      <c r="M202" s="97"/>
      <c r="N202" s="97"/>
      <c r="O202" s="97"/>
      <c r="P202" s="97"/>
      <c r="Q202" s="100"/>
      <c r="R202" s="101"/>
      <c r="S202" s="99"/>
      <c r="T202" s="99"/>
      <c r="U202" s="97"/>
      <c r="V202" s="20" t="str">
        <f t="shared" si="89"/>
        <v/>
      </c>
      <c r="W202" s="20" t="str">
        <f t="shared" si="90"/>
        <v/>
      </c>
      <c r="X202" s="20" t="str">
        <f t="shared" si="91"/>
        <v/>
      </c>
      <c r="Y202" s="20" t="str">
        <f t="shared" si="92"/>
        <v/>
      </c>
      <c r="Z202" s="20" t="str">
        <f t="shared" si="93"/>
        <v/>
      </c>
      <c r="AA202" s="20" t="str">
        <f t="shared" si="94"/>
        <v/>
      </c>
      <c r="AB202" s="20" t="str">
        <f t="shared" si="95"/>
        <v/>
      </c>
      <c r="AC202" s="20" t="str">
        <f t="shared" si="96"/>
        <v/>
      </c>
      <c r="AD202" s="20" t="str">
        <f t="shared" si="97"/>
        <v/>
      </c>
      <c r="AE202" s="20" t="str">
        <f t="shared" si="98"/>
        <v/>
      </c>
      <c r="AF202" s="20" t="str">
        <f t="shared" si="99"/>
        <v/>
      </c>
      <c r="AG202" s="20" t="str">
        <f t="shared" si="100"/>
        <v/>
      </c>
      <c r="AH202" s="20" t="str">
        <f t="shared" si="101"/>
        <v/>
      </c>
      <c r="AI202" s="20" t="str">
        <f t="shared" si="102"/>
        <v/>
      </c>
      <c r="AJ202" s="20" t="str">
        <f t="shared" si="103"/>
        <v/>
      </c>
      <c r="AK202" s="20" t="str">
        <f t="shared" si="104"/>
        <v/>
      </c>
      <c r="AL202" s="20" t="str">
        <f t="shared" si="105"/>
        <v/>
      </c>
      <c r="AM202" s="20" t="str">
        <f t="shared" si="106"/>
        <v/>
      </c>
      <c r="AN202" s="20" t="str">
        <f t="shared" si="107"/>
        <v/>
      </c>
      <c r="AO202" s="20" t="str">
        <f t="shared" si="108"/>
        <v/>
      </c>
      <c r="AP202" s="20" t="str">
        <f t="shared" si="109"/>
        <v/>
      </c>
      <c r="AQ202" s="20" t="str">
        <f t="shared" si="110"/>
        <v/>
      </c>
      <c r="AR202" s="20" t="str">
        <f t="shared" si="111"/>
        <v/>
      </c>
      <c r="AS202" s="20" t="str">
        <f t="shared" si="112"/>
        <v/>
      </c>
      <c r="AT202" s="20" t="str">
        <f t="shared" si="113"/>
        <v/>
      </c>
      <c r="AU202" s="20" t="str">
        <f t="shared" si="114"/>
        <v/>
      </c>
      <c r="AV202" s="20" t="str">
        <f t="shared" si="115"/>
        <v/>
      </c>
      <c r="AW202" s="20" t="str">
        <f t="shared" si="116"/>
        <v/>
      </c>
      <c r="BD202" s="24"/>
      <c r="BE202" s="24"/>
      <c r="BF202" s="24"/>
      <c r="BG202" s="24"/>
      <c r="BH202" s="24"/>
      <c r="BI202" s="24"/>
      <c r="BJ202" s="42"/>
      <c r="BK202" s="92"/>
      <c r="BL202" s="92"/>
      <c r="BM202" s="75"/>
      <c r="BN202" s="75"/>
      <c r="BO202" s="24"/>
      <c r="BP202" s="24"/>
      <c r="BQ202" s="24"/>
      <c r="BR202" s="88"/>
      <c r="BS202" s="57"/>
      <c r="BT202" s="24"/>
      <c r="BU202" s="24"/>
      <c r="BV202" s="24"/>
      <c r="BW202" s="42"/>
      <c r="BY202" s="24"/>
      <c r="BZ202" s="24"/>
      <c r="CA202" s="42"/>
      <c r="CB202" s="24"/>
      <c r="CC202" s="24"/>
      <c r="CD202" s="24"/>
      <c r="CE202" s="90"/>
      <c r="CF202" s="24"/>
      <c r="CG202" s="24"/>
      <c r="CH202" s="24"/>
      <c r="CI202" s="24"/>
      <c r="CJ202" s="77"/>
      <c r="CK202" s="77"/>
      <c r="CL202" s="77"/>
      <c r="CM202" s="77"/>
      <c r="CN202" s="77"/>
      <c r="CO202" s="77"/>
    </row>
    <row r="203" spans="1:93" ht="16.5" x14ac:dyDescent="0.25">
      <c r="A203" s="97"/>
      <c r="B203" s="97"/>
      <c r="C203" s="97"/>
      <c r="D203" s="97"/>
      <c r="E203" s="97"/>
      <c r="F203" s="97"/>
      <c r="G203" s="98"/>
      <c r="H203" s="97"/>
      <c r="I203" s="97"/>
      <c r="J203" s="97"/>
      <c r="K203" s="97"/>
      <c r="L203" s="97"/>
      <c r="M203" s="97"/>
      <c r="N203" s="97"/>
      <c r="O203" s="97"/>
      <c r="P203" s="97"/>
      <c r="Q203" s="100"/>
      <c r="R203" s="101"/>
      <c r="S203" s="99"/>
      <c r="T203" s="99"/>
      <c r="U203" s="97"/>
      <c r="V203" s="20" t="str">
        <f t="shared" si="89"/>
        <v/>
      </c>
      <c r="W203" s="20" t="str">
        <f t="shared" si="90"/>
        <v/>
      </c>
      <c r="X203" s="20" t="str">
        <f t="shared" si="91"/>
        <v/>
      </c>
      <c r="Y203" s="20" t="str">
        <f t="shared" si="92"/>
        <v/>
      </c>
      <c r="Z203" s="20" t="str">
        <f t="shared" si="93"/>
        <v/>
      </c>
      <c r="AA203" s="20" t="str">
        <f t="shared" si="94"/>
        <v/>
      </c>
      <c r="AB203" s="20" t="str">
        <f t="shared" si="95"/>
        <v/>
      </c>
      <c r="AC203" s="20" t="str">
        <f t="shared" si="96"/>
        <v/>
      </c>
      <c r="AD203" s="20" t="str">
        <f t="shared" si="97"/>
        <v/>
      </c>
      <c r="AE203" s="20" t="str">
        <f t="shared" si="98"/>
        <v/>
      </c>
      <c r="AF203" s="20" t="str">
        <f t="shared" si="99"/>
        <v/>
      </c>
      <c r="AG203" s="20" t="str">
        <f t="shared" si="100"/>
        <v/>
      </c>
      <c r="AH203" s="20" t="str">
        <f t="shared" si="101"/>
        <v/>
      </c>
      <c r="AI203" s="20" t="str">
        <f t="shared" si="102"/>
        <v/>
      </c>
      <c r="AJ203" s="20" t="str">
        <f t="shared" si="103"/>
        <v/>
      </c>
      <c r="AK203" s="20" t="str">
        <f t="shared" si="104"/>
        <v/>
      </c>
      <c r="AL203" s="20" t="str">
        <f t="shared" si="105"/>
        <v/>
      </c>
      <c r="AM203" s="20" t="str">
        <f t="shared" si="106"/>
        <v/>
      </c>
      <c r="AN203" s="20" t="str">
        <f t="shared" si="107"/>
        <v/>
      </c>
      <c r="AO203" s="20" t="str">
        <f t="shared" si="108"/>
        <v/>
      </c>
      <c r="AP203" s="20" t="str">
        <f t="shared" si="109"/>
        <v/>
      </c>
      <c r="AQ203" s="20" t="str">
        <f t="shared" si="110"/>
        <v/>
      </c>
      <c r="AR203" s="20" t="str">
        <f t="shared" si="111"/>
        <v/>
      </c>
      <c r="AS203" s="20" t="str">
        <f t="shared" si="112"/>
        <v/>
      </c>
      <c r="AT203" s="20" t="str">
        <f t="shared" si="113"/>
        <v/>
      </c>
      <c r="AU203" s="20" t="str">
        <f t="shared" si="114"/>
        <v/>
      </c>
      <c r="AV203" s="20" t="str">
        <f t="shared" si="115"/>
        <v/>
      </c>
      <c r="AW203" s="20" t="str">
        <f t="shared" si="116"/>
        <v/>
      </c>
      <c r="BD203" s="24"/>
      <c r="BE203" s="24"/>
      <c r="BF203" s="24"/>
      <c r="BG203" s="24"/>
      <c r="BH203" s="24"/>
      <c r="BI203" s="24"/>
      <c r="BJ203" s="42"/>
      <c r="BK203" s="87"/>
      <c r="BL203" s="87"/>
      <c r="BM203" s="75"/>
      <c r="BN203" s="75"/>
      <c r="BO203" s="24"/>
      <c r="BP203" s="24"/>
      <c r="BQ203" s="24"/>
      <c r="BR203" s="88"/>
      <c r="BS203" s="57"/>
      <c r="BT203" s="24"/>
      <c r="BU203" s="24"/>
      <c r="BV203" s="24"/>
      <c r="BW203" s="42"/>
      <c r="BY203" s="24"/>
      <c r="BZ203" s="24"/>
      <c r="CA203" s="42"/>
      <c r="CB203" s="24"/>
      <c r="CC203" s="24"/>
      <c r="CD203" s="24"/>
      <c r="CE203" s="90"/>
      <c r="CF203" s="24"/>
      <c r="CG203" s="24"/>
      <c r="CH203" s="24"/>
      <c r="CI203" s="24"/>
      <c r="CJ203" s="77"/>
      <c r="CK203" s="77"/>
      <c r="CL203" s="77"/>
      <c r="CM203" s="77"/>
      <c r="CN203" s="77"/>
      <c r="CO203" s="77"/>
    </row>
    <row r="204" spans="1:93" ht="16.5" x14ac:dyDescent="0.25">
      <c r="A204" s="97"/>
      <c r="B204" s="97"/>
      <c r="C204" s="97"/>
      <c r="D204" s="97"/>
      <c r="E204" s="97"/>
      <c r="F204" s="97"/>
      <c r="G204" s="98"/>
      <c r="H204" s="97"/>
      <c r="I204" s="97"/>
      <c r="J204" s="97"/>
      <c r="K204" s="97"/>
      <c r="L204" s="97"/>
      <c r="M204" s="97"/>
      <c r="N204" s="97"/>
      <c r="O204" s="97"/>
      <c r="P204" s="97"/>
      <c r="Q204" s="100"/>
      <c r="R204" s="101"/>
      <c r="S204" s="99"/>
      <c r="T204" s="99"/>
      <c r="U204" s="97"/>
      <c r="V204" s="20" t="str">
        <f t="shared" si="89"/>
        <v/>
      </c>
      <c r="W204" s="20" t="str">
        <f t="shared" si="90"/>
        <v/>
      </c>
      <c r="X204" s="20" t="str">
        <f t="shared" si="91"/>
        <v/>
      </c>
      <c r="Y204" s="20" t="str">
        <f t="shared" si="92"/>
        <v/>
      </c>
      <c r="Z204" s="20" t="str">
        <f t="shared" si="93"/>
        <v/>
      </c>
      <c r="AA204" s="20" t="str">
        <f t="shared" si="94"/>
        <v/>
      </c>
      <c r="AB204" s="20" t="str">
        <f t="shared" si="95"/>
        <v/>
      </c>
      <c r="AC204" s="20" t="str">
        <f t="shared" si="96"/>
        <v/>
      </c>
      <c r="AD204" s="20" t="str">
        <f t="shared" si="97"/>
        <v/>
      </c>
      <c r="AE204" s="20" t="str">
        <f t="shared" si="98"/>
        <v/>
      </c>
      <c r="AF204" s="20" t="str">
        <f t="shared" si="99"/>
        <v/>
      </c>
      <c r="AG204" s="20" t="str">
        <f t="shared" si="100"/>
        <v/>
      </c>
      <c r="AH204" s="20" t="str">
        <f t="shared" si="101"/>
        <v/>
      </c>
      <c r="AI204" s="20" t="str">
        <f t="shared" si="102"/>
        <v/>
      </c>
      <c r="AJ204" s="20" t="str">
        <f t="shared" si="103"/>
        <v/>
      </c>
      <c r="AK204" s="20" t="str">
        <f t="shared" si="104"/>
        <v/>
      </c>
      <c r="AL204" s="20" t="str">
        <f t="shared" si="105"/>
        <v/>
      </c>
      <c r="AM204" s="20" t="str">
        <f t="shared" si="106"/>
        <v/>
      </c>
      <c r="AN204" s="20" t="str">
        <f t="shared" si="107"/>
        <v/>
      </c>
      <c r="AO204" s="20" t="str">
        <f t="shared" si="108"/>
        <v/>
      </c>
      <c r="AP204" s="20" t="str">
        <f t="shared" si="109"/>
        <v/>
      </c>
      <c r="AQ204" s="20" t="str">
        <f t="shared" si="110"/>
        <v/>
      </c>
      <c r="AR204" s="20" t="str">
        <f t="shared" si="111"/>
        <v/>
      </c>
      <c r="AS204" s="20" t="str">
        <f t="shared" si="112"/>
        <v/>
      </c>
      <c r="AT204" s="20" t="str">
        <f t="shared" si="113"/>
        <v/>
      </c>
      <c r="AU204" s="20" t="str">
        <f t="shared" si="114"/>
        <v/>
      </c>
      <c r="AV204" s="20" t="str">
        <f t="shared" si="115"/>
        <v/>
      </c>
      <c r="AW204" s="20" t="str">
        <f t="shared" si="116"/>
        <v/>
      </c>
      <c r="BD204" s="24"/>
      <c r="BE204" s="24"/>
      <c r="BF204" s="24"/>
      <c r="BG204" s="24"/>
      <c r="BH204" s="24"/>
      <c r="BI204" s="24"/>
      <c r="BJ204" s="42"/>
      <c r="BK204" s="92"/>
      <c r="BL204" s="92"/>
      <c r="BM204" s="75"/>
      <c r="BN204" s="75"/>
      <c r="BO204" s="24"/>
      <c r="BP204" s="24"/>
      <c r="BQ204" s="24"/>
      <c r="BR204" s="88"/>
      <c r="BS204" s="57"/>
      <c r="BT204" s="24"/>
      <c r="BU204" s="24"/>
      <c r="BV204" s="24"/>
      <c r="BW204" s="42"/>
      <c r="BY204" s="24"/>
      <c r="BZ204" s="24"/>
      <c r="CA204" s="42"/>
      <c r="CB204" s="24"/>
      <c r="CC204" s="24"/>
      <c r="CD204" s="24"/>
      <c r="CE204" s="90"/>
      <c r="CF204" s="24"/>
      <c r="CG204" s="24"/>
      <c r="CH204" s="24"/>
      <c r="CI204" s="24"/>
      <c r="CJ204" s="77"/>
      <c r="CK204" s="77"/>
      <c r="CL204" s="77"/>
      <c r="CM204" s="77"/>
      <c r="CN204" s="77"/>
      <c r="CO204" s="77"/>
    </row>
    <row r="205" spans="1:93" ht="16.5" x14ac:dyDescent="0.25">
      <c r="A205" s="97"/>
      <c r="B205" s="97"/>
      <c r="C205" s="97"/>
      <c r="D205" s="97"/>
      <c r="E205" s="97"/>
      <c r="F205" s="97"/>
      <c r="G205" s="98"/>
      <c r="H205" s="97"/>
      <c r="I205" s="97"/>
      <c r="J205" s="97"/>
      <c r="K205" s="97"/>
      <c r="L205" s="97"/>
      <c r="M205" s="97"/>
      <c r="N205" s="97"/>
      <c r="O205" s="97"/>
      <c r="P205" s="97"/>
      <c r="Q205" s="100"/>
      <c r="R205" s="101"/>
      <c r="S205" s="99"/>
      <c r="T205" s="99"/>
      <c r="U205" s="97"/>
      <c r="V205" s="20" t="str">
        <f t="shared" si="89"/>
        <v/>
      </c>
      <c r="W205" s="20" t="str">
        <f t="shared" si="90"/>
        <v/>
      </c>
      <c r="X205" s="20" t="str">
        <f t="shared" si="91"/>
        <v/>
      </c>
      <c r="Y205" s="20" t="str">
        <f t="shared" si="92"/>
        <v/>
      </c>
      <c r="Z205" s="20" t="str">
        <f t="shared" si="93"/>
        <v/>
      </c>
      <c r="AA205" s="20" t="str">
        <f t="shared" si="94"/>
        <v/>
      </c>
      <c r="AB205" s="20" t="str">
        <f t="shared" si="95"/>
        <v/>
      </c>
      <c r="AC205" s="20" t="str">
        <f t="shared" si="96"/>
        <v/>
      </c>
      <c r="AD205" s="20" t="str">
        <f t="shared" si="97"/>
        <v/>
      </c>
      <c r="AE205" s="20" t="str">
        <f t="shared" si="98"/>
        <v/>
      </c>
      <c r="AF205" s="20" t="str">
        <f t="shared" si="99"/>
        <v/>
      </c>
      <c r="AG205" s="20" t="str">
        <f t="shared" si="100"/>
        <v/>
      </c>
      <c r="AH205" s="20" t="str">
        <f t="shared" si="101"/>
        <v/>
      </c>
      <c r="AI205" s="20" t="str">
        <f t="shared" si="102"/>
        <v/>
      </c>
      <c r="AJ205" s="20" t="str">
        <f t="shared" si="103"/>
        <v/>
      </c>
      <c r="AK205" s="20" t="str">
        <f t="shared" si="104"/>
        <v/>
      </c>
      <c r="AL205" s="20" t="str">
        <f t="shared" si="105"/>
        <v/>
      </c>
      <c r="AM205" s="20" t="str">
        <f t="shared" si="106"/>
        <v/>
      </c>
      <c r="AN205" s="20" t="str">
        <f t="shared" si="107"/>
        <v/>
      </c>
      <c r="AO205" s="20" t="str">
        <f t="shared" si="108"/>
        <v/>
      </c>
      <c r="AP205" s="20" t="str">
        <f t="shared" si="109"/>
        <v/>
      </c>
      <c r="AQ205" s="20" t="str">
        <f t="shared" si="110"/>
        <v/>
      </c>
      <c r="AR205" s="20" t="str">
        <f t="shared" si="111"/>
        <v/>
      </c>
      <c r="AS205" s="20" t="str">
        <f t="shared" si="112"/>
        <v/>
      </c>
      <c r="AT205" s="20" t="str">
        <f t="shared" si="113"/>
        <v/>
      </c>
      <c r="AU205" s="20" t="str">
        <f t="shared" si="114"/>
        <v/>
      </c>
      <c r="AV205" s="20" t="str">
        <f t="shared" si="115"/>
        <v/>
      </c>
      <c r="AW205" s="20" t="str">
        <f t="shared" si="116"/>
        <v/>
      </c>
      <c r="BD205" s="24"/>
      <c r="BE205" s="24"/>
      <c r="BF205" s="24"/>
      <c r="BG205" s="24"/>
      <c r="BH205" s="24"/>
      <c r="BI205" s="24"/>
      <c r="BJ205" s="42"/>
      <c r="BK205" s="92"/>
      <c r="BL205" s="92"/>
      <c r="BM205" s="75"/>
      <c r="BN205" s="75"/>
      <c r="BO205" s="24"/>
      <c r="BP205" s="24"/>
      <c r="BQ205" s="24"/>
      <c r="BR205" s="88"/>
      <c r="BS205" s="57"/>
      <c r="BT205" s="24"/>
      <c r="BU205" s="24"/>
      <c r="BV205" s="24"/>
      <c r="BW205" s="42"/>
      <c r="BY205" s="24"/>
      <c r="BZ205" s="24"/>
      <c r="CA205" s="42"/>
      <c r="CB205" s="24"/>
      <c r="CC205" s="24"/>
      <c r="CD205" s="24"/>
      <c r="CE205" s="90"/>
      <c r="CF205" s="24"/>
      <c r="CG205" s="24"/>
      <c r="CH205" s="24"/>
      <c r="CI205" s="24"/>
      <c r="CJ205" s="77"/>
      <c r="CK205" s="77"/>
      <c r="CL205" s="77"/>
      <c r="CM205" s="77"/>
      <c r="CN205" s="77"/>
      <c r="CO205" s="77"/>
    </row>
    <row r="206" spans="1:93" ht="16.5" x14ac:dyDescent="0.25">
      <c r="A206" s="97"/>
      <c r="B206" s="97"/>
      <c r="C206" s="97"/>
      <c r="D206" s="97"/>
      <c r="E206" s="97"/>
      <c r="F206" s="97"/>
      <c r="G206" s="98"/>
      <c r="H206" s="97"/>
      <c r="I206" s="97"/>
      <c r="J206" s="97"/>
      <c r="K206" s="97"/>
      <c r="L206" s="97"/>
      <c r="M206" s="97"/>
      <c r="N206" s="97"/>
      <c r="O206" s="97"/>
      <c r="P206" s="97"/>
      <c r="Q206" s="100"/>
      <c r="R206" s="101"/>
      <c r="S206" s="99"/>
      <c r="T206" s="99"/>
      <c r="U206" s="97"/>
      <c r="V206" s="20" t="str">
        <f t="shared" si="89"/>
        <v/>
      </c>
      <c r="W206" s="20" t="str">
        <f t="shared" si="90"/>
        <v/>
      </c>
      <c r="X206" s="20" t="str">
        <f t="shared" si="91"/>
        <v/>
      </c>
      <c r="Y206" s="20" t="str">
        <f t="shared" si="92"/>
        <v/>
      </c>
      <c r="Z206" s="20" t="str">
        <f t="shared" si="93"/>
        <v/>
      </c>
      <c r="AA206" s="20" t="str">
        <f t="shared" si="94"/>
        <v/>
      </c>
      <c r="AB206" s="20" t="str">
        <f t="shared" si="95"/>
        <v/>
      </c>
      <c r="AC206" s="20" t="str">
        <f t="shared" si="96"/>
        <v/>
      </c>
      <c r="AD206" s="20" t="str">
        <f t="shared" si="97"/>
        <v/>
      </c>
      <c r="AE206" s="20" t="str">
        <f t="shared" si="98"/>
        <v/>
      </c>
      <c r="AF206" s="20" t="str">
        <f t="shared" si="99"/>
        <v/>
      </c>
      <c r="AG206" s="20" t="str">
        <f t="shared" si="100"/>
        <v/>
      </c>
      <c r="AH206" s="20" t="str">
        <f t="shared" si="101"/>
        <v/>
      </c>
      <c r="AI206" s="20" t="str">
        <f t="shared" si="102"/>
        <v/>
      </c>
      <c r="AJ206" s="20" t="str">
        <f t="shared" si="103"/>
        <v/>
      </c>
      <c r="AK206" s="20" t="str">
        <f t="shared" si="104"/>
        <v/>
      </c>
      <c r="AL206" s="20" t="str">
        <f t="shared" si="105"/>
        <v/>
      </c>
      <c r="AM206" s="20" t="str">
        <f t="shared" si="106"/>
        <v/>
      </c>
      <c r="AN206" s="20" t="str">
        <f t="shared" si="107"/>
        <v/>
      </c>
      <c r="AO206" s="20" t="str">
        <f t="shared" si="108"/>
        <v/>
      </c>
      <c r="AP206" s="20" t="str">
        <f t="shared" si="109"/>
        <v/>
      </c>
      <c r="AQ206" s="20" t="str">
        <f t="shared" si="110"/>
        <v/>
      </c>
      <c r="AR206" s="20" t="str">
        <f t="shared" si="111"/>
        <v/>
      </c>
      <c r="AS206" s="20" t="str">
        <f t="shared" si="112"/>
        <v/>
      </c>
      <c r="AT206" s="20" t="str">
        <f t="shared" si="113"/>
        <v/>
      </c>
      <c r="AU206" s="20" t="str">
        <f t="shared" si="114"/>
        <v/>
      </c>
      <c r="AV206" s="20" t="str">
        <f t="shared" si="115"/>
        <v/>
      </c>
      <c r="AW206" s="20" t="str">
        <f t="shared" si="116"/>
        <v/>
      </c>
      <c r="BD206" s="24"/>
      <c r="BE206" s="24"/>
      <c r="BF206" s="24"/>
      <c r="BG206" s="24"/>
      <c r="BH206" s="24"/>
      <c r="BI206" s="24"/>
      <c r="BJ206" s="42"/>
      <c r="BK206" s="74"/>
      <c r="BL206" s="74"/>
      <c r="BM206" s="75"/>
      <c r="BN206" s="75"/>
      <c r="BO206" s="24"/>
      <c r="BP206" s="24"/>
      <c r="BQ206" s="24"/>
      <c r="BR206" s="24"/>
      <c r="BS206" s="57"/>
      <c r="BT206" s="57"/>
      <c r="BU206" s="24"/>
      <c r="BV206" s="24"/>
      <c r="BW206" s="42"/>
      <c r="BY206" s="24"/>
      <c r="BZ206" s="24"/>
      <c r="CA206" s="42"/>
      <c r="CB206" s="24"/>
      <c r="CC206" s="24"/>
      <c r="CD206" s="24"/>
      <c r="CE206" s="90"/>
      <c r="CF206" s="24"/>
      <c r="CG206" s="24"/>
      <c r="CH206" s="24"/>
      <c r="CI206" s="24"/>
      <c r="CJ206" s="77"/>
      <c r="CK206" s="77"/>
      <c r="CL206" s="77"/>
      <c r="CM206" s="77"/>
      <c r="CN206" s="77"/>
      <c r="CO206" s="77"/>
    </row>
    <row r="207" spans="1:93" ht="16.5" x14ac:dyDescent="0.3">
      <c r="A207" s="97"/>
      <c r="B207" s="97"/>
      <c r="C207" s="97"/>
      <c r="D207" s="97"/>
      <c r="E207" s="97"/>
      <c r="F207" s="97"/>
      <c r="G207" s="98"/>
      <c r="H207" s="97"/>
      <c r="I207" s="97"/>
      <c r="J207" s="97"/>
      <c r="K207" s="97"/>
      <c r="L207" s="97"/>
      <c r="M207" s="97"/>
      <c r="N207" s="97"/>
      <c r="O207" s="97"/>
      <c r="P207" s="97"/>
      <c r="Q207" s="100"/>
      <c r="R207" s="101"/>
      <c r="S207" s="99"/>
      <c r="T207" s="99"/>
      <c r="U207" s="97"/>
      <c r="V207" s="20" t="str">
        <f t="shared" si="89"/>
        <v/>
      </c>
      <c r="W207" s="20" t="str">
        <f t="shared" si="90"/>
        <v/>
      </c>
      <c r="X207" s="20" t="str">
        <f t="shared" si="91"/>
        <v/>
      </c>
      <c r="Y207" s="20" t="str">
        <f t="shared" si="92"/>
        <v/>
      </c>
      <c r="Z207" s="20" t="str">
        <f t="shared" si="93"/>
        <v/>
      </c>
      <c r="AA207" s="20" t="str">
        <f t="shared" si="94"/>
        <v/>
      </c>
      <c r="AB207" s="20" t="str">
        <f t="shared" si="95"/>
        <v/>
      </c>
      <c r="AC207" s="20" t="str">
        <f t="shared" si="96"/>
        <v/>
      </c>
      <c r="AD207" s="20" t="str">
        <f t="shared" si="97"/>
        <v/>
      </c>
      <c r="AE207" s="20" t="str">
        <f t="shared" si="98"/>
        <v/>
      </c>
      <c r="AF207" s="20" t="str">
        <f t="shared" si="99"/>
        <v/>
      </c>
      <c r="AG207" s="20" t="str">
        <f t="shared" si="100"/>
        <v/>
      </c>
      <c r="AH207" s="20" t="str">
        <f t="shared" si="101"/>
        <v/>
      </c>
      <c r="AI207" s="20" t="str">
        <f t="shared" si="102"/>
        <v/>
      </c>
      <c r="AJ207" s="20" t="str">
        <f t="shared" si="103"/>
        <v/>
      </c>
      <c r="AK207" s="20" t="str">
        <f t="shared" si="104"/>
        <v/>
      </c>
      <c r="AL207" s="20" t="str">
        <f t="shared" si="105"/>
        <v/>
      </c>
      <c r="AM207" s="20" t="str">
        <f t="shared" si="106"/>
        <v/>
      </c>
      <c r="AN207" s="20" t="str">
        <f t="shared" si="107"/>
        <v/>
      </c>
      <c r="AO207" s="20" t="str">
        <f t="shared" si="108"/>
        <v/>
      </c>
      <c r="AP207" s="20" t="str">
        <f t="shared" si="109"/>
        <v/>
      </c>
      <c r="AQ207" s="20" t="str">
        <f t="shared" si="110"/>
        <v/>
      </c>
      <c r="AR207" s="20" t="str">
        <f t="shared" si="111"/>
        <v/>
      </c>
      <c r="AS207" s="20" t="str">
        <f t="shared" si="112"/>
        <v/>
      </c>
      <c r="AT207" s="20" t="str">
        <f t="shared" si="113"/>
        <v/>
      </c>
      <c r="AU207" s="20" t="str">
        <f t="shared" si="114"/>
        <v/>
      </c>
      <c r="AV207" s="20" t="str">
        <f t="shared" si="115"/>
        <v/>
      </c>
      <c r="AW207" s="20" t="str">
        <f t="shared" si="116"/>
        <v/>
      </c>
      <c r="BD207" s="24"/>
      <c r="BE207" s="24"/>
      <c r="BF207" s="24"/>
      <c r="BG207" s="24"/>
      <c r="BH207" s="24"/>
      <c r="BI207" s="24"/>
      <c r="BJ207" s="42"/>
      <c r="BL207" s="75"/>
      <c r="BM207" s="75"/>
      <c r="BN207" s="75"/>
      <c r="BO207" s="24"/>
      <c r="BP207" s="24"/>
      <c r="BQ207" s="24"/>
      <c r="BR207" s="88"/>
      <c r="BS207" s="57"/>
      <c r="BT207" s="24"/>
      <c r="BU207" s="24"/>
      <c r="BV207" s="24"/>
      <c r="BW207" s="42"/>
      <c r="BY207" s="93"/>
      <c r="BZ207" s="24"/>
      <c r="CA207" s="42"/>
      <c r="CB207" s="24"/>
      <c r="CC207" s="24"/>
      <c r="CD207" s="24"/>
      <c r="CE207" s="24"/>
      <c r="CF207" s="24"/>
      <c r="CG207" s="24"/>
      <c r="CH207" s="24"/>
      <c r="CI207" s="24"/>
      <c r="CJ207" s="24"/>
      <c r="CK207" s="77"/>
      <c r="CL207" s="77"/>
      <c r="CM207" s="77"/>
      <c r="CN207" s="77"/>
      <c r="CO207" s="77"/>
    </row>
    <row r="208" spans="1:93" ht="16.5" x14ac:dyDescent="0.3">
      <c r="A208" s="97"/>
      <c r="B208" s="97"/>
      <c r="C208" s="97"/>
      <c r="D208" s="97"/>
      <c r="E208" s="97"/>
      <c r="F208" s="97"/>
      <c r="G208" s="98"/>
      <c r="H208" s="97"/>
      <c r="I208" s="97"/>
      <c r="J208" s="97"/>
      <c r="K208" s="97"/>
      <c r="L208" s="97"/>
      <c r="M208" s="97"/>
      <c r="N208" s="97"/>
      <c r="O208" s="97"/>
      <c r="P208" s="97"/>
      <c r="Q208" s="100"/>
      <c r="R208" s="101"/>
      <c r="S208" s="99"/>
      <c r="T208" s="99"/>
      <c r="U208" s="97"/>
      <c r="V208" s="20" t="str">
        <f t="shared" si="89"/>
        <v/>
      </c>
      <c r="W208" s="20" t="str">
        <f t="shared" si="90"/>
        <v/>
      </c>
      <c r="X208" s="20" t="str">
        <f t="shared" si="91"/>
        <v/>
      </c>
      <c r="Y208" s="20" t="str">
        <f t="shared" si="92"/>
        <v/>
      </c>
      <c r="Z208" s="20" t="str">
        <f t="shared" si="93"/>
        <v/>
      </c>
      <c r="AA208" s="20" t="str">
        <f t="shared" si="94"/>
        <v/>
      </c>
      <c r="AB208" s="20" t="str">
        <f t="shared" si="95"/>
        <v/>
      </c>
      <c r="AC208" s="20" t="str">
        <f t="shared" si="96"/>
        <v/>
      </c>
      <c r="AD208" s="20" t="str">
        <f t="shared" si="97"/>
        <v/>
      </c>
      <c r="AE208" s="20" t="str">
        <f t="shared" si="98"/>
        <v/>
      </c>
      <c r="AF208" s="20" t="str">
        <f t="shared" si="99"/>
        <v/>
      </c>
      <c r="AG208" s="20" t="str">
        <f t="shared" si="100"/>
        <v/>
      </c>
      <c r="AH208" s="20" t="str">
        <f t="shared" si="101"/>
        <v/>
      </c>
      <c r="AI208" s="20" t="str">
        <f t="shared" si="102"/>
        <v/>
      </c>
      <c r="AJ208" s="20" t="str">
        <f t="shared" si="103"/>
        <v/>
      </c>
      <c r="AK208" s="20" t="str">
        <f t="shared" si="104"/>
        <v/>
      </c>
      <c r="AL208" s="20" t="str">
        <f t="shared" si="105"/>
        <v/>
      </c>
      <c r="AM208" s="20" t="str">
        <f t="shared" si="106"/>
        <v/>
      </c>
      <c r="AN208" s="20" t="str">
        <f t="shared" si="107"/>
        <v/>
      </c>
      <c r="AO208" s="20" t="str">
        <f t="shared" si="108"/>
        <v/>
      </c>
      <c r="AP208" s="20" t="str">
        <f t="shared" si="109"/>
        <v/>
      </c>
      <c r="AQ208" s="20" t="str">
        <f t="shared" si="110"/>
        <v/>
      </c>
      <c r="AR208" s="20" t="str">
        <f t="shared" si="111"/>
        <v/>
      </c>
      <c r="AS208" s="20" t="str">
        <f t="shared" si="112"/>
        <v/>
      </c>
      <c r="AT208" s="20" t="str">
        <f t="shared" si="113"/>
        <v/>
      </c>
      <c r="AU208" s="20" t="str">
        <f t="shared" si="114"/>
        <v/>
      </c>
      <c r="AV208" s="20" t="str">
        <f t="shared" si="115"/>
        <v/>
      </c>
      <c r="AW208" s="20" t="str">
        <f t="shared" si="116"/>
        <v/>
      </c>
      <c r="BD208" s="24"/>
      <c r="BE208" s="24"/>
      <c r="BF208" s="24"/>
      <c r="BG208" s="24"/>
      <c r="BH208" s="24"/>
      <c r="BI208" s="24"/>
      <c r="BJ208" s="42"/>
      <c r="BL208" s="75"/>
      <c r="BM208" s="75"/>
      <c r="BN208" s="75"/>
      <c r="BO208" s="24"/>
      <c r="BP208" s="24"/>
      <c r="BQ208" s="24"/>
      <c r="BR208" s="88"/>
      <c r="BS208" s="57"/>
      <c r="BT208" s="24"/>
      <c r="BU208" s="24"/>
      <c r="BV208" s="24"/>
      <c r="BW208" s="42"/>
      <c r="BY208" s="93"/>
      <c r="BZ208" s="24"/>
      <c r="CA208" s="42"/>
      <c r="CB208" s="24"/>
      <c r="CC208" s="24"/>
      <c r="CD208" s="24"/>
      <c r="CE208" s="24"/>
      <c r="CF208" s="24"/>
      <c r="CG208" s="24"/>
      <c r="CH208" s="24"/>
      <c r="CI208" s="24"/>
      <c r="CJ208" s="77"/>
      <c r="CK208" s="77"/>
      <c r="CL208" s="77"/>
      <c r="CM208" s="77"/>
      <c r="CN208" s="77"/>
      <c r="CO208" s="77"/>
    </row>
    <row r="209" spans="1:93" ht="16.5" x14ac:dyDescent="0.3">
      <c r="A209" s="97"/>
      <c r="B209" s="97"/>
      <c r="C209" s="97"/>
      <c r="D209" s="97"/>
      <c r="E209" s="97"/>
      <c r="F209" s="97"/>
      <c r="G209" s="98"/>
      <c r="H209" s="97"/>
      <c r="I209" s="97"/>
      <c r="J209" s="97"/>
      <c r="K209" s="97"/>
      <c r="L209" s="97"/>
      <c r="M209" s="97"/>
      <c r="N209" s="97"/>
      <c r="O209" s="97"/>
      <c r="P209" s="97"/>
      <c r="Q209" s="100"/>
      <c r="R209" s="101"/>
      <c r="S209" s="99"/>
      <c r="T209" s="99"/>
      <c r="U209" s="97"/>
      <c r="V209" s="20" t="str">
        <f t="shared" si="89"/>
        <v/>
      </c>
      <c r="W209" s="20" t="str">
        <f t="shared" si="90"/>
        <v/>
      </c>
      <c r="X209" s="20" t="str">
        <f t="shared" si="91"/>
        <v/>
      </c>
      <c r="Y209" s="20" t="str">
        <f t="shared" si="92"/>
        <v/>
      </c>
      <c r="Z209" s="20" t="str">
        <f t="shared" si="93"/>
        <v/>
      </c>
      <c r="AA209" s="20" t="str">
        <f t="shared" si="94"/>
        <v/>
      </c>
      <c r="AB209" s="20" t="str">
        <f t="shared" si="95"/>
        <v/>
      </c>
      <c r="AC209" s="20" t="str">
        <f t="shared" si="96"/>
        <v/>
      </c>
      <c r="AD209" s="20" t="str">
        <f t="shared" si="97"/>
        <v/>
      </c>
      <c r="AE209" s="20" t="str">
        <f t="shared" si="98"/>
        <v/>
      </c>
      <c r="AF209" s="20" t="str">
        <f t="shared" si="99"/>
        <v/>
      </c>
      <c r="AG209" s="20" t="str">
        <f t="shared" si="100"/>
        <v/>
      </c>
      <c r="AH209" s="20" t="str">
        <f t="shared" si="101"/>
        <v/>
      </c>
      <c r="AI209" s="20" t="str">
        <f t="shared" si="102"/>
        <v/>
      </c>
      <c r="AJ209" s="20" t="str">
        <f t="shared" si="103"/>
        <v/>
      </c>
      <c r="AK209" s="20" t="str">
        <f t="shared" si="104"/>
        <v/>
      </c>
      <c r="AL209" s="20" t="str">
        <f t="shared" si="105"/>
        <v/>
      </c>
      <c r="AM209" s="20" t="str">
        <f t="shared" si="106"/>
        <v/>
      </c>
      <c r="AN209" s="20" t="str">
        <f t="shared" si="107"/>
        <v/>
      </c>
      <c r="AO209" s="20" t="str">
        <f t="shared" si="108"/>
        <v/>
      </c>
      <c r="AP209" s="20" t="str">
        <f t="shared" si="109"/>
        <v/>
      </c>
      <c r="AQ209" s="20" t="str">
        <f t="shared" si="110"/>
        <v/>
      </c>
      <c r="AR209" s="20" t="str">
        <f t="shared" si="111"/>
        <v/>
      </c>
      <c r="AS209" s="20" t="str">
        <f t="shared" si="112"/>
        <v/>
      </c>
      <c r="AT209" s="20" t="str">
        <f t="shared" si="113"/>
        <v/>
      </c>
      <c r="AU209" s="20" t="str">
        <f t="shared" si="114"/>
        <v/>
      </c>
      <c r="AV209" s="20" t="str">
        <f t="shared" si="115"/>
        <v/>
      </c>
      <c r="AW209" s="20" t="str">
        <f t="shared" si="116"/>
        <v/>
      </c>
      <c r="BD209" s="24"/>
      <c r="BE209" s="24"/>
      <c r="BF209" s="24"/>
      <c r="BG209" s="24"/>
      <c r="BH209" s="24"/>
      <c r="BI209" s="24"/>
      <c r="BL209" s="75"/>
      <c r="BM209" s="75"/>
      <c r="BN209" s="75"/>
      <c r="BO209" s="24"/>
      <c r="BP209" s="24"/>
      <c r="BQ209" s="24"/>
      <c r="BR209" s="24"/>
      <c r="BS209" s="57"/>
      <c r="BT209" s="24"/>
      <c r="BU209" s="24"/>
      <c r="BV209" s="24"/>
      <c r="BY209" s="93"/>
      <c r="BZ209" s="24"/>
      <c r="CB209" s="24"/>
      <c r="CC209" s="24"/>
      <c r="CD209" s="24"/>
      <c r="CE209" s="24"/>
      <c r="CF209" s="24"/>
      <c r="CG209" s="24"/>
      <c r="CH209" s="24"/>
      <c r="CI209" s="24"/>
      <c r="CJ209" s="77"/>
      <c r="CK209" s="77"/>
      <c r="CL209" s="77"/>
      <c r="CM209" s="77"/>
      <c r="CN209" s="77"/>
      <c r="CO209" s="77"/>
    </row>
    <row r="210" spans="1:93" ht="16.5" x14ac:dyDescent="0.25">
      <c r="A210" s="97"/>
      <c r="B210" s="97"/>
      <c r="C210" s="97"/>
      <c r="D210" s="97"/>
      <c r="E210" s="97"/>
      <c r="F210" s="97"/>
      <c r="G210" s="98"/>
      <c r="H210" s="97"/>
      <c r="I210" s="97"/>
      <c r="J210" s="97"/>
      <c r="K210" s="97"/>
      <c r="L210" s="97"/>
      <c r="M210" s="97"/>
      <c r="N210" s="97"/>
      <c r="O210" s="97"/>
      <c r="P210" s="97"/>
      <c r="Q210" s="100"/>
      <c r="R210" s="101"/>
      <c r="S210" s="99"/>
      <c r="T210" s="99"/>
      <c r="U210" s="97"/>
      <c r="V210" s="20" t="str">
        <f t="shared" si="89"/>
        <v/>
      </c>
      <c r="W210" s="20" t="str">
        <f t="shared" si="90"/>
        <v/>
      </c>
      <c r="X210" s="20" t="str">
        <f t="shared" si="91"/>
        <v/>
      </c>
      <c r="Y210" s="20" t="str">
        <f t="shared" si="92"/>
        <v/>
      </c>
      <c r="Z210" s="20" t="str">
        <f t="shared" si="93"/>
        <v/>
      </c>
      <c r="AA210" s="20" t="str">
        <f t="shared" si="94"/>
        <v/>
      </c>
      <c r="AB210" s="20" t="str">
        <f t="shared" si="95"/>
        <v/>
      </c>
      <c r="AC210" s="20" t="str">
        <f t="shared" si="96"/>
        <v/>
      </c>
      <c r="AD210" s="20" t="str">
        <f t="shared" si="97"/>
        <v/>
      </c>
      <c r="AE210" s="20" t="str">
        <f t="shared" si="98"/>
        <v/>
      </c>
      <c r="AF210" s="20" t="str">
        <f t="shared" si="99"/>
        <v/>
      </c>
      <c r="AG210" s="20" t="str">
        <f t="shared" si="100"/>
        <v/>
      </c>
      <c r="AH210" s="20" t="str">
        <f t="shared" si="101"/>
        <v/>
      </c>
      <c r="AI210" s="20" t="str">
        <f t="shared" si="102"/>
        <v/>
      </c>
      <c r="AJ210" s="20" t="str">
        <f t="shared" si="103"/>
        <v/>
      </c>
      <c r="AK210" s="20" t="str">
        <f t="shared" si="104"/>
        <v/>
      </c>
      <c r="AL210" s="20" t="str">
        <f t="shared" si="105"/>
        <v/>
      </c>
      <c r="AM210" s="20" t="str">
        <f t="shared" si="106"/>
        <v/>
      </c>
      <c r="AN210" s="20" t="str">
        <f t="shared" si="107"/>
        <v/>
      </c>
      <c r="AO210" s="20" t="str">
        <f t="shared" si="108"/>
        <v/>
      </c>
      <c r="AP210" s="20" t="str">
        <f t="shared" si="109"/>
        <v/>
      </c>
      <c r="AQ210" s="20" t="str">
        <f t="shared" si="110"/>
        <v/>
      </c>
      <c r="AR210" s="20" t="str">
        <f t="shared" si="111"/>
        <v/>
      </c>
      <c r="AS210" s="20" t="str">
        <f t="shared" si="112"/>
        <v/>
      </c>
      <c r="AT210" s="20" t="str">
        <f t="shared" si="113"/>
        <v/>
      </c>
      <c r="AU210" s="20" t="str">
        <f t="shared" si="114"/>
        <v/>
      </c>
      <c r="AV210" s="20" t="str">
        <f t="shared" si="115"/>
        <v/>
      </c>
      <c r="AW210" s="20" t="str">
        <f t="shared" si="116"/>
        <v/>
      </c>
      <c r="BD210" s="24"/>
      <c r="BE210" s="24"/>
      <c r="BF210" s="24"/>
      <c r="BG210" s="24"/>
      <c r="BH210" s="24"/>
      <c r="BI210" s="24"/>
      <c r="BL210" s="75"/>
      <c r="BM210" s="75"/>
      <c r="BN210" s="3"/>
      <c r="BO210" s="24"/>
      <c r="BP210" s="24"/>
      <c r="BQ210" s="24"/>
      <c r="BR210" s="24"/>
      <c r="BS210" s="57"/>
      <c r="BT210" s="24"/>
      <c r="BU210" s="24"/>
      <c r="BV210" s="24"/>
      <c r="BY210" s="24"/>
      <c r="BZ210" s="24"/>
      <c r="CB210" s="24"/>
      <c r="CC210" s="24"/>
      <c r="CD210" s="24"/>
      <c r="CE210" s="3"/>
      <c r="CF210" s="24"/>
      <c r="CG210" s="24"/>
      <c r="CH210" s="24"/>
      <c r="CI210" s="24"/>
      <c r="CJ210" s="24"/>
      <c r="CK210" s="77"/>
      <c r="CL210" s="77"/>
      <c r="CM210" s="77"/>
      <c r="CN210" s="77"/>
      <c r="CO210" s="77"/>
    </row>
    <row r="211" spans="1:93" ht="16.5" x14ac:dyDescent="0.25">
      <c r="A211" s="97"/>
      <c r="B211" s="97"/>
      <c r="C211" s="97"/>
      <c r="D211" s="97"/>
      <c r="E211" s="97"/>
      <c r="F211" s="97"/>
      <c r="G211" s="98"/>
      <c r="H211" s="97"/>
      <c r="I211" s="97"/>
      <c r="J211" s="97"/>
      <c r="K211" s="97"/>
      <c r="L211" s="97"/>
      <c r="M211" s="97"/>
      <c r="N211" s="97"/>
      <c r="O211" s="97"/>
      <c r="P211" s="97"/>
      <c r="Q211" s="100"/>
      <c r="R211" s="101"/>
      <c r="S211" s="99"/>
      <c r="T211" s="99"/>
      <c r="U211" s="97"/>
      <c r="V211" s="20" t="str">
        <f t="shared" si="89"/>
        <v/>
      </c>
      <c r="W211" s="20" t="str">
        <f t="shared" si="90"/>
        <v/>
      </c>
      <c r="X211" s="20" t="str">
        <f t="shared" si="91"/>
        <v/>
      </c>
      <c r="Y211" s="20" t="str">
        <f t="shared" si="92"/>
        <v/>
      </c>
      <c r="Z211" s="20" t="str">
        <f t="shared" si="93"/>
        <v/>
      </c>
      <c r="AA211" s="20" t="str">
        <f t="shared" si="94"/>
        <v/>
      </c>
      <c r="AB211" s="20" t="str">
        <f t="shared" si="95"/>
        <v/>
      </c>
      <c r="AC211" s="20" t="str">
        <f t="shared" si="96"/>
        <v/>
      </c>
      <c r="AD211" s="20" t="str">
        <f t="shared" si="97"/>
        <v/>
      </c>
      <c r="AE211" s="20" t="str">
        <f t="shared" si="98"/>
        <v/>
      </c>
      <c r="AF211" s="20" t="str">
        <f t="shared" si="99"/>
        <v/>
      </c>
      <c r="AG211" s="20" t="str">
        <f t="shared" si="100"/>
        <v/>
      </c>
      <c r="AH211" s="20" t="str">
        <f t="shared" si="101"/>
        <v/>
      </c>
      <c r="AI211" s="20" t="str">
        <f t="shared" si="102"/>
        <v/>
      </c>
      <c r="AJ211" s="20" t="str">
        <f t="shared" si="103"/>
        <v/>
      </c>
      <c r="AK211" s="20" t="str">
        <f t="shared" si="104"/>
        <v/>
      </c>
      <c r="AL211" s="20" t="str">
        <f t="shared" si="105"/>
        <v/>
      </c>
      <c r="AM211" s="20" t="str">
        <f t="shared" si="106"/>
        <v/>
      </c>
      <c r="AN211" s="20" t="str">
        <f t="shared" si="107"/>
        <v/>
      </c>
      <c r="AO211" s="20" t="str">
        <f t="shared" si="108"/>
        <v/>
      </c>
      <c r="AP211" s="20" t="str">
        <f t="shared" si="109"/>
        <v/>
      </c>
      <c r="AQ211" s="20" t="str">
        <f t="shared" si="110"/>
        <v/>
      </c>
      <c r="AR211" s="20" t="str">
        <f t="shared" si="111"/>
        <v/>
      </c>
      <c r="AS211" s="20" t="str">
        <f t="shared" si="112"/>
        <v/>
      </c>
      <c r="AT211" s="20" t="str">
        <f t="shared" si="113"/>
        <v/>
      </c>
      <c r="AU211" s="20" t="str">
        <f t="shared" si="114"/>
        <v/>
      </c>
      <c r="AV211" s="20" t="str">
        <f t="shared" si="115"/>
        <v/>
      </c>
      <c r="AW211" s="20" t="str">
        <f t="shared" si="116"/>
        <v/>
      </c>
      <c r="BD211" s="24"/>
      <c r="BE211" s="24"/>
      <c r="BF211" s="24"/>
      <c r="BG211" s="24"/>
      <c r="BH211" s="24"/>
      <c r="BI211" s="24"/>
      <c r="BL211" s="75"/>
      <c r="BM211" s="75"/>
      <c r="BN211" s="3"/>
      <c r="BO211" s="24"/>
      <c r="BP211" s="24"/>
      <c r="BQ211" s="24"/>
      <c r="BR211" s="24"/>
      <c r="BS211" s="57"/>
      <c r="BT211" s="24"/>
      <c r="BU211" s="24"/>
      <c r="BV211" s="24"/>
      <c r="BY211" s="24"/>
      <c r="BZ211" s="24"/>
      <c r="CB211" s="24"/>
      <c r="CC211" s="24"/>
      <c r="CD211" s="24"/>
      <c r="CE211" s="3"/>
      <c r="CF211" s="24"/>
      <c r="CG211" s="24"/>
      <c r="CH211" s="24"/>
      <c r="CI211" s="24"/>
      <c r="CJ211" s="77"/>
      <c r="CK211" s="77"/>
      <c r="CL211" s="77"/>
      <c r="CM211" s="77"/>
      <c r="CN211" s="77"/>
      <c r="CO211" s="77"/>
    </row>
    <row r="212" spans="1:93" ht="16.5" x14ac:dyDescent="0.25">
      <c r="A212" s="97"/>
      <c r="B212" s="97"/>
      <c r="C212" s="97"/>
      <c r="D212" s="97"/>
      <c r="E212" s="97"/>
      <c r="F212" s="97"/>
      <c r="G212" s="98"/>
      <c r="H212" s="97"/>
      <c r="I212" s="97"/>
      <c r="J212" s="97"/>
      <c r="K212" s="97"/>
      <c r="L212" s="97"/>
      <c r="M212" s="97"/>
      <c r="N212" s="97"/>
      <c r="O212" s="97"/>
      <c r="P212" s="97"/>
      <c r="Q212" s="100"/>
      <c r="R212" s="101"/>
      <c r="S212" s="99"/>
      <c r="T212" s="99"/>
      <c r="U212" s="97"/>
      <c r="V212" s="20" t="str">
        <f t="shared" si="89"/>
        <v/>
      </c>
      <c r="W212" s="20" t="str">
        <f t="shared" si="90"/>
        <v/>
      </c>
      <c r="X212" s="20" t="str">
        <f t="shared" si="91"/>
        <v/>
      </c>
      <c r="Y212" s="20" t="str">
        <f t="shared" si="92"/>
        <v/>
      </c>
      <c r="Z212" s="20" t="str">
        <f t="shared" si="93"/>
        <v/>
      </c>
      <c r="AA212" s="20" t="str">
        <f t="shared" si="94"/>
        <v/>
      </c>
      <c r="AB212" s="20" t="str">
        <f t="shared" si="95"/>
        <v/>
      </c>
      <c r="AC212" s="20" t="str">
        <f t="shared" si="96"/>
        <v/>
      </c>
      <c r="AD212" s="20" t="str">
        <f t="shared" si="97"/>
        <v/>
      </c>
      <c r="AE212" s="20" t="str">
        <f t="shared" si="98"/>
        <v/>
      </c>
      <c r="AF212" s="20" t="str">
        <f t="shared" si="99"/>
        <v/>
      </c>
      <c r="AG212" s="20" t="str">
        <f t="shared" si="100"/>
        <v/>
      </c>
      <c r="AH212" s="20" t="str">
        <f t="shared" si="101"/>
        <v/>
      </c>
      <c r="AI212" s="20" t="str">
        <f t="shared" si="102"/>
        <v/>
      </c>
      <c r="AJ212" s="20" t="str">
        <f t="shared" si="103"/>
        <v/>
      </c>
      <c r="AK212" s="20" t="str">
        <f t="shared" si="104"/>
        <v/>
      </c>
      <c r="AL212" s="20" t="str">
        <f t="shared" si="105"/>
        <v/>
      </c>
      <c r="AM212" s="20" t="str">
        <f t="shared" si="106"/>
        <v/>
      </c>
      <c r="AN212" s="20" t="str">
        <f t="shared" si="107"/>
        <v/>
      </c>
      <c r="AO212" s="20" t="str">
        <f t="shared" si="108"/>
        <v/>
      </c>
      <c r="AP212" s="20" t="str">
        <f t="shared" si="109"/>
        <v/>
      </c>
      <c r="AQ212" s="20" t="str">
        <f t="shared" si="110"/>
        <v/>
      </c>
      <c r="AR212" s="20" t="str">
        <f t="shared" si="111"/>
        <v/>
      </c>
      <c r="AS212" s="20" t="str">
        <f t="shared" si="112"/>
        <v/>
      </c>
      <c r="AT212" s="20" t="str">
        <f t="shared" si="113"/>
        <v/>
      </c>
      <c r="AU212" s="20" t="str">
        <f t="shared" si="114"/>
        <v/>
      </c>
      <c r="AV212" s="20" t="str">
        <f t="shared" si="115"/>
        <v/>
      </c>
      <c r="AW212" s="20" t="str">
        <f t="shared" si="116"/>
        <v/>
      </c>
      <c r="BD212" s="24"/>
      <c r="BE212" s="24"/>
      <c r="BF212" s="24"/>
      <c r="BG212" s="24"/>
      <c r="BH212" s="24"/>
      <c r="BI212" s="24"/>
      <c r="BL212" s="75"/>
      <c r="BM212" s="75"/>
      <c r="BN212" s="3"/>
      <c r="BO212" s="24"/>
      <c r="BP212" s="24"/>
      <c r="BQ212" s="24"/>
      <c r="BR212" s="24"/>
      <c r="BS212" s="57"/>
      <c r="BT212" s="24"/>
      <c r="BU212" s="24"/>
      <c r="BV212" s="24"/>
      <c r="BY212" s="24"/>
      <c r="BZ212" s="24"/>
      <c r="CB212" s="24"/>
      <c r="CC212" s="24"/>
      <c r="CD212" s="24"/>
      <c r="CE212" s="3"/>
      <c r="CF212" s="24"/>
      <c r="CG212" s="24"/>
      <c r="CH212" s="24"/>
      <c r="CI212" s="24"/>
      <c r="CJ212" s="77"/>
      <c r="CK212" s="77"/>
      <c r="CL212" s="77"/>
      <c r="CM212" s="77"/>
      <c r="CN212" s="77"/>
      <c r="CO212" s="77"/>
    </row>
    <row r="213" spans="1:93" ht="16.5" x14ac:dyDescent="0.25">
      <c r="A213" s="97"/>
      <c r="B213" s="97"/>
      <c r="C213" s="97"/>
      <c r="D213" s="97"/>
      <c r="E213" s="97"/>
      <c r="F213" s="97"/>
      <c r="G213" s="98"/>
      <c r="H213" s="97"/>
      <c r="I213" s="97"/>
      <c r="J213" s="97"/>
      <c r="K213" s="97"/>
      <c r="L213" s="97"/>
      <c r="M213" s="97"/>
      <c r="N213" s="97"/>
      <c r="O213" s="97"/>
      <c r="P213" s="97"/>
      <c r="Q213" s="100"/>
      <c r="R213" s="101"/>
      <c r="S213" s="99"/>
      <c r="T213" s="99"/>
      <c r="U213" s="97"/>
      <c r="V213" s="20" t="str">
        <f t="shared" si="89"/>
        <v/>
      </c>
      <c r="W213" s="20" t="str">
        <f t="shared" si="90"/>
        <v/>
      </c>
      <c r="X213" s="20" t="str">
        <f t="shared" si="91"/>
        <v/>
      </c>
      <c r="Y213" s="20" t="str">
        <f t="shared" si="92"/>
        <v/>
      </c>
      <c r="Z213" s="20" t="str">
        <f t="shared" si="93"/>
        <v/>
      </c>
      <c r="AA213" s="20" t="str">
        <f t="shared" si="94"/>
        <v/>
      </c>
      <c r="AB213" s="20" t="str">
        <f t="shared" si="95"/>
        <v/>
      </c>
      <c r="AC213" s="20" t="str">
        <f t="shared" si="96"/>
        <v/>
      </c>
      <c r="AD213" s="20" t="str">
        <f t="shared" si="97"/>
        <v/>
      </c>
      <c r="AE213" s="20" t="str">
        <f t="shared" si="98"/>
        <v/>
      </c>
      <c r="AF213" s="20" t="str">
        <f t="shared" si="99"/>
        <v/>
      </c>
      <c r="AG213" s="20" t="str">
        <f t="shared" si="100"/>
        <v/>
      </c>
      <c r="AH213" s="20" t="str">
        <f t="shared" si="101"/>
        <v/>
      </c>
      <c r="AI213" s="20" t="str">
        <f t="shared" si="102"/>
        <v/>
      </c>
      <c r="AJ213" s="20" t="str">
        <f t="shared" si="103"/>
        <v/>
      </c>
      <c r="AK213" s="20" t="str">
        <f t="shared" si="104"/>
        <v/>
      </c>
      <c r="AL213" s="20" t="str">
        <f t="shared" si="105"/>
        <v/>
      </c>
      <c r="AM213" s="20" t="str">
        <f t="shared" si="106"/>
        <v/>
      </c>
      <c r="AN213" s="20" t="str">
        <f t="shared" si="107"/>
        <v/>
      </c>
      <c r="AO213" s="20" t="str">
        <f t="shared" si="108"/>
        <v/>
      </c>
      <c r="AP213" s="20" t="str">
        <f t="shared" si="109"/>
        <v/>
      </c>
      <c r="AQ213" s="20" t="str">
        <f t="shared" si="110"/>
        <v/>
      </c>
      <c r="AR213" s="20" t="str">
        <f t="shared" si="111"/>
        <v/>
      </c>
      <c r="AS213" s="20" t="str">
        <f t="shared" si="112"/>
        <v/>
      </c>
      <c r="AT213" s="20" t="str">
        <f t="shared" si="113"/>
        <v/>
      </c>
      <c r="AU213" s="20" t="str">
        <f t="shared" si="114"/>
        <v/>
      </c>
      <c r="AV213" s="20" t="str">
        <f t="shared" si="115"/>
        <v/>
      </c>
      <c r="AW213" s="20" t="str">
        <f t="shared" si="116"/>
        <v/>
      </c>
      <c r="BD213" s="24"/>
      <c r="BE213" s="24"/>
      <c r="BF213" s="24"/>
      <c r="BG213" s="24"/>
      <c r="BH213" s="24"/>
      <c r="BI213" s="24"/>
      <c r="BL213" s="75"/>
      <c r="BM213" s="75"/>
      <c r="BN213" s="3"/>
      <c r="BO213" s="24"/>
      <c r="BP213" s="24"/>
      <c r="BQ213" s="24"/>
      <c r="BR213" s="24"/>
      <c r="BS213" s="57"/>
      <c r="BT213" s="24"/>
      <c r="BU213" s="24"/>
      <c r="BV213" s="24"/>
      <c r="BY213" s="24"/>
      <c r="BZ213" s="24"/>
      <c r="CB213" s="24"/>
      <c r="CC213" s="24"/>
      <c r="CD213" s="24"/>
      <c r="CE213" s="3"/>
      <c r="CF213" s="24"/>
      <c r="CG213" s="24"/>
      <c r="CH213" s="24"/>
      <c r="CI213" s="24"/>
      <c r="CJ213" s="24"/>
      <c r="CK213" s="77"/>
      <c r="CL213" s="77"/>
      <c r="CM213" s="77"/>
      <c r="CN213" s="77"/>
      <c r="CO213" s="77"/>
    </row>
    <row r="214" spans="1:93" ht="16.5" x14ac:dyDescent="0.25">
      <c r="A214" s="97"/>
      <c r="B214" s="97"/>
      <c r="C214" s="97"/>
      <c r="D214" s="97"/>
      <c r="E214" s="97"/>
      <c r="F214" s="97"/>
      <c r="G214" s="98"/>
      <c r="H214" s="97"/>
      <c r="I214" s="97"/>
      <c r="J214" s="97"/>
      <c r="K214" s="97"/>
      <c r="L214" s="97"/>
      <c r="M214" s="97"/>
      <c r="N214" s="97"/>
      <c r="O214" s="97"/>
      <c r="P214" s="97"/>
      <c r="Q214" s="100"/>
      <c r="R214" s="101"/>
      <c r="S214" s="99"/>
      <c r="T214" s="99"/>
      <c r="U214" s="97"/>
      <c r="V214" s="20" t="str">
        <f t="shared" si="89"/>
        <v/>
      </c>
      <c r="W214" s="20" t="str">
        <f t="shared" si="90"/>
        <v/>
      </c>
      <c r="X214" s="20" t="str">
        <f t="shared" si="91"/>
        <v/>
      </c>
      <c r="Y214" s="20" t="str">
        <f t="shared" si="92"/>
        <v/>
      </c>
      <c r="Z214" s="20" t="str">
        <f t="shared" si="93"/>
        <v/>
      </c>
      <c r="AA214" s="20" t="str">
        <f t="shared" si="94"/>
        <v/>
      </c>
      <c r="AB214" s="20" t="str">
        <f t="shared" si="95"/>
        <v/>
      </c>
      <c r="AC214" s="20" t="str">
        <f t="shared" si="96"/>
        <v/>
      </c>
      <c r="AD214" s="20" t="str">
        <f t="shared" si="97"/>
        <v/>
      </c>
      <c r="AE214" s="20" t="str">
        <f t="shared" si="98"/>
        <v/>
      </c>
      <c r="AF214" s="20" t="str">
        <f t="shared" si="99"/>
        <v/>
      </c>
      <c r="AG214" s="20" t="str">
        <f t="shared" si="100"/>
        <v/>
      </c>
      <c r="AH214" s="20" t="str">
        <f t="shared" si="101"/>
        <v/>
      </c>
      <c r="AI214" s="20" t="str">
        <f t="shared" si="102"/>
        <v/>
      </c>
      <c r="AJ214" s="20" t="str">
        <f t="shared" si="103"/>
        <v/>
      </c>
      <c r="AK214" s="20" t="str">
        <f t="shared" si="104"/>
        <v/>
      </c>
      <c r="AL214" s="20" t="str">
        <f t="shared" si="105"/>
        <v/>
      </c>
      <c r="AM214" s="20" t="str">
        <f t="shared" si="106"/>
        <v/>
      </c>
      <c r="AN214" s="20" t="str">
        <f t="shared" si="107"/>
        <v/>
      </c>
      <c r="AO214" s="20" t="str">
        <f t="shared" si="108"/>
        <v/>
      </c>
      <c r="AP214" s="20" t="str">
        <f t="shared" si="109"/>
        <v/>
      </c>
      <c r="AQ214" s="20" t="str">
        <f t="shared" si="110"/>
        <v/>
      </c>
      <c r="AR214" s="20" t="str">
        <f t="shared" si="111"/>
        <v/>
      </c>
      <c r="AS214" s="20" t="str">
        <f t="shared" si="112"/>
        <v/>
      </c>
      <c r="AT214" s="20" t="str">
        <f t="shared" si="113"/>
        <v/>
      </c>
      <c r="AU214" s="20" t="str">
        <f t="shared" si="114"/>
        <v/>
      </c>
      <c r="AV214" s="20" t="str">
        <f t="shared" si="115"/>
        <v/>
      </c>
      <c r="AW214" s="20" t="str">
        <f t="shared" si="116"/>
        <v/>
      </c>
      <c r="BD214" s="24"/>
      <c r="BE214" s="24"/>
      <c r="BF214" s="24"/>
      <c r="BG214" s="24"/>
      <c r="BH214" s="24"/>
      <c r="BI214" s="24"/>
      <c r="BL214" s="75"/>
      <c r="BM214" s="75"/>
      <c r="BN214" s="3"/>
      <c r="BO214" s="24"/>
      <c r="BP214" s="24"/>
      <c r="BQ214" s="24"/>
      <c r="BR214" s="24"/>
      <c r="BS214" s="57"/>
      <c r="BT214" s="24"/>
      <c r="BU214" s="24"/>
      <c r="BV214" s="24"/>
      <c r="BY214" s="24"/>
      <c r="BZ214" s="24"/>
      <c r="CB214" s="24"/>
      <c r="CC214" s="24"/>
      <c r="CD214" s="24"/>
      <c r="CE214" s="3"/>
      <c r="CF214" s="24"/>
      <c r="CG214" s="24"/>
      <c r="CH214" s="24"/>
      <c r="CI214" s="24"/>
      <c r="CJ214" s="77"/>
      <c r="CK214" s="77"/>
      <c r="CL214" s="77"/>
      <c r="CM214" s="77"/>
      <c r="CN214" s="77"/>
      <c r="CO214" s="77"/>
    </row>
    <row r="215" spans="1:93" ht="16.5" x14ac:dyDescent="0.25">
      <c r="A215" s="97"/>
      <c r="B215" s="97"/>
      <c r="C215" s="97"/>
      <c r="D215" s="97"/>
      <c r="E215" s="97"/>
      <c r="F215" s="97"/>
      <c r="G215" s="98"/>
      <c r="H215" s="97"/>
      <c r="I215" s="97"/>
      <c r="J215" s="97"/>
      <c r="K215" s="97"/>
      <c r="L215" s="97"/>
      <c r="M215" s="97"/>
      <c r="N215" s="97"/>
      <c r="O215" s="97"/>
      <c r="P215" s="97"/>
      <c r="Q215" s="100"/>
      <c r="R215" s="101"/>
      <c r="S215" s="99"/>
      <c r="T215" s="99"/>
      <c r="U215" s="97"/>
      <c r="V215" s="20" t="str">
        <f t="shared" si="89"/>
        <v/>
      </c>
      <c r="W215" s="20" t="str">
        <f t="shared" si="90"/>
        <v/>
      </c>
      <c r="X215" s="20" t="str">
        <f t="shared" si="91"/>
        <v/>
      </c>
      <c r="Y215" s="20" t="str">
        <f t="shared" si="92"/>
        <v/>
      </c>
      <c r="Z215" s="20" t="str">
        <f t="shared" si="93"/>
        <v/>
      </c>
      <c r="AA215" s="20" t="str">
        <f t="shared" si="94"/>
        <v/>
      </c>
      <c r="AB215" s="20" t="str">
        <f t="shared" si="95"/>
        <v/>
      </c>
      <c r="AC215" s="20" t="str">
        <f t="shared" si="96"/>
        <v/>
      </c>
      <c r="AD215" s="20" t="str">
        <f t="shared" si="97"/>
        <v/>
      </c>
      <c r="AE215" s="20" t="str">
        <f t="shared" si="98"/>
        <v/>
      </c>
      <c r="AF215" s="20" t="str">
        <f t="shared" si="99"/>
        <v/>
      </c>
      <c r="AG215" s="20" t="str">
        <f t="shared" si="100"/>
        <v/>
      </c>
      <c r="AH215" s="20" t="str">
        <f t="shared" si="101"/>
        <v/>
      </c>
      <c r="AI215" s="20" t="str">
        <f t="shared" si="102"/>
        <v/>
      </c>
      <c r="AJ215" s="20" t="str">
        <f t="shared" si="103"/>
        <v/>
      </c>
      <c r="AK215" s="20" t="str">
        <f t="shared" si="104"/>
        <v/>
      </c>
      <c r="AL215" s="20" t="str">
        <f t="shared" si="105"/>
        <v/>
      </c>
      <c r="AM215" s="20" t="str">
        <f t="shared" si="106"/>
        <v/>
      </c>
      <c r="AN215" s="20" t="str">
        <f t="shared" si="107"/>
        <v/>
      </c>
      <c r="AO215" s="20" t="str">
        <f t="shared" si="108"/>
        <v/>
      </c>
      <c r="AP215" s="20" t="str">
        <f t="shared" si="109"/>
        <v/>
      </c>
      <c r="AQ215" s="20" t="str">
        <f t="shared" si="110"/>
        <v/>
      </c>
      <c r="AR215" s="20" t="str">
        <f t="shared" si="111"/>
        <v/>
      </c>
      <c r="AS215" s="20" t="str">
        <f t="shared" si="112"/>
        <v/>
      </c>
      <c r="AT215" s="20" t="str">
        <f t="shared" si="113"/>
        <v/>
      </c>
      <c r="AU215" s="20" t="str">
        <f t="shared" si="114"/>
        <v/>
      </c>
      <c r="AV215" s="20" t="str">
        <f t="shared" si="115"/>
        <v/>
      </c>
      <c r="AW215" s="20" t="str">
        <f t="shared" si="116"/>
        <v/>
      </c>
      <c r="BD215" s="24"/>
      <c r="BE215" s="24"/>
      <c r="BF215" s="24"/>
      <c r="BG215" s="24"/>
      <c r="BH215" s="24"/>
      <c r="BI215" s="24"/>
      <c r="BL215" s="75"/>
      <c r="BM215" s="75"/>
      <c r="BN215" s="3"/>
      <c r="BO215" s="24"/>
      <c r="BP215" s="24"/>
      <c r="BQ215" s="24"/>
      <c r="BR215" s="24"/>
      <c r="BS215" s="57"/>
      <c r="BT215" s="24"/>
      <c r="BU215" s="24"/>
      <c r="BV215" s="24"/>
      <c r="BY215" s="24"/>
      <c r="BZ215" s="24"/>
      <c r="CB215" s="24"/>
      <c r="CC215" s="24"/>
      <c r="CD215" s="24"/>
      <c r="CE215" s="3"/>
      <c r="CF215" s="24"/>
      <c r="CG215" s="24"/>
      <c r="CH215" s="24"/>
      <c r="CI215" s="24"/>
      <c r="CJ215" s="77"/>
      <c r="CK215" s="77"/>
      <c r="CL215" s="77"/>
      <c r="CM215" s="77"/>
      <c r="CN215" s="77"/>
      <c r="CO215" s="77"/>
    </row>
    <row r="216" spans="1:93" ht="16.5" x14ac:dyDescent="0.25">
      <c r="A216" s="97"/>
      <c r="B216" s="97"/>
      <c r="C216" s="97"/>
      <c r="D216" s="97"/>
      <c r="E216" s="97"/>
      <c r="F216" s="97"/>
      <c r="G216" s="98"/>
      <c r="H216" s="97"/>
      <c r="I216" s="97"/>
      <c r="J216" s="97"/>
      <c r="K216" s="97"/>
      <c r="L216" s="97"/>
      <c r="M216" s="97"/>
      <c r="N216" s="97"/>
      <c r="O216" s="97"/>
      <c r="P216" s="97"/>
      <c r="Q216" s="100"/>
      <c r="R216" s="101"/>
      <c r="S216" s="99"/>
      <c r="T216" s="99"/>
      <c r="U216" s="97"/>
      <c r="V216" s="20" t="str">
        <f t="shared" si="89"/>
        <v/>
      </c>
      <c r="W216" s="20" t="str">
        <f t="shared" si="90"/>
        <v/>
      </c>
      <c r="X216" s="20" t="str">
        <f t="shared" si="91"/>
        <v/>
      </c>
      <c r="Y216" s="20" t="str">
        <f t="shared" si="92"/>
        <v/>
      </c>
      <c r="Z216" s="20" t="str">
        <f t="shared" si="93"/>
        <v/>
      </c>
      <c r="AA216" s="20" t="str">
        <f t="shared" si="94"/>
        <v/>
      </c>
      <c r="AB216" s="20" t="str">
        <f t="shared" si="95"/>
        <v/>
      </c>
      <c r="AC216" s="20" t="str">
        <f t="shared" si="96"/>
        <v/>
      </c>
      <c r="AD216" s="20" t="str">
        <f t="shared" si="97"/>
        <v/>
      </c>
      <c r="AE216" s="20" t="str">
        <f t="shared" si="98"/>
        <v/>
      </c>
      <c r="AF216" s="20" t="str">
        <f t="shared" si="99"/>
        <v/>
      </c>
      <c r="AG216" s="20" t="str">
        <f t="shared" si="100"/>
        <v/>
      </c>
      <c r="AH216" s="20" t="str">
        <f t="shared" si="101"/>
        <v/>
      </c>
      <c r="AI216" s="20" t="str">
        <f t="shared" si="102"/>
        <v/>
      </c>
      <c r="AJ216" s="20" t="str">
        <f t="shared" si="103"/>
        <v/>
      </c>
      <c r="AK216" s="20" t="str">
        <f t="shared" si="104"/>
        <v/>
      </c>
      <c r="AL216" s="20" t="str">
        <f t="shared" si="105"/>
        <v/>
      </c>
      <c r="AM216" s="20" t="str">
        <f t="shared" si="106"/>
        <v/>
      </c>
      <c r="AN216" s="20" t="str">
        <f t="shared" si="107"/>
        <v/>
      </c>
      <c r="AO216" s="20" t="str">
        <f t="shared" si="108"/>
        <v/>
      </c>
      <c r="AP216" s="20" t="str">
        <f t="shared" si="109"/>
        <v/>
      </c>
      <c r="AQ216" s="20" t="str">
        <f t="shared" si="110"/>
        <v/>
      </c>
      <c r="AR216" s="20" t="str">
        <f t="shared" si="111"/>
        <v/>
      </c>
      <c r="AS216" s="20" t="str">
        <f t="shared" si="112"/>
        <v/>
      </c>
      <c r="AT216" s="20" t="str">
        <f t="shared" si="113"/>
        <v/>
      </c>
      <c r="AU216" s="20" t="str">
        <f t="shared" si="114"/>
        <v/>
      </c>
      <c r="AV216" s="20" t="str">
        <f t="shared" si="115"/>
        <v/>
      </c>
      <c r="AW216" s="20" t="str">
        <f t="shared" si="116"/>
        <v/>
      </c>
      <c r="BD216" s="78"/>
      <c r="BE216" s="78"/>
      <c r="BF216" s="78"/>
      <c r="BG216" s="78"/>
      <c r="BH216" s="3"/>
      <c r="BI216" s="3"/>
      <c r="BJ216" s="94"/>
      <c r="BK216" s="3"/>
      <c r="BL216" s="3"/>
      <c r="BM216" s="3"/>
      <c r="BN216" s="3"/>
      <c r="BO216" s="3"/>
      <c r="BP216" s="3"/>
      <c r="BQ216" s="3"/>
      <c r="BR216" s="3"/>
      <c r="BS216" s="3"/>
      <c r="BT216" s="3"/>
      <c r="BU216" s="3"/>
      <c r="BV216" s="3"/>
      <c r="BW216" s="94"/>
      <c r="BX216" s="3"/>
      <c r="BY216" s="3"/>
      <c r="BZ216" s="3"/>
      <c r="CA216" s="94"/>
      <c r="CB216" s="3"/>
      <c r="CC216" s="3"/>
      <c r="CD216" s="3"/>
      <c r="CE216" s="3"/>
      <c r="CF216" s="3"/>
      <c r="CG216" s="3"/>
      <c r="CH216" s="3"/>
      <c r="CI216" s="3"/>
      <c r="CJ216" s="3"/>
      <c r="CK216" s="3"/>
      <c r="CL216" s="3"/>
      <c r="CM216" s="3"/>
      <c r="CN216" s="3"/>
      <c r="CO216" s="3"/>
    </row>
    <row r="217" spans="1:93" ht="16.5" x14ac:dyDescent="0.25">
      <c r="A217" s="97"/>
      <c r="B217" s="97"/>
      <c r="C217" s="97"/>
      <c r="D217" s="97"/>
      <c r="E217" s="97"/>
      <c r="F217" s="97"/>
      <c r="G217" s="98"/>
      <c r="H217" s="97"/>
      <c r="I217" s="97"/>
      <c r="J217" s="97"/>
      <c r="K217" s="97"/>
      <c r="L217" s="97"/>
      <c r="M217" s="97"/>
      <c r="N217" s="97"/>
      <c r="O217" s="97"/>
      <c r="P217" s="97"/>
      <c r="Q217" s="100"/>
      <c r="R217" s="101"/>
      <c r="S217" s="99"/>
      <c r="T217" s="99"/>
      <c r="U217" s="97"/>
      <c r="V217" s="20" t="str">
        <f t="shared" si="89"/>
        <v/>
      </c>
      <c r="W217" s="20" t="str">
        <f t="shared" si="90"/>
        <v/>
      </c>
      <c r="X217" s="20" t="str">
        <f t="shared" si="91"/>
        <v/>
      </c>
      <c r="Y217" s="20" t="str">
        <f t="shared" si="92"/>
        <v/>
      </c>
      <c r="Z217" s="20" t="str">
        <f t="shared" si="93"/>
        <v/>
      </c>
      <c r="AA217" s="20" t="str">
        <f t="shared" si="94"/>
        <v/>
      </c>
      <c r="AB217" s="20" t="str">
        <f t="shared" si="95"/>
        <v/>
      </c>
      <c r="AC217" s="20" t="str">
        <f t="shared" si="96"/>
        <v/>
      </c>
      <c r="AD217" s="20" t="str">
        <f t="shared" si="97"/>
        <v/>
      </c>
      <c r="AE217" s="20" t="str">
        <f t="shared" si="98"/>
        <v/>
      </c>
      <c r="AF217" s="20" t="str">
        <f t="shared" si="99"/>
        <v/>
      </c>
      <c r="AG217" s="20" t="str">
        <f t="shared" si="100"/>
        <v/>
      </c>
      <c r="AH217" s="20" t="str">
        <f t="shared" si="101"/>
        <v/>
      </c>
      <c r="AI217" s="20" t="str">
        <f t="shared" si="102"/>
        <v/>
      </c>
      <c r="AJ217" s="20" t="str">
        <f t="shared" si="103"/>
        <v/>
      </c>
      <c r="AK217" s="20" t="str">
        <f t="shared" si="104"/>
        <v/>
      </c>
      <c r="AL217" s="20" t="str">
        <f t="shared" si="105"/>
        <v/>
      </c>
      <c r="AM217" s="20" t="str">
        <f t="shared" si="106"/>
        <v/>
      </c>
      <c r="AN217" s="20" t="str">
        <f t="shared" si="107"/>
        <v/>
      </c>
      <c r="AO217" s="20" t="str">
        <f t="shared" si="108"/>
        <v/>
      </c>
      <c r="AP217" s="20" t="str">
        <f t="shared" si="109"/>
        <v/>
      </c>
      <c r="AQ217" s="20" t="str">
        <f t="shared" si="110"/>
        <v/>
      </c>
      <c r="AR217" s="20" t="str">
        <f t="shared" si="111"/>
        <v/>
      </c>
      <c r="AS217" s="20" t="str">
        <f t="shared" si="112"/>
        <v/>
      </c>
      <c r="AT217" s="20" t="str">
        <f t="shared" si="113"/>
        <v/>
      </c>
      <c r="AU217" s="20" t="str">
        <f t="shared" si="114"/>
        <v/>
      </c>
      <c r="AV217" s="20" t="str">
        <f t="shared" si="115"/>
        <v/>
      </c>
      <c r="AW217" s="20" t="str">
        <f t="shared" si="116"/>
        <v/>
      </c>
      <c r="BD217" s="78"/>
      <c r="BE217" s="78"/>
      <c r="BF217" s="78"/>
      <c r="BG217" s="78"/>
      <c r="BH217" s="3"/>
      <c r="BI217" s="3"/>
      <c r="BJ217" s="94"/>
      <c r="BK217" s="3"/>
      <c r="BL217" s="3"/>
      <c r="BM217" s="3"/>
      <c r="BN217" s="3"/>
      <c r="BO217" s="3"/>
      <c r="BP217" s="3"/>
      <c r="BQ217" s="3"/>
      <c r="BR217" s="3"/>
      <c r="BS217" s="3"/>
      <c r="BT217" s="3"/>
      <c r="BU217" s="3"/>
      <c r="BV217" s="3"/>
      <c r="BW217" s="94"/>
      <c r="BX217" s="3"/>
      <c r="BY217" s="3"/>
      <c r="BZ217" s="3"/>
      <c r="CA217" s="94"/>
      <c r="CB217" s="3"/>
      <c r="CC217" s="3"/>
      <c r="CD217" s="3"/>
      <c r="CE217" s="3"/>
      <c r="CF217" s="3"/>
      <c r="CG217" s="3"/>
      <c r="CH217" s="3"/>
      <c r="CI217" s="3"/>
      <c r="CJ217" s="3"/>
      <c r="CK217" s="3"/>
      <c r="CL217" s="3"/>
      <c r="CM217" s="3"/>
      <c r="CN217" s="3"/>
      <c r="CO217" s="3"/>
    </row>
    <row r="218" spans="1:93" ht="16.5" x14ac:dyDescent="0.25">
      <c r="A218" s="97"/>
      <c r="B218" s="97"/>
      <c r="C218" s="97"/>
      <c r="D218" s="97"/>
      <c r="E218" s="97"/>
      <c r="F218" s="97"/>
      <c r="G218" s="98"/>
      <c r="H218" s="97"/>
      <c r="I218" s="97"/>
      <c r="J218" s="97"/>
      <c r="K218" s="97"/>
      <c r="L218" s="97"/>
      <c r="M218" s="97"/>
      <c r="N218" s="97"/>
      <c r="O218" s="97"/>
      <c r="P218" s="97"/>
      <c r="Q218" s="100"/>
      <c r="R218" s="101"/>
      <c r="S218" s="99"/>
      <c r="T218" s="99"/>
      <c r="U218" s="97"/>
      <c r="V218" s="20" t="str">
        <f t="shared" si="89"/>
        <v/>
      </c>
      <c r="W218" s="20" t="str">
        <f t="shared" si="90"/>
        <v/>
      </c>
      <c r="X218" s="20" t="str">
        <f t="shared" si="91"/>
        <v/>
      </c>
      <c r="Y218" s="20" t="str">
        <f t="shared" si="92"/>
        <v/>
      </c>
      <c r="Z218" s="20" t="str">
        <f t="shared" si="93"/>
        <v/>
      </c>
      <c r="AA218" s="20" t="str">
        <f t="shared" si="94"/>
        <v/>
      </c>
      <c r="AB218" s="20" t="str">
        <f t="shared" si="95"/>
        <v/>
      </c>
      <c r="AC218" s="20" t="str">
        <f t="shared" si="96"/>
        <v/>
      </c>
      <c r="AD218" s="20" t="str">
        <f t="shared" si="97"/>
        <v/>
      </c>
      <c r="AE218" s="20" t="str">
        <f t="shared" si="98"/>
        <v/>
      </c>
      <c r="AF218" s="20" t="str">
        <f t="shared" si="99"/>
        <v/>
      </c>
      <c r="AG218" s="20" t="str">
        <f t="shared" si="100"/>
        <v/>
      </c>
      <c r="AH218" s="20" t="str">
        <f t="shared" si="101"/>
        <v/>
      </c>
      <c r="AI218" s="20" t="str">
        <f t="shared" si="102"/>
        <v/>
      </c>
      <c r="AJ218" s="20" t="str">
        <f t="shared" si="103"/>
        <v/>
      </c>
      <c r="AK218" s="20" t="str">
        <f t="shared" si="104"/>
        <v/>
      </c>
      <c r="AL218" s="20" t="str">
        <f t="shared" si="105"/>
        <v/>
      </c>
      <c r="AM218" s="20" t="str">
        <f t="shared" si="106"/>
        <v/>
      </c>
      <c r="AN218" s="20" t="str">
        <f t="shared" si="107"/>
        <v/>
      </c>
      <c r="AO218" s="20" t="str">
        <f t="shared" si="108"/>
        <v/>
      </c>
      <c r="AP218" s="20" t="str">
        <f t="shared" si="109"/>
        <v/>
      </c>
      <c r="AQ218" s="20" t="str">
        <f t="shared" si="110"/>
        <v/>
      </c>
      <c r="AR218" s="20" t="str">
        <f t="shared" si="111"/>
        <v/>
      </c>
      <c r="AS218" s="20" t="str">
        <f t="shared" si="112"/>
        <v/>
      </c>
      <c r="AT218" s="20" t="str">
        <f t="shared" si="113"/>
        <v/>
      </c>
      <c r="AU218" s="20" t="str">
        <f t="shared" si="114"/>
        <v/>
      </c>
      <c r="AV218" s="20" t="str">
        <f t="shared" si="115"/>
        <v/>
      </c>
      <c r="AW218" s="20" t="str">
        <f t="shared" si="116"/>
        <v/>
      </c>
      <c r="BD218" s="78"/>
      <c r="BE218" s="78"/>
      <c r="BF218" s="78"/>
      <c r="BG218" s="78"/>
      <c r="BH218" s="3"/>
      <c r="BI218" s="3"/>
      <c r="BJ218" s="94"/>
      <c r="BK218" s="3"/>
      <c r="BL218" s="3"/>
      <c r="BM218" s="3"/>
      <c r="BN218" s="3"/>
      <c r="BO218" s="3"/>
      <c r="BP218" s="3"/>
      <c r="BQ218" s="3"/>
      <c r="BR218" s="3"/>
      <c r="BS218" s="3"/>
      <c r="BT218" s="3"/>
      <c r="BU218" s="3"/>
      <c r="BV218" s="3"/>
      <c r="BW218" s="94"/>
      <c r="BX218" s="3"/>
      <c r="BY218" s="3"/>
      <c r="BZ218" s="3"/>
      <c r="CA218" s="94"/>
      <c r="CB218" s="3"/>
      <c r="CC218" s="3"/>
      <c r="CD218" s="3"/>
      <c r="CE218" s="3"/>
      <c r="CF218" s="3"/>
      <c r="CG218" s="3"/>
      <c r="CH218" s="3"/>
      <c r="CI218" s="3"/>
      <c r="CJ218" s="3"/>
      <c r="CK218" s="3"/>
      <c r="CL218" s="3"/>
      <c r="CM218" s="3"/>
      <c r="CN218" s="3"/>
      <c r="CO218" s="3"/>
    </row>
    <row r="219" spans="1:93" ht="16.5" x14ac:dyDescent="0.25">
      <c r="A219" s="97"/>
      <c r="B219" s="97"/>
      <c r="C219" s="97"/>
      <c r="D219" s="97"/>
      <c r="E219" s="97"/>
      <c r="F219" s="97"/>
      <c r="G219" s="98"/>
      <c r="H219" s="97"/>
      <c r="I219" s="97"/>
      <c r="J219" s="97"/>
      <c r="K219" s="97"/>
      <c r="L219" s="97"/>
      <c r="M219" s="97"/>
      <c r="N219" s="97"/>
      <c r="O219" s="97"/>
      <c r="P219" s="97"/>
      <c r="Q219" s="100"/>
      <c r="R219" s="101"/>
      <c r="S219" s="99"/>
      <c r="T219" s="99"/>
      <c r="U219" s="97"/>
      <c r="V219" s="20" t="str">
        <f t="shared" si="89"/>
        <v/>
      </c>
      <c r="W219" s="20" t="str">
        <f t="shared" si="90"/>
        <v/>
      </c>
      <c r="X219" s="20" t="str">
        <f t="shared" si="91"/>
        <v/>
      </c>
      <c r="Y219" s="20" t="str">
        <f t="shared" si="92"/>
        <v/>
      </c>
      <c r="Z219" s="20" t="str">
        <f t="shared" si="93"/>
        <v/>
      </c>
      <c r="AA219" s="20" t="str">
        <f t="shared" si="94"/>
        <v/>
      </c>
      <c r="AB219" s="20" t="str">
        <f t="shared" si="95"/>
        <v/>
      </c>
      <c r="AC219" s="20" t="str">
        <f t="shared" si="96"/>
        <v/>
      </c>
      <c r="AD219" s="20" t="str">
        <f t="shared" si="97"/>
        <v/>
      </c>
      <c r="AE219" s="20" t="str">
        <f t="shared" si="98"/>
        <v/>
      </c>
      <c r="AF219" s="20" t="str">
        <f t="shared" si="99"/>
        <v/>
      </c>
      <c r="AG219" s="20" t="str">
        <f t="shared" si="100"/>
        <v/>
      </c>
      <c r="AH219" s="20" t="str">
        <f t="shared" si="101"/>
        <v/>
      </c>
      <c r="AI219" s="20" t="str">
        <f t="shared" si="102"/>
        <v/>
      </c>
      <c r="AJ219" s="20" t="str">
        <f t="shared" si="103"/>
        <v/>
      </c>
      <c r="AK219" s="20" t="str">
        <f t="shared" si="104"/>
        <v/>
      </c>
      <c r="AL219" s="20" t="str">
        <f t="shared" si="105"/>
        <v/>
      </c>
      <c r="AM219" s="20" t="str">
        <f t="shared" si="106"/>
        <v/>
      </c>
      <c r="AN219" s="20" t="str">
        <f t="shared" si="107"/>
        <v/>
      </c>
      <c r="AO219" s="20" t="str">
        <f t="shared" si="108"/>
        <v/>
      </c>
      <c r="AP219" s="20" t="str">
        <f t="shared" si="109"/>
        <v/>
      </c>
      <c r="AQ219" s="20" t="str">
        <f t="shared" si="110"/>
        <v/>
      </c>
      <c r="AR219" s="20" t="str">
        <f t="shared" si="111"/>
        <v/>
      </c>
      <c r="AS219" s="20" t="str">
        <f t="shared" si="112"/>
        <v/>
      </c>
      <c r="AT219" s="20" t="str">
        <f t="shared" si="113"/>
        <v/>
      </c>
      <c r="AU219" s="20" t="str">
        <f t="shared" si="114"/>
        <v/>
      </c>
      <c r="AV219" s="20" t="str">
        <f t="shared" si="115"/>
        <v/>
      </c>
      <c r="AW219" s="20" t="str">
        <f t="shared" si="116"/>
        <v/>
      </c>
      <c r="BD219" s="78"/>
      <c r="BE219" s="78"/>
      <c r="BF219" s="78"/>
      <c r="BG219" s="78"/>
      <c r="BH219" s="3"/>
      <c r="BI219" s="3"/>
      <c r="BJ219" s="94"/>
      <c r="BK219" s="3"/>
      <c r="BL219" s="3"/>
      <c r="BM219" s="3"/>
      <c r="BN219" s="3"/>
      <c r="BO219" s="3"/>
      <c r="BP219" s="3"/>
      <c r="BQ219" s="3"/>
      <c r="BR219" s="3"/>
      <c r="BS219" s="3"/>
      <c r="BT219" s="3"/>
      <c r="BU219" s="3"/>
      <c r="BV219" s="3"/>
      <c r="BW219" s="94"/>
      <c r="BX219" s="3"/>
      <c r="BY219" s="3"/>
      <c r="BZ219" s="3"/>
      <c r="CA219" s="94"/>
      <c r="CB219" s="3"/>
      <c r="CC219" s="3"/>
      <c r="CD219" s="3"/>
      <c r="CE219" s="3"/>
      <c r="CF219" s="3"/>
      <c r="CG219" s="3"/>
      <c r="CH219" s="3"/>
      <c r="CI219" s="3"/>
      <c r="CJ219" s="3"/>
      <c r="CK219" s="3"/>
      <c r="CL219" s="3"/>
      <c r="CM219" s="3"/>
      <c r="CN219" s="3"/>
      <c r="CO219" s="3"/>
    </row>
    <row r="220" spans="1:93" ht="16.5" x14ac:dyDescent="0.25">
      <c r="A220" s="97"/>
      <c r="B220" s="97"/>
      <c r="C220" s="97"/>
      <c r="D220" s="97"/>
      <c r="E220" s="97"/>
      <c r="F220" s="97"/>
      <c r="G220" s="98"/>
      <c r="H220" s="97"/>
      <c r="I220" s="97"/>
      <c r="J220" s="97"/>
      <c r="K220" s="97"/>
      <c r="L220" s="97"/>
      <c r="M220" s="97"/>
      <c r="N220" s="97"/>
      <c r="O220" s="97"/>
      <c r="P220" s="97"/>
      <c r="Q220" s="100"/>
      <c r="R220" s="101"/>
      <c r="S220" s="99"/>
      <c r="T220" s="99"/>
      <c r="U220" s="97"/>
      <c r="V220" s="20" t="str">
        <f t="shared" si="89"/>
        <v/>
      </c>
      <c r="W220" s="20" t="str">
        <f t="shared" si="90"/>
        <v/>
      </c>
      <c r="X220" s="20" t="str">
        <f t="shared" si="91"/>
        <v/>
      </c>
      <c r="Y220" s="20" t="str">
        <f t="shared" si="92"/>
        <v/>
      </c>
      <c r="Z220" s="20" t="str">
        <f t="shared" si="93"/>
        <v/>
      </c>
      <c r="AA220" s="20" t="str">
        <f t="shared" si="94"/>
        <v/>
      </c>
      <c r="AB220" s="20" t="str">
        <f t="shared" si="95"/>
        <v/>
      </c>
      <c r="AC220" s="20" t="str">
        <f t="shared" si="96"/>
        <v/>
      </c>
      <c r="AD220" s="20" t="str">
        <f t="shared" si="97"/>
        <v/>
      </c>
      <c r="AE220" s="20" t="str">
        <f t="shared" si="98"/>
        <v/>
      </c>
      <c r="AF220" s="20" t="str">
        <f t="shared" si="99"/>
        <v/>
      </c>
      <c r="AG220" s="20" t="str">
        <f t="shared" si="100"/>
        <v/>
      </c>
      <c r="AH220" s="20" t="str">
        <f t="shared" si="101"/>
        <v/>
      </c>
      <c r="AI220" s="20" t="str">
        <f t="shared" si="102"/>
        <v/>
      </c>
      <c r="AJ220" s="20" t="str">
        <f t="shared" si="103"/>
        <v/>
      </c>
      <c r="AK220" s="20" t="str">
        <f t="shared" si="104"/>
        <v/>
      </c>
      <c r="AL220" s="20" t="str">
        <f t="shared" si="105"/>
        <v/>
      </c>
      <c r="AM220" s="20" t="str">
        <f t="shared" si="106"/>
        <v/>
      </c>
      <c r="AN220" s="20" t="str">
        <f t="shared" si="107"/>
        <v/>
      </c>
      <c r="AO220" s="20" t="str">
        <f t="shared" si="108"/>
        <v/>
      </c>
      <c r="AP220" s="20" t="str">
        <f t="shared" si="109"/>
        <v/>
      </c>
      <c r="AQ220" s="20" t="str">
        <f t="shared" si="110"/>
        <v/>
      </c>
      <c r="AR220" s="20" t="str">
        <f t="shared" si="111"/>
        <v/>
      </c>
      <c r="AS220" s="20" t="str">
        <f t="shared" si="112"/>
        <v/>
      </c>
      <c r="AT220" s="20" t="str">
        <f t="shared" si="113"/>
        <v/>
      </c>
      <c r="AU220" s="20" t="str">
        <f t="shared" si="114"/>
        <v/>
      </c>
      <c r="AV220" s="20" t="str">
        <f t="shared" si="115"/>
        <v/>
      </c>
      <c r="AW220" s="20" t="str">
        <f t="shared" si="116"/>
        <v/>
      </c>
      <c r="BD220" s="78"/>
      <c r="BE220" s="78"/>
      <c r="BF220" s="78"/>
      <c r="BG220" s="78"/>
      <c r="BH220" s="3"/>
      <c r="BI220" s="3"/>
      <c r="BJ220" s="94"/>
      <c r="BK220" s="3"/>
      <c r="BL220" s="3"/>
      <c r="BM220" s="3"/>
      <c r="BN220" s="3"/>
      <c r="BO220" s="3"/>
      <c r="BP220" s="3"/>
      <c r="BQ220" s="3"/>
      <c r="BR220" s="3"/>
      <c r="BS220" s="3"/>
      <c r="BT220" s="3"/>
      <c r="BU220" s="3"/>
      <c r="BV220" s="3"/>
      <c r="BW220" s="94"/>
      <c r="BX220" s="3"/>
      <c r="BY220" s="3"/>
      <c r="BZ220" s="3"/>
      <c r="CA220" s="94"/>
      <c r="CB220" s="3"/>
      <c r="CC220" s="3"/>
      <c r="CD220" s="3"/>
      <c r="CE220" s="3"/>
      <c r="CF220" s="3"/>
      <c r="CG220" s="3"/>
      <c r="CH220" s="3"/>
      <c r="CI220" s="3"/>
      <c r="CJ220" s="3"/>
      <c r="CK220" s="3"/>
      <c r="CL220" s="3"/>
      <c r="CM220" s="3"/>
      <c r="CN220" s="3"/>
      <c r="CO220" s="3"/>
    </row>
    <row r="221" spans="1:93" ht="16.5" x14ac:dyDescent="0.25">
      <c r="A221" s="97"/>
      <c r="B221" s="97"/>
      <c r="C221" s="97"/>
      <c r="D221" s="97"/>
      <c r="E221" s="97"/>
      <c r="F221" s="97"/>
      <c r="G221" s="98"/>
      <c r="H221" s="97"/>
      <c r="I221" s="97"/>
      <c r="J221" s="97"/>
      <c r="K221" s="97"/>
      <c r="L221" s="97"/>
      <c r="M221" s="97"/>
      <c r="N221" s="97"/>
      <c r="O221" s="97"/>
      <c r="P221" s="97"/>
      <c r="Q221" s="100"/>
      <c r="R221" s="101"/>
      <c r="S221" s="99"/>
      <c r="T221" s="99"/>
      <c r="U221" s="97"/>
      <c r="V221" s="20" t="str">
        <f t="shared" si="89"/>
        <v/>
      </c>
      <c r="W221" s="20" t="str">
        <f t="shared" si="90"/>
        <v/>
      </c>
      <c r="X221" s="20" t="str">
        <f t="shared" si="91"/>
        <v/>
      </c>
      <c r="Y221" s="20" t="str">
        <f t="shared" si="92"/>
        <v/>
      </c>
      <c r="Z221" s="20" t="str">
        <f t="shared" si="93"/>
        <v/>
      </c>
      <c r="AA221" s="20" t="str">
        <f t="shared" si="94"/>
        <v/>
      </c>
      <c r="AB221" s="20" t="str">
        <f t="shared" si="95"/>
        <v/>
      </c>
      <c r="AC221" s="20" t="str">
        <f t="shared" si="96"/>
        <v/>
      </c>
      <c r="AD221" s="20" t="str">
        <f t="shared" si="97"/>
        <v/>
      </c>
      <c r="AE221" s="20" t="str">
        <f t="shared" si="98"/>
        <v/>
      </c>
      <c r="AF221" s="20" t="str">
        <f t="shared" si="99"/>
        <v/>
      </c>
      <c r="AG221" s="20" t="str">
        <f t="shared" si="100"/>
        <v/>
      </c>
      <c r="AH221" s="20" t="str">
        <f t="shared" si="101"/>
        <v/>
      </c>
      <c r="AI221" s="20" t="str">
        <f t="shared" si="102"/>
        <v/>
      </c>
      <c r="AJ221" s="20" t="str">
        <f t="shared" si="103"/>
        <v/>
      </c>
      <c r="AK221" s="20" t="str">
        <f t="shared" si="104"/>
        <v/>
      </c>
      <c r="AL221" s="20" t="str">
        <f t="shared" si="105"/>
        <v/>
      </c>
      <c r="AM221" s="20" t="str">
        <f t="shared" si="106"/>
        <v/>
      </c>
      <c r="AN221" s="20" t="str">
        <f t="shared" si="107"/>
        <v/>
      </c>
      <c r="AO221" s="20" t="str">
        <f t="shared" si="108"/>
        <v/>
      </c>
      <c r="AP221" s="20" t="str">
        <f t="shared" si="109"/>
        <v/>
      </c>
      <c r="AQ221" s="20" t="str">
        <f t="shared" si="110"/>
        <v/>
      </c>
      <c r="AR221" s="20" t="str">
        <f t="shared" si="111"/>
        <v/>
      </c>
      <c r="AS221" s="20" t="str">
        <f t="shared" si="112"/>
        <v/>
      </c>
      <c r="AT221" s="20" t="str">
        <f t="shared" si="113"/>
        <v/>
      </c>
      <c r="AU221" s="20" t="str">
        <f t="shared" si="114"/>
        <v/>
      </c>
      <c r="AV221" s="20" t="str">
        <f t="shared" si="115"/>
        <v/>
      </c>
      <c r="AW221" s="20" t="str">
        <f t="shared" si="116"/>
        <v/>
      </c>
      <c r="BD221" s="78"/>
      <c r="BE221" s="78"/>
      <c r="BF221" s="78"/>
      <c r="BG221" s="78"/>
      <c r="BH221" s="3"/>
      <c r="BI221" s="3"/>
      <c r="BJ221" s="94"/>
      <c r="BK221" s="3"/>
      <c r="BL221" s="3"/>
      <c r="BM221" s="3"/>
      <c r="BN221" s="3"/>
      <c r="BO221" s="3"/>
      <c r="BP221" s="3"/>
      <c r="BQ221" s="3"/>
      <c r="BR221" s="3"/>
      <c r="BS221" s="3"/>
      <c r="BT221" s="3"/>
      <c r="BU221" s="3"/>
      <c r="BV221" s="3"/>
      <c r="BW221" s="94"/>
      <c r="BX221" s="3"/>
      <c r="BY221" s="3"/>
      <c r="BZ221" s="3"/>
      <c r="CA221" s="94"/>
      <c r="CB221" s="3"/>
      <c r="CC221" s="3"/>
      <c r="CD221" s="3"/>
      <c r="CE221" s="3"/>
      <c r="CF221" s="3"/>
      <c r="CG221" s="3"/>
      <c r="CH221" s="3"/>
      <c r="CI221" s="3"/>
      <c r="CJ221" s="3"/>
      <c r="CK221" s="3"/>
      <c r="CL221" s="3"/>
      <c r="CM221" s="3"/>
      <c r="CN221" s="3"/>
      <c r="CO221" s="3"/>
    </row>
    <row r="222" spans="1:93" ht="16.5" x14ac:dyDescent="0.25">
      <c r="A222" s="97"/>
      <c r="B222" s="97"/>
      <c r="C222" s="97"/>
      <c r="D222" s="97"/>
      <c r="E222" s="97"/>
      <c r="F222" s="97"/>
      <c r="G222" s="98"/>
      <c r="H222" s="97"/>
      <c r="I222" s="97"/>
      <c r="J222" s="97"/>
      <c r="K222" s="97"/>
      <c r="L222" s="97"/>
      <c r="M222" s="97"/>
      <c r="N222" s="97"/>
      <c r="O222" s="97"/>
      <c r="P222" s="97"/>
      <c r="Q222" s="100"/>
      <c r="R222" s="101"/>
      <c r="S222" s="99"/>
      <c r="T222" s="99"/>
      <c r="U222" s="97"/>
      <c r="V222" s="20" t="str">
        <f t="shared" si="89"/>
        <v/>
      </c>
      <c r="W222" s="20" t="str">
        <f t="shared" si="90"/>
        <v/>
      </c>
      <c r="X222" s="20" t="str">
        <f t="shared" si="91"/>
        <v/>
      </c>
      <c r="Y222" s="20" t="str">
        <f t="shared" si="92"/>
        <v/>
      </c>
      <c r="Z222" s="20" t="str">
        <f t="shared" si="93"/>
        <v/>
      </c>
      <c r="AA222" s="20" t="str">
        <f t="shared" si="94"/>
        <v/>
      </c>
      <c r="AB222" s="20" t="str">
        <f t="shared" si="95"/>
        <v/>
      </c>
      <c r="AC222" s="20" t="str">
        <f t="shared" si="96"/>
        <v/>
      </c>
      <c r="AD222" s="20" t="str">
        <f t="shared" si="97"/>
        <v/>
      </c>
      <c r="AE222" s="20" t="str">
        <f t="shared" si="98"/>
        <v/>
      </c>
      <c r="AF222" s="20" t="str">
        <f t="shared" si="99"/>
        <v/>
      </c>
      <c r="AG222" s="20" t="str">
        <f t="shared" si="100"/>
        <v/>
      </c>
      <c r="AH222" s="20" t="str">
        <f t="shared" si="101"/>
        <v/>
      </c>
      <c r="AI222" s="20" t="str">
        <f t="shared" si="102"/>
        <v/>
      </c>
      <c r="AJ222" s="20" t="str">
        <f t="shared" si="103"/>
        <v/>
      </c>
      <c r="AK222" s="20" t="str">
        <f t="shared" si="104"/>
        <v/>
      </c>
      <c r="AL222" s="20" t="str">
        <f t="shared" si="105"/>
        <v/>
      </c>
      <c r="AM222" s="20" t="str">
        <f t="shared" si="106"/>
        <v/>
      </c>
      <c r="AN222" s="20" t="str">
        <f t="shared" si="107"/>
        <v/>
      </c>
      <c r="AO222" s="20" t="str">
        <f t="shared" si="108"/>
        <v/>
      </c>
      <c r="AP222" s="20" t="str">
        <f t="shared" si="109"/>
        <v/>
      </c>
      <c r="AQ222" s="20" t="str">
        <f t="shared" si="110"/>
        <v/>
      </c>
      <c r="AR222" s="20" t="str">
        <f t="shared" si="111"/>
        <v/>
      </c>
      <c r="AS222" s="20" t="str">
        <f t="shared" si="112"/>
        <v/>
      </c>
      <c r="AT222" s="20" t="str">
        <f t="shared" si="113"/>
        <v/>
      </c>
      <c r="AU222" s="20" t="str">
        <f t="shared" si="114"/>
        <v/>
      </c>
      <c r="AV222" s="20" t="str">
        <f t="shared" si="115"/>
        <v/>
      </c>
      <c r="AW222" s="20" t="str">
        <f t="shared" si="116"/>
        <v/>
      </c>
      <c r="BD222" s="78"/>
      <c r="BE222" s="78"/>
      <c r="BF222" s="78"/>
      <c r="BG222" s="78"/>
      <c r="BH222" s="3"/>
      <c r="BI222" s="3"/>
      <c r="BJ222" s="94"/>
      <c r="BK222" s="3"/>
      <c r="BL222" s="3"/>
      <c r="BM222" s="3"/>
      <c r="BN222" s="3"/>
      <c r="BO222" s="3"/>
      <c r="BP222" s="3"/>
      <c r="BQ222" s="3"/>
      <c r="BR222" s="3"/>
      <c r="BS222" s="3"/>
      <c r="BT222" s="3"/>
      <c r="BU222" s="3"/>
      <c r="BV222" s="3"/>
      <c r="BW222" s="94"/>
      <c r="BX222" s="3"/>
      <c r="BY222" s="3"/>
      <c r="BZ222" s="3"/>
      <c r="CA222" s="94"/>
      <c r="CB222" s="3"/>
      <c r="CC222" s="3"/>
      <c r="CD222" s="3"/>
      <c r="CE222" s="3"/>
      <c r="CF222" s="3"/>
      <c r="CG222" s="3"/>
      <c r="CH222" s="3"/>
      <c r="CI222" s="3"/>
      <c r="CJ222" s="3"/>
      <c r="CK222" s="3"/>
      <c r="CL222" s="3"/>
      <c r="CM222" s="3"/>
      <c r="CN222" s="3"/>
      <c r="CO222" s="3"/>
    </row>
    <row r="223" spans="1:93" ht="16.5" x14ac:dyDescent="0.25">
      <c r="A223" s="97"/>
      <c r="B223" s="97"/>
      <c r="C223" s="97"/>
      <c r="D223" s="97"/>
      <c r="E223" s="97"/>
      <c r="F223" s="97"/>
      <c r="G223" s="98"/>
      <c r="H223" s="97"/>
      <c r="I223" s="97"/>
      <c r="J223" s="97"/>
      <c r="K223" s="97"/>
      <c r="L223" s="97"/>
      <c r="M223" s="97"/>
      <c r="N223" s="97"/>
      <c r="O223" s="97"/>
      <c r="P223" s="97"/>
      <c r="Q223" s="100"/>
      <c r="R223" s="101"/>
      <c r="S223" s="99"/>
      <c r="T223" s="99"/>
      <c r="U223" s="97"/>
      <c r="V223" s="20" t="str">
        <f t="shared" si="89"/>
        <v/>
      </c>
      <c r="W223" s="20" t="str">
        <f t="shared" si="90"/>
        <v/>
      </c>
      <c r="X223" s="20" t="str">
        <f t="shared" si="91"/>
        <v/>
      </c>
      <c r="Y223" s="20" t="str">
        <f t="shared" si="92"/>
        <v/>
      </c>
      <c r="Z223" s="20" t="str">
        <f t="shared" si="93"/>
        <v/>
      </c>
      <c r="AA223" s="20" t="str">
        <f t="shared" si="94"/>
        <v/>
      </c>
      <c r="AB223" s="20" t="str">
        <f t="shared" si="95"/>
        <v/>
      </c>
      <c r="AC223" s="20" t="str">
        <f t="shared" si="96"/>
        <v/>
      </c>
      <c r="AD223" s="20" t="str">
        <f t="shared" si="97"/>
        <v/>
      </c>
      <c r="AE223" s="20" t="str">
        <f t="shared" si="98"/>
        <v/>
      </c>
      <c r="AF223" s="20" t="str">
        <f t="shared" si="99"/>
        <v/>
      </c>
      <c r="AG223" s="20" t="str">
        <f t="shared" si="100"/>
        <v/>
      </c>
      <c r="AH223" s="20" t="str">
        <f t="shared" si="101"/>
        <v/>
      </c>
      <c r="AI223" s="20" t="str">
        <f t="shared" si="102"/>
        <v/>
      </c>
      <c r="AJ223" s="20" t="str">
        <f t="shared" si="103"/>
        <v/>
      </c>
      <c r="AK223" s="20" t="str">
        <f t="shared" si="104"/>
        <v/>
      </c>
      <c r="AL223" s="20" t="str">
        <f t="shared" si="105"/>
        <v/>
      </c>
      <c r="AM223" s="20" t="str">
        <f t="shared" si="106"/>
        <v/>
      </c>
      <c r="AN223" s="20" t="str">
        <f t="shared" si="107"/>
        <v/>
      </c>
      <c r="AO223" s="20" t="str">
        <f t="shared" si="108"/>
        <v/>
      </c>
      <c r="AP223" s="20" t="str">
        <f t="shared" si="109"/>
        <v/>
      </c>
      <c r="AQ223" s="20" t="str">
        <f t="shared" si="110"/>
        <v/>
      </c>
      <c r="AR223" s="20" t="str">
        <f t="shared" si="111"/>
        <v/>
      </c>
      <c r="AS223" s="20" t="str">
        <f t="shared" si="112"/>
        <v/>
      </c>
      <c r="AT223" s="20" t="str">
        <f t="shared" si="113"/>
        <v/>
      </c>
      <c r="AU223" s="20" t="str">
        <f t="shared" si="114"/>
        <v/>
      </c>
      <c r="AV223" s="20" t="str">
        <f t="shared" si="115"/>
        <v/>
      </c>
      <c r="AW223" s="20" t="str">
        <f t="shared" si="116"/>
        <v/>
      </c>
      <c r="BD223" s="78"/>
      <c r="BE223" s="78"/>
      <c r="BF223" s="78"/>
      <c r="BG223" s="78"/>
      <c r="BH223" s="3"/>
      <c r="BI223" s="3"/>
      <c r="BJ223" s="94"/>
      <c r="BK223" s="3"/>
      <c r="BL223" s="3"/>
      <c r="BM223" s="3"/>
      <c r="BN223" s="3"/>
      <c r="BO223" s="3"/>
      <c r="BP223" s="3"/>
      <c r="BQ223" s="3"/>
      <c r="BR223" s="3"/>
      <c r="BS223" s="3"/>
      <c r="BT223" s="3"/>
      <c r="BU223" s="3"/>
      <c r="BV223" s="3"/>
      <c r="BW223" s="94"/>
      <c r="BX223" s="3"/>
      <c r="BY223" s="3"/>
      <c r="BZ223" s="3"/>
      <c r="CA223" s="94"/>
      <c r="CB223" s="3"/>
      <c r="CC223" s="3"/>
      <c r="CD223" s="3"/>
      <c r="CE223" s="3"/>
      <c r="CF223" s="3"/>
      <c r="CG223" s="3"/>
      <c r="CH223" s="3"/>
      <c r="CI223" s="3"/>
      <c r="CJ223" s="3"/>
      <c r="CK223" s="3"/>
      <c r="CL223" s="3"/>
      <c r="CM223" s="3"/>
      <c r="CN223" s="3"/>
      <c r="CO223" s="3"/>
    </row>
    <row r="224" spans="1:93" ht="16.5" x14ac:dyDescent="0.25">
      <c r="A224" s="97"/>
      <c r="B224" s="97"/>
      <c r="C224" s="97"/>
      <c r="D224" s="97"/>
      <c r="E224" s="97"/>
      <c r="F224" s="97"/>
      <c r="G224" s="98"/>
      <c r="H224" s="97"/>
      <c r="I224" s="97"/>
      <c r="J224" s="97"/>
      <c r="K224" s="97"/>
      <c r="L224" s="97"/>
      <c r="M224" s="97"/>
      <c r="N224" s="97"/>
      <c r="O224" s="97"/>
      <c r="P224" s="97"/>
      <c r="Q224" s="100"/>
      <c r="R224" s="101"/>
      <c r="S224" s="99"/>
      <c r="T224" s="99"/>
      <c r="U224" s="97"/>
      <c r="V224" s="20" t="str">
        <f t="shared" si="89"/>
        <v/>
      </c>
      <c r="W224" s="20" t="str">
        <f t="shared" si="90"/>
        <v/>
      </c>
      <c r="X224" s="20" t="str">
        <f t="shared" si="91"/>
        <v/>
      </c>
      <c r="Y224" s="20" t="str">
        <f t="shared" si="92"/>
        <v/>
      </c>
      <c r="Z224" s="20" t="str">
        <f t="shared" si="93"/>
        <v/>
      </c>
      <c r="AA224" s="20" t="str">
        <f t="shared" si="94"/>
        <v/>
      </c>
      <c r="AB224" s="20" t="str">
        <f t="shared" si="95"/>
        <v/>
      </c>
      <c r="AC224" s="20" t="str">
        <f t="shared" si="96"/>
        <v/>
      </c>
      <c r="AD224" s="20" t="str">
        <f t="shared" si="97"/>
        <v/>
      </c>
      <c r="AE224" s="20" t="str">
        <f t="shared" si="98"/>
        <v/>
      </c>
      <c r="AF224" s="20" t="str">
        <f t="shared" si="99"/>
        <v/>
      </c>
      <c r="AG224" s="20" t="str">
        <f t="shared" si="100"/>
        <v/>
      </c>
      <c r="AH224" s="20" t="str">
        <f t="shared" si="101"/>
        <v/>
      </c>
      <c r="AI224" s="20" t="str">
        <f t="shared" si="102"/>
        <v/>
      </c>
      <c r="AJ224" s="20" t="str">
        <f t="shared" si="103"/>
        <v/>
      </c>
      <c r="AK224" s="20" t="str">
        <f t="shared" si="104"/>
        <v/>
      </c>
      <c r="AL224" s="20" t="str">
        <f t="shared" si="105"/>
        <v/>
      </c>
      <c r="AM224" s="20" t="str">
        <f t="shared" si="106"/>
        <v/>
      </c>
      <c r="AN224" s="20" t="str">
        <f t="shared" si="107"/>
        <v/>
      </c>
      <c r="AO224" s="20" t="str">
        <f t="shared" si="108"/>
        <v/>
      </c>
      <c r="AP224" s="20" t="str">
        <f t="shared" si="109"/>
        <v/>
      </c>
      <c r="AQ224" s="20" t="str">
        <f t="shared" si="110"/>
        <v/>
      </c>
      <c r="AR224" s="20" t="str">
        <f t="shared" si="111"/>
        <v/>
      </c>
      <c r="AS224" s="20" t="str">
        <f t="shared" si="112"/>
        <v/>
      </c>
      <c r="AT224" s="20" t="str">
        <f t="shared" si="113"/>
        <v/>
      </c>
      <c r="AU224" s="20" t="str">
        <f t="shared" si="114"/>
        <v/>
      </c>
      <c r="AV224" s="20" t="str">
        <f t="shared" si="115"/>
        <v/>
      </c>
      <c r="AW224" s="20" t="str">
        <f t="shared" si="116"/>
        <v/>
      </c>
      <c r="BD224" s="78"/>
      <c r="BE224" s="78"/>
      <c r="BF224" s="78"/>
      <c r="BG224" s="78"/>
      <c r="BH224" s="3"/>
      <c r="BI224" s="3"/>
      <c r="BJ224" s="94"/>
      <c r="BK224" s="3"/>
      <c r="BL224" s="3"/>
      <c r="BM224" s="3"/>
      <c r="BN224" s="3"/>
      <c r="BO224" s="3"/>
      <c r="BP224" s="3"/>
      <c r="BQ224" s="3"/>
      <c r="BR224" s="3"/>
      <c r="BS224" s="3"/>
      <c r="BT224" s="3"/>
      <c r="BU224" s="3"/>
      <c r="BV224" s="3"/>
      <c r="BW224" s="94"/>
      <c r="BX224" s="3"/>
      <c r="BY224" s="3"/>
      <c r="BZ224" s="3"/>
      <c r="CA224" s="94"/>
      <c r="CB224" s="3"/>
      <c r="CC224" s="3"/>
      <c r="CD224" s="3"/>
      <c r="CE224" s="3"/>
      <c r="CF224" s="3"/>
      <c r="CG224" s="3"/>
      <c r="CH224" s="3"/>
      <c r="CI224" s="3"/>
      <c r="CJ224" s="3"/>
      <c r="CK224" s="3"/>
      <c r="CL224" s="3"/>
      <c r="CM224" s="3"/>
      <c r="CN224" s="3"/>
      <c r="CO224" s="3"/>
    </row>
    <row r="225" spans="1:93" ht="16.5" x14ac:dyDescent="0.25">
      <c r="A225" s="97"/>
      <c r="B225" s="97"/>
      <c r="C225" s="97"/>
      <c r="D225" s="97"/>
      <c r="E225" s="97"/>
      <c r="F225" s="97"/>
      <c r="G225" s="98"/>
      <c r="H225" s="97"/>
      <c r="I225" s="97"/>
      <c r="J225" s="97"/>
      <c r="K225" s="97"/>
      <c r="L225" s="97"/>
      <c r="M225" s="97"/>
      <c r="N225" s="97"/>
      <c r="O225" s="97"/>
      <c r="P225" s="97"/>
      <c r="Q225" s="100"/>
      <c r="R225" s="101"/>
      <c r="S225" s="99"/>
      <c r="T225" s="99"/>
      <c r="U225" s="97"/>
      <c r="V225" s="20" t="str">
        <f t="shared" si="89"/>
        <v/>
      </c>
      <c r="W225" s="20" t="str">
        <f t="shared" si="90"/>
        <v/>
      </c>
      <c r="X225" s="20" t="str">
        <f t="shared" si="91"/>
        <v/>
      </c>
      <c r="Y225" s="20" t="str">
        <f t="shared" si="92"/>
        <v/>
      </c>
      <c r="Z225" s="20" t="str">
        <f t="shared" si="93"/>
        <v/>
      </c>
      <c r="AA225" s="20" t="str">
        <f t="shared" si="94"/>
        <v/>
      </c>
      <c r="AB225" s="20" t="str">
        <f t="shared" si="95"/>
        <v/>
      </c>
      <c r="AC225" s="20" t="str">
        <f t="shared" si="96"/>
        <v/>
      </c>
      <c r="AD225" s="20" t="str">
        <f t="shared" si="97"/>
        <v/>
      </c>
      <c r="AE225" s="20" t="str">
        <f t="shared" si="98"/>
        <v/>
      </c>
      <c r="AF225" s="20" t="str">
        <f t="shared" si="99"/>
        <v/>
      </c>
      <c r="AG225" s="20" t="str">
        <f t="shared" si="100"/>
        <v/>
      </c>
      <c r="AH225" s="20" t="str">
        <f t="shared" si="101"/>
        <v/>
      </c>
      <c r="AI225" s="20" t="str">
        <f t="shared" si="102"/>
        <v/>
      </c>
      <c r="AJ225" s="20" t="str">
        <f t="shared" si="103"/>
        <v/>
      </c>
      <c r="AK225" s="20" t="str">
        <f t="shared" si="104"/>
        <v/>
      </c>
      <c r="AL225" s="20" t="str">
        <f t="shared" si="105"/>
        <v/>
      </c>
      <c r="AM225" s="20" t="str">
        <f t="shared" si="106"/>
        <v/>
      </c>
      <c r="AN225" s="20" t="str">
        <f t="shared" si="107"/>
        <v/>
      </c>
      <c r="AO225" s="20" t="str">
        <f t="shared" si="108"/>
        <v/>
      </c>
      <c r="AP225" s="20" t="str">
        <f t="shared" si="109"/>
        <v/>
      </c>
      <c r="AQ225" s="20" t="str">
        <f t="shared" si="110"/>
        <v/>
      </c>
      <c r="AR225" s="20" t="str">
        <f t="shared" si="111"/>
        <v/>
      </c>
      <c r="AS225" s="20" t="str">
        <f t="shared" si="112"/>
        <v/>
      </c>
      <c r="AT225" s="20" t="str">
        <f t="shared" si="113"/>
        <v/>
      </c>
      <c r="AU225" s="20" t="str">
        <f t="shared" si="114"/>
        <v/>
      </c>
      <c r="AV225" s="20" t="str">
        <f t="shared" si="115"/>
        <v/>
      </c>
      <c r="AW225" s="20" t="str">
        <f t="shared" si="116"/>
        <v/>
      </c>
      <c r="BD225" s="78"/>
      <c r="BE225" s="78"/>
      <c r="BF225" s="78"/>
      <c r="BG225" s="78"/>
      <c r="BH225" s="3"/>
      <c r="BI225" s="3"/>
      <c r="BJ225" s="94"/>
      <c r="BK225" s="3"/>
      <c r="BL225" s="3"/>
      <c r="BM225" s="3"/>
      <c r="BN225" s="3"/>
      <c r="BO225" s="3"/>
      <c r="BP225" s="3"/>
      <c r="BQ225" s="3"/>
      <c r="BR225" s="3"/>
      <c r="BS225" s="3"/>
      <c r="BT225" s="3"/>
      <c r="BU225" s="3"/>
      <c r="BV225" s="3"/>
      <c r="BW225" s="94"/>
      <c r="BX225" s="3"/>
      <c r="BY225" s="3"/>
      <c r="BZ225" s="3"/>
      <c r="CA225" s="94"/>
      <c r="CB225" s="3"/>
      <c r="CC225" s="3"/>
      <c r="CD225" s="3"/>
      <c r="CE225" s="3"/>
      <c r="CF225" s="3"/>
      <c r="CG225" s="3"/>
      <c r="CH225" s="3"/>
      <c r="CI225" s="3"/>
      <c r="CJ225" s="3"/>
      <c r="CK225" s="3"/>
      <c r="CL225" s="3"/>
      <c r="CM225" s="3"/>
      <c r="CN225" s="3"/>
      <c r="CO225" s="3"/>
    </row>
    <row r="226" spans="1:93" ht="16.5" x14ac:dyDescent="0.25">
      <c r="A226" s="97"/>
      <c r="B226" s="97"/>
      <c r="C226" s="97"/>
      <c r="D226" s="97"/>
      <c r="E226" s="97"/>
      <c r="F226" s="97"/>
      <c r="G226" s="98"/>
      <c r="H226" s="97"/>
      <c r="I226" s="97"/>
      <c r="J226" s="97"/>
      <c r="K226" s="97"/>
      <c r="L226" s="97"/>
      <c r="M226" s="97"/>
      <c r="N226" s="97"/>
      <c r="O226" s="97"/>
      <c r="P226" s="97"/>
      <c r="Q226" s="100"/>
      <c r="R226" s="101"/>
      <c r="S226" s="99"/>
      <c r="T226" s="99"/>
      <c r="U226" s="97"/>
      <c r="V226" s="20" t="str">
        <f t="shared" si="89"/>
        <v/>
      </c>
      <c r="W226" s="20" t="str">
        <f t="shared" si="90"/>
        <v/>
      </c>
      <c r="X226" s="20" t="str">
        <f t="shared" si="91"/>
        <v/>
      </c>
      <c r="Y226" s="20" t="str">
        <f t="shared" si="92"/>
        <v/>
      </c>
      <c r="Z226" s="20" t="str">
        <f t="shared" si="93"/>
        <v/>
      </c>
      <c r="AA226" s="20" t="str">
        <f t="shared" si="94"/>
        <v/>
      </c>
      <c r="AB226" s="20" t="str">
        <f t="shared" si="95"/>
        <v/>
      </c>
      <c r="AC226" s="20" t="str">
        <f t="shared" si="96"/>
        <v/>
      </c>
      <c r="AD226" s="20" t="str">
        <f t="shared" si="97"/>
        <v/>
      </c>
      <c r="AE226" s="20" t="str">
        <f t="shared" si="98"/>
        <v/>
      </c>
      <c r="AF226" s="20" t="str">
        <f t="shared" si="99"/>
        <v/>
      </c>
      <c r="AG226" s="20" t="str">
        <f t="shared" si="100"/>
        <v/>
      </c>
      <c r="AH226" s="20" t="str">
        <f t="shared" si="101"/>
        <v/>
      </c>
      <c r="AI226" s="20" t="str">
        <f t="shared" si="102"/>
        <v/>
      </c>
      <c r="AJ226" s="20" t="str">
        <f t="shared" si="103"/>
        <v/>
      </c>
      <c r="AK226" s="20" t="str">
        <f t="shared" si="104"/>
        <v/>
      </c>
      <c r="AL226" s="20" t="str">
        <f t="shared" si="105"/>
        <v/>
      </c>
      <c r="AM226" s="20" t="str">
        <f t="shared" si="106"/>
        <v/>
      </c>
      <c r="AN226" s="20" t="str">
        <f t="shared" si="107"/>
        <v/>
      </c>
      <c r="AO226" s="20" t="str">
        <f t="shared" si="108"/>
        <v/>
      </c>
      <c r="AP226" s="20" t="str">
        <f t="shared" si="109"/>
        <v/>
      </c>
      <c r="AQ226" s="20" t="str">
        <f t="shared" si="110"/>
        <v/>
      </c>
      <c r="AR226" s="20" t="str">
        <f t="shared" si="111"/>
        <v/>
      </c>
      <c r="AS226" s="20" t="str">
        <f t="shared" si="112"/>
        <v/>
      </c>
      <c r="AT226" s="20" t="str">
        <f t="shared" si="113"/>
        <v/>
      </c>
      <c r="AU226" s="20" t="str">
        <f t="shared" si="114"/>
        <v/>
      </c>
      <c r="AV226" s="20" t="str">
        <f t="shared" si="115"/>
        <v/>
      </c>
      <c r="AW226" s="20" t="str">
        <f t="shared" si="116"/>
        <v/>
      </c>
      <c r="BD226" s="78"/>
      <c r="BE226" s="78"/>
      <c r="BF226" s="78"/>
      <c r="BG226" s="78"/>
      <c r="BH226" s="3"/>
      <c r="BI226" s="3"/>
      <c r="BJ226" s="94"/>
      <c r="BK226" s="3"/>
      <c r="BL226" s="3"/>
      <c r="BM226" s="3"/>
      <c r="BN226" s="3"/>
      <c r="BO226" s="3"/>
      <c r="BP226" s="3"/>
      <c r="BQ226" s="3"/>
      <c r="BR226" s="3"/>
      <c r="BS226" s="3"/>
      <c r="BT226" s="3"/>
      <c r="BU226" s="3"/>
      <c r="BV226" s="3"/>
      <c r="BW226" s="94"/>
      <c r="BX226" s="3"/>
      <c r="BY226" s="3"/>
      <c r="BZ226" s="3"/>
      <c r="CA226" s="94"/>
      <c r="CB226" s="3"/>
      <c r="CC226" s="3"/>
      <c r="CD226" s="3"/>
      <c r="CE226" s="3"/>
      <c r="CF226" s="3"/>
      <c r="CG226" s="3"/>
      <c r="CH226" s="3"/>
      <c r="CI226" s="3"/>
      <c r="CJ226" s="3"/>
      <c r="CK226" s="3"/>
      <c r="CL226" s="3"/>
      <c r="CM226" s="3"/>
      <c r="CN226" s="3"/>
      <c r="CO226" s="3"/>
    </row>
    <row r="227" spans="1:93" ht="16.5" x14ac:dyDescent="0.25">
      <c r="A227" s="97"/>
      <c r="B227" s="97"/>
      <c r="C227" s="97"/>
      <c r="D227" s="97"/>
      <c r="E227" s="97"/>
      <c r="F227" s="97"/>
      <c r="G227" s="98"/>
      <c r="H227" s="97"/>
      <c r="I227" s="97"/>
      <c r="J227" s="97"/>
      <c r="K227" s="97"/>
      <c r="L227" s="97"/>
      <c r="M227" s="97"/>
      <c r="N227" s="97"/>
      <c r="O227" s="97"/>
      <c r="P227" s="97"/>
      <c r="Q227" s="100"/>
      <c r="R227" s="101"/>
      <c r="S227" s="99"/>
      <c r="T227" s="99"/>
      <c r="U227" s="97"/>
      <c r="V227" s="20" t="str">
        <f t="shared" si="89"/>
        <v/>
      </c>
      <c r="W227" s="20" t="str">
        <f t="shared" si="90"/>
        <v/>
      </c>
      <c r="X227" s="20" t="str">
        <f t="shared" si="91"/>
        <v/>
      </c>
      <c r="Y227" s="20" t="str">
        <f t="shared" si="92"/>
        <v/>
      </c>
      <c r="Z227" s="20" t="str">
        <f t="shared" si="93"/>
        <v/>
      </c>
      <c r="AA227" s="20" t="str">
        <f t="shared" si="94"/>
        <v/>
      </c>
      <c r="AB227" s="20" t="str">
        <f t="shared" si="95"/>
        <v/>
      </c>
      <c r="AC227" s="20" t="str">
        <f t="shared" si="96"/>
        <v/>
      </c>
      <c r="AD227" s="20" t="str">
        <f t="shared" si="97"/>
        <v/>
      </c>
      <c r="AE227" s="20" t="str">
        <f t="shared" si="98"/>
        <v/>
      </c>
      <c r="AF227" s="20" t="str">
        <f t="shared" si="99"/>
        <v/>
      </c>
      <c r="AG227" s="20" t="str">
        <f t="shared" si="100"/>
        <v/>
      </c>
      <c r="AH227" s="20" t="str">
        <f t="shared" si="101"/>
        <v/>
      </c>
      <c r="AI227" s="20" t="str">
        <f t="shared" si="102"/>
        <v/>
      </c>
      <c r="AJ227" s="20" t="str">
        <f t="shared" si="103"/>
        <v/>
      </c>
      <c r="AK227" s="20" t="str">
        <f t="shared" si="104"/>
        <v/>
      </c>
      <c r="AL227" s="20" t="str">
        <f t="shared" si="105"/>
        <v/>
      </c>
      <c r="AM227" s="20" t="str">
        <f t="shared" si="106"/>
        <v/>
      </c>
      <c r="AN227" s="20" t="str">
        <f t="shared" si="107"/>
        <v/>
      </c>
      <c r="AO227" s="20" t="str">
        <f t="shared" si="108"/>
        <v/>
      </c>
      <c r="AP227" s="20" t="str">
        <f t="shared" si="109"/>
        <v/>
      </c>
      <c r="AQ227" s="20" t="str">
        <f t="shared" si="110"/>
        <v/>
      </c>
      <c r="AR227" s="20" t="str">
        <f t="shared" si="111"/>
        <v/>
      </c>
      <c r="AS227" s="20" t="str">
        <f t="shared" si="112"/>
        <v/>
      </c>
      <c r="AT227" s="20" t="str">
        <f t="shared" si="113"/>
        <v/>
      </c>
      <c r="AU227" s="20" t="str">
        <f t="shared" si="114"/>
        <v/>
      </c>
      <c r="AV227" s="20" t="str">
        <f t="shared" si="115"/>
        <v/>
      </c>
      <c r="AW227" s="20" t="str">
        <f t="shared" si="116"/>
        <v/>
      </c>
      <c r="BD227" s="78"/>
      <c r="BE227" s="78"/>
      <c r="BF227" s="78"/>
      <c r="BG227" s="78"/>
      <c r="BH227" s="3"/>
      <c r="BI227" s="3"/>
      <c r="BJ227" s="94"/>
      <c r="BK227" s="3"/>
      <c r="BL227" s="3"/>
      <c r="BM227" s="3"/>
      <c r="BN227" s="3"/>
      <c r="BO227" s="3"/>
      <c r="BP227" s="3"/>
      <c r="BQ227" s="3"/>
      <c r="BR227" s="3"/>
      <c r="BS227" s="3"/>
      <c r="BT227" s="3"/>
      <c r="BU227" s="3"/>
      <c r="BV227" s="3"/>
      <c r="BW227" s="94"/>
      <c r="BX227" s="3"/>
      <c r="BY227" s="3"/>
      <c r="BZ227" s="3"/>
      <c r="CA227" s="94"/>
      <c r="CB227" s="3"/>
      <c r="CC227" s="3"/>
      <c r="CD227" s="3"/>
      <c r="CE227" s="3"/>
      <c r="CF227" s="3"/>
      <c r="CG227" s="3"/>
      <c r="CH227" s="3"/>
      <c r="CI227" s="3"/>
      <c r="CJ227" s="3"/>
      <c r="CK227" s="3"/>
      <c r="CL227" s="3"/>
      <c r="CM227" s="3"/>
      <c r="CN227" s="3"/>
      <c r="CO227" s="3"/>
    </row>
    <row r="228" spans="1:93" ht="16.5" x14ac:dyDescent="0.25">
      <c r="A228" s="97"/>
      <c r="B228" s="97"/>
      <c r="C228" s="97"/>
      <c r="D228" s="97"/>
      <c r="E228" s="97"/>
      <c r="F228" s="97"/>
      <c r="G228" s="98"/>
      <c r="H228" s="97"/>
      <c r="I228" s="97"/>
      <c r="J228" s="97"/>
      <c r="K228" s="97"/>
      <c r="L228" s="97"/>
      <c r="M228" s="97"/>
      <c r="N228" s="97"/>
      <c r="O228" s="97"/>
      <c r="P228" s="97"/>
      <c r="Q228" s="100"/>
      <c r="R228" s="101"/>
      <c r="S228" s="99"/>
      <c r="T228" s="99"/>
      <c r="U228" s="97"/>
      <c r="V228" s="20" t="str">
        <f t="shared" si="89"/>
        <v/>
      </c>
      <c r="W228" s="20" t="str">
        <f t="shared" si="90"/>
        <v/>
      </c>
      <c r="X228" s="20" t="str">
        <f t="shared" si="91"/>
        <v/>
      </c>
      <c r="Y228" s="20" t="str">
        <f t="shared" si="92"/>
        <v/>
      </c>
      <c r="Z228" s="20" t="str">
        <f t="shared" si="93"/>
        <v/>
      </c>
      <c r="AA228" s="20" t="str">
        <f t="shared" si="94"/>
        <v/>
      </c>
      <c r="AB228" s="20" t="str">
        <f t="shared" si="95"/>
        <v/>
      </c>
      <c r="AC228" s="20" t="str">
        <f t="shared" si="96"/>
        <v/>
      </c>
      <c r="AD228" s="20" t="str">
        <f t="shared" si="97"/>
        <v/>
      </c>
      <c r="AE228" s="20" t="str">
        <f t="shared" si="98"/>
        <v/>
      </c>
      <c r="AF228" s="20" t="str">
        <f t="shared" si="99"/>
        <v/>
      </c>
      <c r="AG228" s="20" t="str">
        <f t="shared" si="100"/>
        <v/>
      </c>
      <c r="AH228" s="20" t="str">
        <f t="shared" si="101"/>
        <v/>
      </c>
      <c r="AI228" s="20" t="str">
        <f t="shared" si="102"/>
        <v/>
      </c>
      <c r="AJ228" s="20" t="str">
        <f t="shared" si="103"/>
        <v/>
      </c>
      <c r="AK228" s="20" t="str">
        <f t="shared" si="104"/>
        <v/>
      </c>
      <c r="AL228" s="20" t="str">
        <f t="shared" si="105"/>
        <v/>
      </c>
      <c r="AM228" s="20" t="str">
        <f t="shared" si="106"/>
        <v/>
      </c>
      <c r="AN228" s="20" t="str">
        <f t="shared" si="107"/>
        <v/>
      </c>
      <c r="AO228" s="20" t="str">
        <f t="shared" si="108"/>
        <v/>
      </c>
      <c r="AP228" s="20" t="str">
        <f t="shared" si="109"/>
        <v/>
      </c>
      <c r="AQ228" s="20" t="str">
        <f t="shared" si="110"/>
        <v/>
      </c>
      <c r="AR228" s="20" t="str">
        <f t="shared" si="111"/>
        <v/>
      </c>
      <c r="AS228" s="20" t="str">
        <f t="shared" si="112"/>
        <v/>
      </c>
      <c r="AT228" s="20" t="str">
        <f t="shared" si="113"/>
        <v/>
      </c>
      <c r="AU228" s="20" t="str">
        <f t="shared" si="114"/>
        <v/>
      </c>
      <c r="AV228" s="20" t="str">
        <f t="shared" si="115"/>
        <v/>
      </c>
      <c r="AW228" s="20" t="str">
        <f t="shared" si="116"/>
        <v/>
      </c>
      <c r="BD228" s="78"/>
      <c r="BE228" s="78"/>
      <c r="BF228" s="78"/>
      <c r="BG228" s="78"/>
      <c r="BH228" s="3"/>
      <c r="BI228" s="3"/>
      <c r="BJ228" s="94"/>
      <c r="BK228" s="3"/>
      <c r="BL228" s="3"/>
      <c r="BM228" s="3"/>
      <c r="BN228" s="3"/>
      <c r="BO228" s="3"/>
      <c r="BP228" s="3"/>
      <c r="BQ228" s="3"/>
      <c r="BR228" s="3"/>
      <c r="BS228" s="3"/>
      <c r="BT228" s="3"/>
      <c r="BU228" s="3"/>
      <c r="BV228" s="3"/>
      <c r="BW228" s="94"/>
      <c r="BX228" s="3"/>
      <c r="BY228" s="3"/>
      <c r="BZ228" s="3"/>
      <c r="CA228" s="94"/>
      <c r="CB228" s="3"/>
      <c r="CC228" s="3"/>
      <c r="CD228" s="3"/>
      <c r="CE228" s="3"/>
      <c r="CF228" s="3"/>
      <c r="CG228" s="3"/>
      <c r="CH228" s="3"/>
      <c r="CI228" s="3"/>
      <c r="CJ228" s="3"/>
      <c r="CK228" s="3"/>
      <c r="CL228" s="3"/>
      <c r="CM228" s="3"/>
      <c r="CN228" s="3"/>
      <c r="CO228" s="3"/>
    </row>
    <row r="229" spans="1:93" ht="16.5" x14ac:dyDescent="0.25">
      <c r="A229" s="97"/>
      <c r="B229" s="97"/>
      <c r="C229" s="97"/>
      <c r="D229" s="97"/>
      <c r="E229" s="97"/>
      <c r="F229" s="97"/>
      <c r="G229" s="98"/>
      <c r="H229" s="97"/>
      <c r="I229" s="97"/>
      <c r="J229" s="97"/>
      <c r="K229" s="97"/>
      <c r="L229" s="97"/>
      <c r="M229" s="97"/>
      <c r="N229" s="97"/>
      <c r="O229" s="97"/>
      <c r="P229" s="97"/>
      <c r="Q229" s="100"/>
      <c r="R229" s="101"/>
      <c r="S229" s="99"/>
      <c r="T229" s="99"/>
      <c r="U229" s="97"/>
      <c r="V229" s="20" t="str">
        <f t="shared" si="89"/>
        <v/>
      </c>
      <c r="W229" s="20" t="str">
        <f t="shared" si="90"/>
        <v/>
      </c>
      <c r="X229" s="20" t="str">
        <f t="shared" si="91"/>
        <v/>
      </c>
      <c r="Y229" s="20" t="str">
        <f t="shared" si="92"/>
        <v/>
      </c>
      <c r="Z229" s="20" t="str">
        <f t="shared" si="93"/>
        <v/>
      </c>
      <c r="AA229" s="20" t="str">
        <f t="shared" si="94"/>
        <v/>
      </c>
      <c r="AB229" s="20" t="str">
        <f t="shared" si="95"/>
        <v/>
      </c>
      <c r="AC229" s="20" t="str">
        <f t="shared" si="96"/>
        <v/>
      </c>
      <c r="AD229" s="20" t="str">
        <f t="shared" si="97"/>
        <v/>
      </c>
      <c r="AE229" s="20" t="str">
        <f t="shared" si="98"/>
        <v/>
      </c>
      <c r="AF229" s="20" t="str">
        <f t="shared" si="99"/>
        <v/>
      </c>
      <c r="AG229" s="20" t="str">
        <f t="shared" si="100"/>
        <v/>
      </c>
      <c r="AH229" s="20" t="str">
        <f t="shared" si="101"/>
        <v/>
      </c>
      <c r="AI229" s="20" t="str">
        <f t="shared" si="102"/>
        <v/>
      </c>
      <c r="AJ229" s="20" t="str">
        <f t="shared" si="103"/>
        <v/>
      </c>
      <c r="AK229" s="20" t="str">
        <f t="shared" si="104"/>
        <v/>
      </c>
      <c r="AL229" s="20" t="str">
        <f t="shared" si="105"/>
        <v/>
      </c>
      <c r="AM229" s="20" t="str">
        <f t="shared" si="106"/>
        <v/>
      </c>
      <c r="AN229" s="20" t="str">
        <f t="shared" si="107"/>
        <v/>
      </c>
      <c r="AO229" s="20" t="str">
        <f t="shared" si="108"/>
        <v/>
      </c>
      <c r="AP229" s="20" t="str">
        <f t="shared" si="109"/>
        <v/>
      </c>
      <c r="AQ229" s="20" t="str">
        <f t="shared" si="110"/>
        <v/>
      </c>
      <c r="AR229" s="20" t="str">
        <f t="shared" si="111"/>
        <v/>
      </c>
      <c r="AS229" s="20" t="str">
        <f t="shared" si="112"/>
        <v/>
      </c>
      <c r="AT229" s="20" t="str">
        <f t="shared" si="113"/>
        <v/>
      </c>
      <c r="AU229" s="20" t="str">
        <f t="shared" si="114"/>
        <v/>
      </c>
      <c r="AV229" s="20" t="str">
        <f t="shared" si="115"/>
        <v/>
      </c>
      <c r="AW229" s="20" t="str">
        <f t="shared" si="116"/>
        <v/>
      </c>
      <c r="BD229" s="78"/>
      <c r="BE229" s="78"/>
      <c r="BF229" s="78"/>
      <c r="BG229" s="78"/>
      <c r="BH229" s="3"/>
      <c r="BI229" s="3"/>
      <c r="BJ229" s="94"/>
      <c r="BK229" s="3"/>
      <c r="BL229" s="3"/>
      <c r="BM229" s="3"/>
      <c r="BN229" s="3"/>
      <c r="BO229" s="3"/>
      <c r="BP229" s="3"/>
      <c r="BQ229" s="3"/>
      <c r="BR229" s="3"/>
      <c r="BS229" s="3"/>
      <c r="BT229" s="3"/>
      <c r="BU229" s="3"/>
      <c r="BV229" s="3"/>
      <c r="BW229" s="94"/>
      <c r="BX229" s="3"/>
      <c r="BY229" s="3"/>
      <c r="BZ229" s="3"/>
      <c r="CA229" s="94"/>
      <c r="CB229" s="3"/>
      <c r="CC229" s="3"/>
      <c r="CD229" s="3"/>
      <c r="CE229" s="3"/>
      <c r="CF229" s="3"/>
      <c r="CG229" s="3"/>
      <c r="CH229" s="3"/>
      <c r="CI229" s="3"/>
      <c r="CJ229" s="3"/>
      <c r="CK229" s="3"/>
      <c r="CL229" s="3"/>
      <c r="CM229" s="3"/>
      <c r="CN229" s="3"/>
      <c r="CO229" s="3"/>
    </row>
    <row r="230" spans="1:93" ht="16.5" x14ac:dyDescent="0.25">
      <c r="A230" s="97"/>
      <c r="B230" s="97"/>
      <c r="C230" s="97"/>
      <c r="D230" s="97"/>
      <c r="E230" s="97"/>
      <c r="F230" s="97"/>
      <c r="G230" s="98"/>
      <c r="H230" s="97"/>
      <c r="I230" s="97"/>
      <c r="J230" s="97"/>
      <c r="K230" s="97"/>
      <c r="L230" s="97"/>
      <c r="M230" s="97"/>
      <c r="N230" s="97"/>
      <c r="O230" s="97"/>
      <c r="P230" s="97"/>
      <c r="Q230" s="100"/>
      <c r="R230" s="101"/>
      <c r="S230" s="99"/>
      <c r="T230" s="99"/>
      <c r="U230" s="97"/>
      <c r="V230" s="20" t="str">
        <f t="shared" si="89"/>
        <v/>
      </c>
      <c r="W230" s="20" t="str">
        <f t="shared" si="90"/>
        <v/>
      </c>
      <c r="X230" s="20" t="str">
        <f t="shared" si="91"/>
        <v/>
      </c>
      <c r="Y230" s="20" t="str">
        <f t="shared" si="92"/>
        <v/>
      </c>
      <c r="Z230" s="20" t="str">
        <f t="shared" si="93"/>
        <v/>
      </c>
      <c r="AA230" s="20" t="str">
        <f t="shared" si="94"/>
        <v/>
      </c>
      <c r="AB230" s="20" t="str">
        <f t="shared" si="95"/>
        <v/>
      </c>
      <c r="AC230" s="20" t="str">
        <f t="shared" si="96"/>
        <v/>
      </c>
      <c r="AD230" s="20" t="str">
        <f t="shared" si="97"/>
        <v/>
      </c>
      <c r="AE230" s="20" t="str">
        <f t="shared" si="98"/>
        <v/>
      </c>
      <c r="AF230" s="20" t="str">
        <f t="shared" si="99"/>
        <v/>
      </c>
      <c r="AG230" s="20" t="str">
        <f t="shared" si="100"/>
        <v/>
      </c>
      <c r="AH230" s="20" t="str">
        <f t="shared" si="101"/>
        <v/>
      </c>
      <c r="AI230" s="20" t="str">
        <f t="shared" si="102"/>
        <v/>
      </c>
      <c r="AJ230" s="20" t="str">
        <f t="shared" si="103"/>
        <v/>
      </c>
      <c r="AK230" s="20" t="str">
        <f t="shared" si="104"/>
        <v/>
      </c>
      <c r="AL230" s="20" t="str">
        <f t="shared" si="105"/>
        <v/>
      </c>
      <c r="AM230" s="20" t="str">
        <f t="shared" si="106"/>
        <v/>
      </c>
      <c r="AN230" s="20" t="str">
        <f t="shared" si="107"/>
        <v/>
      </c>
      <c r="AO230" s="20" t="str">
        <f t="shared" si="108"/>
        <v/>
      </c>
      <c r="AP230" s="20" t="str">
        <f t="shared" si="109"/>
        <v/>
      </c>
      <c r="AQ230" s="20" t="str">
        <f t="shared" si="110"/>
        <v/>
      </c>
      <c r="AR230" s="20" t="str">
        <f t="shared" si="111"/>
        <v/>
      </c>
      <c r="AS230" s="20" t="str">
        <f t="shared" si="112"/>
        <v/>
      </c>
      <c r="AT230" s="20" t="str">
        <f t="shared" si="113"/>
        <v/>
      </c>
      <c r="AU230" s="20" t="str">
        <f t="shared" si="114"/>
        <v/>
      </c>
      <c r="AV230" s="20" t="str">
        <f t="shared" si="115"/>
        <v/>
      </c>
      <c r="AW230" s="20" t="str">
        <f t="shared" si="116"/>
        <v/>
      </c>
      <c r="BD230" s="78"/>
      <c r="BE230" s="78"/>
      <c r="BF230" s="78"/>
      <c r="BG230" s="78"/>
      <c r="BH230" s="3"/>
      <c r="BI230" s="3"/>
      <c r="BJ230" s="94"/>
      <c r="BK230" s="3"/>
      <c r="BL230" s="3"/>
      <c r="BM230" s="3"/>
      <c r="BN230" s="3"/>
      <c r="BO230" s="3"/>
      <c r="BP230" s="3"/>
      <c r="BQ230" s="3"/>
      <c r="BR230" s="3"/>
      <c r="BS230" s="3"/>
      <c r="BT230" s="3"/>
      <c r="BU230" s="3"/>
      <c r="BV230" s="3"/>
      <c r="BW230" s="94"/>
      <c r="BX230" s="3"/>
      <c r="BY230" s="3"/>
      <c r="BZ230" s="3"/>
      <c r="CA230" s="94"/>
      <c r="CB230" s="3"/>
      <c r="CC230" s="3"/>
      <c r="CD230" s="3"/>
      <c r="CE230" s="3"/>
      <c r="CF230" s="3"/>
      <c r="CG230" s="3"/>
      <c r="CH230" s="3"/>
      <c r="CI230" s="3"/>
      <c r="CJ230" s="3"/>
      <c r="CK230" s="3"/>
      <c r="CL230" s="3"/>
      <c r="CM230" s="3"/>
      <c r="CN230" s="3"/>
      <c r="CO230" s="3"/>
    </row>
    <row r="231" spans="1:93" ht="16.5" x14ac:dyDescent="0.25">
      <c r="A231" s="97"/>
      <c r="B231" s="97"/>
      <c r="C231" s="97"/>
      <c r="D231" s="97"/>
      <c r="E231" s="97"/>
      <c r="F231" s="97"/>
      <c r="G231" s="98"/>
      <c r="H231" s="97"/>
      <c r="I231" s="97"/>
      <c r="J231" s="97"/>
      <c r="K231" s="97"/>
      <c r="L231" s="97"/>
      <c r="M231" s="97"/>
      <c r="N231" s="97"/>
      <c r="O231" s="97"/>
      <c r="P231" s="97"/>
      <c r="Q231" s="100"/>
      <c r="R231" s="101"/>
      <c r="S231" s="99"/>
      <c r="T231" s="99"/>
      <c r="U231" s="97"/>
      <c r="V231" s="20" t="str">
        <f t="shared" si="89"/>
        <v/>
      </c>
      <c r="W231" s="20" t="str">
        <f t="shared" si="90"/>
        <v/>
      </c>
      <c r="X231" s="20" t="str">
        <f t="shared" si="91"/>
        <v/>
      </c>
      <c r="Y231" s="20" t="str">
        <f t="shared" si="92"/>
        <v/>
      </c>
      <c r="Z231" s="20" t="str">
        <f t="shared" si="93"/>
        <v/>
      </c>
      <c r="AA231" s="20" t="str">
        <f t="shared" si="94"/>
        <v/>
      </c>
      <c r="AB231" s="20" t="str">
        <f t="shared" si="95"/>
        <v/>
      </c>
      <c r="AC231" s="20" t="str">
        <f t="shared" si="96"/>
        <v/>
      </c>
      <c r="AD231" s="20" t="str">
        <f t="shared" si="97"/>
        <v/>
      </c>
      <c r="AE231" s="20" t="str">
        <f t="shared" si="98"/>
        <v/>
      </c>
      <c r="AF231" s="20" t="str">
        <f t="shared" si="99"/>
        <v/>
      </c>
      <c r="AG231" s="20" t="str">
        <f t="shared" si="100"/>
        <v/>
      </c>
      <c r="AH231" s="20" t="str">
        <f t="shared" si="101"/>
        <v/>
      </c>
      <c r="AI231" s="20" t="str">
        <f t="shared" si="102"/>
        <v/>
      </c>
      <c r="AJ231" s="20" t="str">
        <f t="shared" si="103"/>
        <v/>
      </c>
      <c r="AK231" s="20" t="str">
        <f t="shared" si="104"/>
        <v/>
      </c>
      <c r="AL231" s="20" t="str">
        <f t="shared" si="105"/>
        <v/>
      </c>
      <c r="AM231" s="20" t="str">
        <f t="shared" si="106"/>
        <v/>
      </c>
      <c r="AN231" s="20" t="str">
        <f t="shared" si="107"/>
        <v/>
      </c>
      <c r="AO231" s="20" t="str">
        <f t="shared" si="108"/>
        <v/>
      </c>
      <c r="AP231" s="20" t="str">
        <f t="shared" si="109"/>
        <v/>
      </c>
      <c r="AQ231" s="20" t="str">
        <f t="shared" si="110"/>
        <v/>
      </c>
      <c r="AR231" s="20" t="str">
        <f t="shared" si="111"/>
        <v/>
      </c>
      <c r="AS231" s="20" t="str">
        <f t="shared" si="112"/>
        <v/>
      </c>
      <c r="AT231" s="20" t="str">
        <f t="shared" si="113"/>
        <v/>
      </c>
      <c r="AU231" s="20" t="str">
        <f t="shared" si="114"/>
        <v/>
      </c>
      <c r="AV231" s="20" t="str">
        <f t="shared" si="115"/>
        <v/>
      </c>
      <c r="AW231" s="20" t="str">
        <f t="shared" si="116"/>
        <v/>
      </c>
      <c r="BD231" s="78"/>
      <c r="BE231" s="78"/>
      <c r="BF231" s="78"/>
      <c r="BG231" s="78"/>
      <c r="BH231" s="3"/>
      <c r="BI231" s="3"/>
      <c r="BJ231" s="94"/>
      <c r="BK231" s="3"/>
      <c r="BL231" s="3"/>
      <c r="BM231" s="3"/>
      <c r="BN231" s="3"/>
      <c r="BO231" s="3"/>
      <c r="BP231" s="3"/>
      <c r="BQ231" s="3"/>
      <c r="BR231" s="3"/>
      <c r="BS231" s="3"/>
      <c r="BT231" s="3"/>
      <c r="BU231" s="3"/>
      <c r="BV231" s="3"/>
      <c r="BW231" s="94"/>
      <c r="BX231" s="3"/>
      <c r="BY231" s="3"/>
      <c r="BZ231" s="3"/>
      <c r="CA231" s="94"/>
      <c r="CB231" s="3"/>
      <c r="CC231" s="3"/>
      <c r="CD231" s="3"/>
      <c r="CE231" s="3"/>
      <c r="CF231" s="3"/>
      <c r="CG231" s="3"/>
      <c r="CH231" s="3"/>
      <c r="CI231" s="3"/>
      <c r="CJ231" s="3"/>
      <c r="CK231" s="3"/>
      <c r="CL231" s="3"/>
      <c r="CM231" s="3"/>
      <c r="CN231" s="3"/>
      <c r="CO231" s="3"/>
    </row>
    <row r="232" spans="1:93" ht="16.5" x14ac:dyDescent="0.25">
      <c r="A232" s="97"/>
      <c r="B232" s="97"/>
      <c r="C232" s="97"/>
      <c r="D232" s="97"/>
      <c r="E232" s="97"/>
      <c r="F232" s="97"/>
      <c r="G232" s="98"/>
      <c r="H232" s="97"/>
      <c r="I232" s="97"/>
      <c r="J232" s="97"/>
      <c r="K232" s="97"/>
      <c r="L232" s="97"/>
      <c r="M232" s="97"/>
      <c r="N232" s="97"/>
      <c r="O232" s="97"/>
      <c r="P232" s="97"/>
      <c r="Q232" s="100"/>
      <c r="R232" s="101"/>
      <c r="S232" s="99"/>
      <c r="T232" s="99"/>
      <c r="U232" s="97"/>
      <c r="V232" s="20" t="str">
        <f t="shared" si="89"/>
        <v/>
      </c>
      <c r="W232" s="20" t="str">
        <f t="shared" si="90"/>
        <v/>
      </c>
      <c r="X232" s="20" t="str">
        <f t="shared" si="91"/>
        <v/>
      </c>
      <c r="Y232" s="20" t="str">
        <f t="shared" si="92"/>
        <v/>
      </c>
      <c r="Z232" s="20" t="str">
        <f t="shared" si="93"/>
        <v/>
      </c>
      <c r="AA232" s="20" t="str">
        <f t="shared" si="94"/>
        <v/>
      </c>
      <c r="AB232" s="20" t="str">
        <f t="shared" si="95"/>
        <v/>
      </c>
      <c r="AC232" s="20" t="str">
        <f t="shared" si="96"/>
        <v/>
      </c>
      <c r="AD232" s="20" t="str">
        <f t="shared" si="97"/>
        <v/>
      </c>
      <c r="AE232" s="20" t="str">
        <f t="shared" si="98"/>
        <v/>
      </c>
      <c r="AF232" s="20" t="str">
        <f t="shared" si="99"/>
        <v/>
      </c>
      <c r="AG232" s="20" t="str">
        <f t="shared" si="100"/>
        <v/>
      </c>
      <c r="AH232" s="20" t="str">
        <f t="shared" si="101"/>
        <v/>
      </c>
      <c r="AI232" s="20" t="str">
        <f t="shared" si="102"/>
        <v/>
      </c>
      <c r="AJ232" s="20" t="str">
        <f t="shared" si="103"/>
        <v/>
      </c>
      <c r="AK232" s="20" t="str">
        <f t="shared" si="104"/>
        <v/>
      </c>
      <c r="AL232" s="20" t="str">
        <f t="shared" si="105"/>
        <v/>
      </c>
      <c r="AM232" s="20" t="str">
        <f t="shared" si="106"/>
        <v/>
      </c>
      <c r="AN232" s="20" t="str">
        <f t="shared" si="107"/>
        <v/>
      </c>
      <c r="AO232" s="20" t="str">
        <f t="shared" si="108"/>
        <v/>
      </c>
      <c r="AP232" s="20" t="str">
        <f t="shared" si="109"/>
        <v/>
      </c>
      <c r="AQ232" s="20" t="str">
        <f t="shared" si="110"/>
        <v/>
      </c>
      <c r="AR232" s="20" t="str">
        <f t="shared" si="111"/>
        <v/>
      </c>
      <c r="AS232" s="20" t="str">
        <f t="shared" si="112"/>
        <v/>
      </c>
      <c r="AT232" s="20" t="str">
        <f t="shared" si="113"/>
        <v/>
      </c>
      <c r="AU232" s="20" t="str">
        <f t="shared" si="114"/>
        <v/>
      </c>
      <c r="AV232" s="20" t="str">
        <f t="shared" si="115"/>
        <v/>
      </c>
      <c r="AW232" s="20" t="str">
        <f t="shared" si="116"/>
        <v/>
      </c>
      <c r="BD232" s="78"/>
      <c r="BE232" s="78"/>
      <c r="BF232" s="78"/>
      <c r="BG232" s="78"/>
      <c r="BH232" s="3"/>
      <c r="BI232" s="3"/>
      <c r="BJ232" s="94"/>
      <c r="BK232" s="3"/>
      <c r="BL232" s="3"/>
      <c r="BM232" s="3"/>
      <c r="BN232" s="3"/>
      <c r="BO232" s="3"/>
      <c r="BP232" s="3"/>
      <c r="BQ232" s="3"/>
      <c r="BR232" s="3"/>
      <c r="BS232" s="3"/>
      <c r="BT232" s="3"/>
      <c r="BU232" s="3"/>
      <c r="BV232" s="3"/>
      <c r="BW232" s="94"/>
      <c r="BX232" s="3"/>
      <c r="BY232" s="3"/>
      <c r="BZ232" s="3"/>
      <c r="CA232" s="94"/>
      <c r="CB232" s="3"/>
      <c r="CC232" s="3"/>
      <c r="CD232" s="3"/>
      <c r="CE232" s="3"/>
      <c r="CF232" s="3"/>
      <c r="CG232" s="3"/>
      <c r="CH232" s="3"/>
      <c r="CI232" s="3"/>
      <c r="CJ232" s="3"/>
      <c r="CK232" s="3"/>
      <c r="CL232" s="3"/>
      <c r="CM232" s="3"/>
      <c r="CN232" s="3"/>
      <c r="CO232" s="3"/>
    </row>
    <row r="233" spans="1:93" ht="16.5" x14ac:dyDescent="0.25">
      <c r="A233" s="97"/>
      <c r="B233" s="97"/>
      <c r="C233" s="97"/>
      <c r="D233" s="97"/>
      <c r="E233" s="97"/>
      <c r="F233" s="97"/>
      <c r="G233" s="98"/>
      <c r="H233" s="97"/>
      <c r="I233" s="97"/>
      <c r="J233" s="97"/>
      <c r="K233" s="97"/>
      <c r="L233" s="97"/>
      <c r="M233" s="97"/>
      <c r="N233" s="97"/>
      <c r="O233" s="97"/>
      <c r="P233" s="97"/>
      <c r="Q233" s="100"/>
      <c r="R233" s="101"/>
      <c r="S233" s="99"/>
      <c r="T233" s="99"/>
      <c r="U233" s="97"/>
      <c r="V233" s="20" t="str">
        <f t="shared" si="89"/>
        <v/>
      </c>
      <c r="W233" s="20" t="str">
        <f t="shared" si="90"/>
        <v/>
      </c>
      <c r="X233" s="20" t="str">
        <f t="shared" si="91"/>
        <v/>
      </c>
      <c r="Y233" s="20" t="str">
        <f t="shared" si="92"/>
        <v/>
      </c>
      <c r="Z233" s="20" t="str">
        <f t="shared" si="93"/>
        <v/>
      </c>
      <c r="AA233" s="20" t="str">
        <f t="shared" si="94"/>
        <v/>
      </c>
      <c r="AB233" s="20" t="str">
        <f t="shared" si="95"/>
        <v/>
      </c>
      <c r="AC233" s="20" t="str">
        <f t="shared" si="96"/>
        <v/>
      </c>
      <c r="AD233" s="20" t="str">
        <f t="shared" si="97"/>
        <v/>
      </c>
      <c r="AE233" s="20" t="str">
        <f t="shared" si="98"/>
        <v/>
      </c>
      <c r="AF233" s="20" t="str">
        <f t="shared" si="99"/>
        <v/>
      </c>
      <c r="AG233" s="20" t="str">
        <f t="shared" si="100"/>
        <v/>
      </c>
      <c r="AH233" s="20" t="str">
        <f t="shared" si="101"/>
        <v/>
      </c>
      <c r="AI233" s="20" t="str">
        <f t="shared" si="102"/>
        <v/>
      </c>
      <c r="AJ233" s="20" t="str">
        <f t="shared" si="103"/>
        <v/>
      </c>
      <c r="AK233" s="20" t="str">
        <f t="shared" si="104"/>
        <v/>
      </c>
      <c r="AL233" s="20" t="str">
        <f t="shared" si="105"/>
        <v/>
      </c>
      <c r="AM233" s="20" t="str">
        <f t="shared" si="106"/>
        <v/>
      </c>
      <c r="AN233" s="20" t="str">
        <f t="shared" si="107"/>
        <v/>
      </c>
      <c r="AO233" s="20" t="str">
        <f t="shared" si="108"/>
        <v/>
      </c>
      <c r="AP233" s="20" t="str">
        <f t="shared" si="109"/>
        <v/>
      </c>
      <c r="AQ233" s="20" t="str">
        <f t="shared" si="110"/>
        <v/>
      </c>
      <c r="AR233" s="20" t="str">
        <f t="shared" si="111"/>
        <v/>
      </c>
      <c r="AS233" s="20" t="str">
        <f t="shared" si="112"/>
        <v/>
      </c>
      <c r="AT233" s="20" t="str">
        <f t="shared" si="113"/>
        <v/>
      </c>
      <c r="AU233" s="20" t="str">
        <f t="shared" si="114"/>
        <v/>
      </c>
      <c r="AV233" s="20" t="str">
        <f t="shared" si="115"/>
        <v/>
      </c>
      <c r="AW233" s="20" t="str">
        <f t="shared" si="116"/>
        <v/>
      </c>
      <c r="BD233" s="78"/>
      <c r="BE233" s="78"/>
      <c r="BF233" s="78"/>
      <c r="BG233" s="78"/>
      <c r="BH233" s="3"/>
      <c r="BI233" s="3"/>
      <c r="BJ233" s="94"/>
      <c r="BK233" s="3"/>
      <c r="BL233" s="3"/>
      <c r="BM233" s="3"/>
      <c r="BN233" s="3"/>
      <c r="BO233" s="3"/>
      <c r="BP233" s="3"/>
      <c r="BQ233" s="3"/>
      <c r="BR233" s="3"/>
      <c r="BS233" s="3"/>
      <c r="BT233" s="3"/>
      <c r="BU233" s="3"/>
      <c r="BV233" s="3"/>
      <c r="BW233" s="94"/>
      <c r="BX233" s="3"/>
      <c r="BY233" s="3"/>
      <c r="BZ233" s="3"/>
      <c r="CA233" s="94"/>
      <c r="CB233" s="3"/>
      <c r="CC233" s="3"/>
      <c r="CD233" s="3"/>
      <c r="CE233" s="3"/>
      <c r="CF233" s="3"/>
      <c r="CG233" s="3"/>
      <c r="CH233" s="3"/>
      <c r="CI233" s="3"/>
      <c r="CJ233" s="3"/>
      <c r="CK233" s="3"/>
      <c r="CL233" s="3"/>
      <c r="CM233" s="3"/>
      <c r="CN233" s="3"/>
      <c r="CO233" s="3"/>
    </row>
    <row r="234" spans="1:93" ht="16.5" x14ac:dyDescent="0.25">
      <c r="A234" s="97"/>
      <c r="B234" s="97"/>
      <c r="C234" s="97"/>
      <c r="D234" s="97"/>
      <c r="E234" s="97"/>
      <c r="F234" s="97"/>
      <c r="G234" s="98"/>
      <c r="H234" s="97"/>
      <c r="I234" s="97"/>
      <c r="J234" s="97"/>
      <c r="K234" s="97"/>
      <c r="L234" s="97"/>
      <c r="M234" s="97"/>
      <c r="N234" s="97"/>
      <c r="O234" s="97"/>
      <c r="P234" s="97"/>
      <c r="Q234" s="100"/>
      <c r="R234" s="101"/>
      <c r="S234" s="99"/>
      <c r="T234" s="99"/>
      <c r="U234" s="97"/>
      <c r="V234" s="20" t="str">
        <f t="shared" si="89"/>
        <v/>
      </c>
      <c r="W234" s="20" t="str">
        <f t="shared" si="90"/>
        <v/>
      </c>
      <c r="X234" s="20" t="str">
        <f t="shared" si="91"/>
        <v/>
      </c>
      <c r="Y234" s="20" t="str">
        <f t="shared" si="92"/>
        <v/>
      </c>
      <c r="Z234" s="20" t="str">
        <f t="shared" si="93"/>
        <v/>
      </c>
      <c r="AA234" s="20" t="str">
        <f t="shared" si="94"/>
        <v/>
      </c>
      <c r="AB234" s="20" t="str">
        <f t="shared" si="95"/>
        <v/>
      </c>
      <c r="AC234" s="20" t="str">
        <f t="shared" si="96"/>
        <v/>
      </c>
      <c r="AD234" s="20" t="str">
        <f t="shared" si="97"/>
        <v/>
      </c>
      <c r="AE234" s="20" t="str">
        <f t="shared" si="98"/>
        <v/>
      </c>
      <c r="AF234" s="20" t="str">
        <f t="shared" si="99"/>
        <v/>
      </c>
      <c r="AG234" s="20" t="str">
        <f t="shared" si="100"/>
        <v/>
      </c>
      <c r="AH234" s="20" t="str">
        <f t="shared" si="101"/>
        <v/>
      </c>
      <c r="AI234" s="20" t="str">
        <f t="shared" si="102"/>
        <v/>
      </c>
      <c r="AJ234" s="20" t="str">
        <f t="shared" si="103"/>
        <v/>
      </c>
      <c r="AK234" s="20" t="str">
        <f t="shared" si="104"/>
        <v/>
      </c>
      <c r="AL234" s="20" t="str">
        <f t="shared" si="105"/>
        <v/>
      </c>
      <c r="AM234" s="20" t="str">
        <f t="shared" si="106"/>
        <v/>
      </c>
      <c r="AN234" s="20" t="str">
        <f t="shared" si="107"/>
        <v/>
      </c>
      <c r="AO234" s="20" t="str">
        <f t="shared" si="108"/>
        <v/>
      </c>
      <c r="AP234" s="20" t="str">
        <f t="shared" si="109"/>
        <v/>
      </c>
      <c r="AQ234" s="20" t="str">
        <f t="shared" si="110"/>
        <v/>
      </c>
      <c r="AR234" s="20" t="str">
        <f t="shared" si="111"/>
        <v/>
      </c>
      <c r="AS234" s="20" t="str">
        <f t="shared" si="112"/>
        <v/>
      </c>
      <c r="AT234" s="20" t="str">
        <f t="shared" si="113"/>
        <v/>
      </c>
      <c r="AU234" s="20" t="str">
        <f t="shared" si="114"/>
        <v/>
      </c>
      <c r="AV234" s="20" t="str">
        <f t="shared" si="115"/>
        <v/>
      </c>
      <c r="AW234" s="20" t="str">
        <f t="shared" si="116"/>
        <v/>
      </c>
      <c r="BH234" s="24"/>
      <c r="BI234" s="24"/>
      <c r="BL234" s="75"/>
      <c r="BM234" s="75"/>
      <c r="BN234" s="75"/>
      <c r="BO234" s="24"/>
      <c r="BP234" s="24"/>
      <c r="BQ234" s="24"/>
      <c r="BR234" s="24"/>
      <c r="BS234" s="24"/>
      <c r="BT234" s="24"/>
      <c r="BU234" s="24"/>
      <c r="BV234" s="24"/>
      <c r="BY234" s="24"/>
      <c r="BZ234" s="24"/>
      <c r="CB234" s="3"/>
      <c r="CC234" s="3"/>
      <c r="CD234" s="3"/>
      <c r="CE234" s="3"/>
      <c r="CF234" s="24"/>
      <c r="CG234" s="24"/>
      <c r="CH234" s="24"/>
      <c r="CI234" s="24"/>
      <c r="CJ234" s="24"/>
      <c r="CK234" s="24"/>
      <c r="CL234" s="24"/>
      <c r="CM234" s="24"/>
      <c r="CN234" s="24"/>
      <c r="CO234" s="24"/>
    </row>
    <row r="235" spans="1:93" ht="16.5" x14ac:dyDescent="0.25">
      <c r="A235" s="97"/>
      <c r="B235" s="97"/>
      <c r="C235" s="97"/>
      <c r="D235" s="97"/>
      <c r="E235" s="97"/>
      <c r="F235" s="97"/>
      <c r="G235" s="98"/>
      <c r="H235" s="97"/>
      <c r="I235" s="97"/>
      <c r="J235" s="97"/>
      <c r="K235" s="97"/>
      <c r="L235" s="97"/>
      <c r="M235" s="97"/>
      <c r="N235" s="97"/>
      <c r="O235" s="97"/>
      <c r="P235" s="97"/>
      <c r="Q235" s="100"/>
      <c r="R235" s="101"/>
      <c r="S235" s="99"/>
      <c r="T235" s="99"/>
      <c r="U235" s="97"/>
      <c r="V235" s="20" t="str">
        <f t="shared" si="89"/>
        <v/>
      </c>
      <c r="W235" s="20" t="str">
        <f t="shared" si="90"/>
        <v/>
      </c>
      <c r="X235" s="20" t="str">
        <f t="shared" si="91"/>
        <v/>
      </c>
      <c r="Y235" s="20" t="str">
        <f t="shared" si="92"/>
        <v/>
      </c>
      <c r="Z235" s="20" t="str">
        <f t="shared" si="93"/>
        <v/>
      </c>
      <c r="AA235" s="20" t="str">
        <f t="shared" si="94"/>
        <v/>
      </c>
      <c r="AB235" s="20" t="str">
        <f t="shared" si="95"/>
        <v/>
      </c>
      <c r="AC235" s="20" t="str">
        <f t="shared" si="96"/>
        <v/>
      </c>
      <c r="AD235" s="20" t="str">
        <f t="shared" si="97"/>
        <v/>
      </c>
      <c r="AE235" s="20" t="str">
        <f t="shared" si="98"/>
        <v/>
      </c>
      <c r="AF235" s="20" t="str">
        <f t="shared" si="99"/>
        <v/>
      </c>
      <c r="AG235" s="20" t="str">
        <f t="shared" si="100"/>
        <v/>
      </c>
      <c r="AH235" s="20" t="str">
        <f t="shared" si="101"/>
        <v/>
      </c>
      <c r="AI235" s="20" t="str">
        <f t="shared" si="102"/>
        <v/>
      </c>
      <c r="AJ235" s="20" t="str">
        <f t="shared" si="103"/>
        <v/>
      </c>
      <c r="AK235" s="20" t="str">
        <f t="shared" si="104"/>
        <v/>
      </c>
      <c r="AL235" s="20" t="str">
        <f t="shared" si="105"/>
        <v/>
      </c>
      <c r="AM235" s="20" t="str">
        <f t="shared" si="106"/>
        <v/>
      </c>
      <c r="AN235" s="20" t="str">
        <f t="shared" si="107"/>
        <v/>
      </c>
      <c r="AO235" s="20" t="str">
        <f t="shared" si="108"/>
        <v/>
      </c>
      <c r="AP235" s="20" t="str">
        <f t="shared" si="109"/>
        <v/>
      </c>
      <c r="AQ235" s="20" t="str">
        <f t="shared" si="110"/>
        <v/>
      </c>
      <c r="AR235" s="20" t="str">
        <f t="shared" si="111"/>
        <v/>
      </c>
      <c r="AS235" s="20" t="str">
        <f t="shared" si="112"/>
        <v/>
      </c>
      <c r="AT235" s="20" t="str">
        <f t="shared" si="113"/>
        <v/>
      </c>
      <c r="AU235" s="20" t="str">
        <f t="shared" si="114"/>
        <v/>
      </c>
      <c r="AV235" s="20" t="str">
        <f t="shared" si="115"/>
        <v/>
      </c>
      <c r="AW235" s="20" t="str">
        <f t="shared" si="116"/>
        <v/>
      </c>
    </row>
    <row r="236" spans="1:93" ht="16.5" x14ac:dyDescent="0.25">
      <c r="A236" s="97"/>
      <c r="B236" s="97"/>
      <c r="C236" s="97"/>
      <c r="D236" s="97"/>
      <c r="E236" s="97"/>
      <c r="F236" s="97"/>
      <c r="G236" s="98"/>
      <c r="H236" s="97"/>
      <c r="I236" s="97"/>
      <c r="J236" s="97"/>
      <c r="K236" s="97"/>
      <c r="L236" s="97"/>
      <c r="M236" s="97"/>
      <c r="N236" s="97"/>
      <c r="O236" s="97"/>
      <c r="P236" s="97"/>
      <c r="Q236" s="100"/>
      <c r="R236" s="101"/>
      <c r="S236" s="99"/>
      <c r="T236" s="99"/>
      <c r="U236" s="97"/>
      <c r="V236" s="20" t="str">
        <f t="shared" si="89"/>
        <v/>
      </c>
      <c r="W236" s="20" t="str">
        <f t="shared" si="90"/>
        <v/>
      </c>
      <c r="X236" s="20" t="str">
        <f t="shared" si="91"/>
        <v/>
      </c>
      <c r="Y236" s="20" t="str">
        <f t="shared" si="92"/>
        <v/>
      </c>
      <c r="Z236" s="20" t="str">
        <f t="shared" si="93"/>
        <v/>
      </c>
      <c r="AA236" s="20" t="str">
        <f t="shared" si="94"/>
        <v/>
      </c>
      <c r="AB236" s="20" t="str">
        <f t="shared" si="95"/>
        <v/>
      </c>
      <c r="AC236" s="20" t="str">
        <f t="shared" si="96"/>
        <v/>
      </c>
      <c r="AD236" s="20" t="str">
        <f t="shared" si="97"/>
        <v/>
      </c>
      <c r="AE236" s="20" t="str">
        <f t="shared" si="98"/>
        <v/>
      </c>
      <c r="AF236" s="20" t="str">
        <f t="shared" si="99"/>
        <v/>
      </c>
      <c r="AG236" s="20" t="str">
        <f t="shared" si="100"/>
        <v/>
      </c>
      <c r="AH236" s="20" t="str">
        <f t="shared" si="101"/>
        <v/>
      </c>
      <c r="AI236" s="20" t="str">
        <f t="shared" si="102"/>
        <v/>
      </c>
      <c r="AJ236" s="20" t="str">
        <f t="shared" si="103"/>
        <v/>
      </c>
      <c r="AK236" s="20" t="str">
        <f t="shared" si="104"/>
        <v/>
      </c>
      <c r="AL236" s="20" t="str">
        <f t="shared" si="105"/>
        <v/>
      </c>
      <c r="AM236" s="20" t="str">
        <f t="shared" si="106"/>
        <v/>
      </c>
      <c r="AN236" s="20" t="str">
        <f t="shared" si="107"/>
        <v/>
      </c>
      <c r="AO236" s="20" t="str">
        <f t="shared" si="108"/>
        <v/>
      </c>
      <c r="AP236" s="20" t="str">
        <f t="shared" si="109"/>
        <v/>
      </c>
      <c r="AQ236" s="20" t="str">
        <f t="shared" si="110"/>
        <v/>
      </c>
      <c r="AR236" s="20" t="str">
        <f t="shared" si="111"/>
        <v/>
      </c>
      <c r="AS236" s="20" t="str">
        <f t="shared" si="112"/>
        <v/>
      </c>
      <c r="AT236" s="20" t="str">
        <f t="shared" si="113"/>
        <v/>
      </c>
      <c r="AU236" s="20" t="str">
        <f t="shared" si="114"/>
        <v/>
      </c>
      <c r="AV236" s="20" t="str">
        <f t="shared" si="115"/>
        <v/>
      </c>
      <c r="AW236" s="20" t="str">
        <f t="shared" si="116"/>
        <v/>
      </c>
    </row>
    <row r="237" spans="1:93" ht="16.5" x14ac:dyDescent="0.25">
      <c r="A237" s="97"/>
      <c r="B237" s="97"/>
      <c r="C237" s="97"/>
      <c r="D237" s="97"/>
      <c r="E237" s="97"/>
      <c r="F237" s="97"/>
      <c r="G237" s="98"/>
      <c r="H237" s="97"/>
      <c r="I237" s="97"/>
      <c r="J237" s="97"/>
      <c r="K237" s="97"/>
      <c r="L237" s="97"/>
      <c r="M237" s="97"/>
      <c r="N237" s="97"/>
      <c r="O237" s="97"/>
      <c r="P237" s="97"/>
      <c r="Q237" s="100"/>
      <c r="R237" s="101"/>
      <c r="S237" s="99"/>
      <c r="T237" s="99"/>
      <c r="U237" s="97"/>
      <c r="V237" s="20" t="str">
        <f t="shared" si="89"/>
        <v/>
      </c>
      <c r="W237" s="20" t="str">
        <f t="shared" si="90"/>
        <v/>
      </c>
      <c r="X237" s="20" t="str">
        <f t="shared" si="91"/>
        <v/>
      </c>
      <c r="Y237" s="20" t="str">
        <f t="shared" si="92"/>
        <v/>
      </c>
      <c r="Z237" s="20" t="str">
        <f t="shared" si="93"/>
        <v/>
      </c>
      <c r="AA237" s="20" t="str">
        <f t="shared" si="94"/>
        <v/>
      </c>
      <c r="AB237" s="20" t="str">
        <f t="shared" si="95"/>
        <v/>
      </c>
      <c r="AC237" s="20" t="str">
        <f t="shared" si="96"/>
        <v/>
      </c>
      <c r="AD237" s="20" t="str">
        <f t="shared" si="97"/>
        <v/>
      </c>
      <c r="AE237" s="20" t="str">
        <f t="shared" si="98"/>
        <v/>
      </c>
      <c r="AF237" s="20" t="str">
        <f t="shared" si="99"/>
        <v/>
      </c>
      <c r="AG237" s="20" t="str">
        <f t="shared" si="100"/>
        <v/>
      </c>
      <c r="AH237" s="20" t="str">
        <f t="shared" si="101"/>
        <v/>
      </c>
      <c r="AI237" s="20" t="str">
        <f t="shared" si="102"/>
        <v/>
      </c>
      <c r="AJ237" s="20" t="str">
        <f t="shared" si="103"/>
        <v/>
      </c>
      <c r="AK237" s="20" t="str">
        <f t="shared" si="104"/>
        <v/>
      </c>
      <c r="AL237" s="20" t="str">
        <f t="shared" si="105"/>
        <v/>
      </c>
      <c r="AM237" s="20" t="str">
        <f t="shared" si="106"/>
        <v/>
      </c>
      <c r="AN237" s="20" t="str">
        <f t="shared" si="107"/>
        <v/>
      </c>
      <c r="AO237" s="20" t="str">
        <f t="shared" si="108"/>
        <v/>
      </c>
      <c r="AP237" s="20" t="str">
        <f t="shared" si="109"/>
        <v/>
      </c>
      <c r="AQ237" s="20" t="str">
        <f t="shared" si="110"/>
        <v/>
      </c>
      <c r="AR237" s="20" t="str">
        <f t="shared" si="111"/>
        <v/>
      </c>
      <c r="AS237" s="20" t="str">
        <f t="shared" si="112"/>
        <v/>
      </c>
      <c r="AT237" s="20" t="str">
        <f t="shared" si="113"/>
        <v/>
      </c>
      <c r="AU237" s="20" t="str">
        <f t="shared" si="114"/>
        <v/>
      </c>
      <c r="AV237" s="20" t="str">
        <f t="shared" si="115"/>
        <v/>
      </c>
      <c r="AW237" s="20" t="str">
        <f t="shared" si="116"/>
        <v/>
      </c>
    </row>
    <row r="238" spans="1:93" ht="16.5" x14ac:dyDescent="0.25">
      <c r="A238" s="97"/>
      <c r="B238" s="97"/>
      <c r="C238" s="97"/>
      <c r="D238" s="97"/>
      <c r="E238" s="97"/>
      <c r="F238" s="97"/>
      <c r="G238" s="98"/>
      <c r="H238" s="97"/>
      <c r="I238" s="97"/>
      <c r="J238" s="97"/>
      <c r="K238" s="97"/>
      <c r="L238" s="97"/>
      <c r="M238" s="97"/>
      <c r="N238" s="97"/>
      <c r="O238" s="97"/>
      <c r="P238" s="97"/>
      <c r="Q238" s="100"/>
      <c r="R238" s="101"/>
      <c r="S238" s="99"/>
      <c r="T238" s="99"/>
      <c r="U238" s="97"/>
      <c r="V238" s="20" t="str">
        <f t="shared" si="89"/>
        <v/>
      </c>
      <c r="W238" s="20" t="str">
        <f t="shared" si="90"/>
        <v/>
      </c>
      <c r="X238" s="20" t="str">
        <f t="shared" si="91"/>
        <v/>
      </c>
      <c r="Y238" s="20" t="str">
        <f t="shared" si="92"/>
        <v/>
      </c>
      <c r="Z238" s="20" t="str">
        <f t="shared" si="93"/>
        <v/>
      </c>
      <c r="AA238" s="20" t="str">
        <f t="shared" si="94"/>
        <v/>
      </c>
      <c r="AB238" s="20" t="str">
        <f t="shared" si="95"/>
        <v/>
      </c>
      <c r="AC238" s="20" t="str">
        <f t="shared" si="96"/>
        <v/>
      </c>
      <c r="AD238" s="20" t="str">
        <f t="shared" si="97"/>
        <v/>
      </c>
      <c r="AE238" s="20" t="str">
        <f t="shared" si="98"/>
        <v/>
      </c>
      <c r="AF238" s="20" t="str">
        <f t="shared" si="99"/>
        <v/>
      </c>
      <c r="AG238" s="20" t="str">
        <f t="shared" si="100"/>
        <v/>
      </c>
      <c r="AH238" s="20" t="str">
        <f t="shared" si="101"/>
        <v/>
      </c>
      <c r="AI238" s="20" t="str">
        <f t="shared" si="102"/>
        <v/>
      </c>
      <c r="AJ238" s="20" t="str">
        <f t="shared" si="103"/>
        <v/>
      </c>
      <c r="AK238" s="20" t="str">
        <f t="shared" si="104"/>
        <v/>
      </c>
      <c r="AL238" s="20" t="str">
        <f t="shared" si="105"/>
        <v/>
      </c>
      <c r="AM238" s="20" t="str">
        <f t="shared" si="106"/>
        <v/>
      </c>
      <c r="AN238" s="20" t="str">
        <f t="shared" si="107"/>
        <v/>
      </c>
      <c r="AO238" s="20" t="str">
        <f t="shared" si="108"/>
        <v/>
      </c>
      <c r="AP238" s="20" t="str">
        <f t="shared" si="109"/>
        <v/>
      </c>
      <c r="AQ238" s="20" t="str">
        <f t="shared" si="110"/>
        <v/>
      </c>
      <c r="AR238" s="20" t="str">
        <f t="shared" si="111"/>
        <v/>
      </c>
      <c r="AS238" s="20" t="str">
        <f t="shared" si="112"/>
        <v/>
      </c>
      <c r="AT238" s="20" t="str">
        <f t="shared" si="113"/>
        <v/>
      </c>
      <c r="AU238" s="20" t="str">
        <f t="shared" si="114"/>
        <v/>
      </c>
      <c r="AV238" s="20" t="str">
        <f t="shared" si="115"/>
        <v/>
      </c>
      <c r="AW238" s="20" t="str">
        <f t="shared" si="116"/>
        <v/>
      </c>
    </row>
    <row r="239" spans="1:93" ht="16.5" x14ac:dyDescent="0.25">
      <c r="A239" s="97"/>
      <c r="B239" s="97"/>
      <c r="C239" s="97"/>
      <c r="D239" s="97"/>
      <c r="E239" s="97"/>
      <c r="F239" s="97"/>
      <c r="G239" s="98"/>
      <c r="H239" s="97"/>
      <c r="I239" s="97"/>
      <c r="J239" s="97"/>
      <c r="K239" s="97"/>
      <c r="L239" s="97"/>
      <c r="M239" s="97"/>
      <c r="N239" s="97"/>
      <c r="O239" s="97"/>
      <c r="P239" s="97"/>
      <c r="Q239" s="100"/>
      <c r="R239" s="101"/>
      <c r="S239" s="99"/>
      <c r="T239" s="99"/>
      <c r="U239" s="97"/>
      <c r="V239" s="20" t="str">
        <f t="shared" si="89"/>
        <v/>
      </c>
      <c r="W239" s="20" t="str">
        <f t="shared" si="90"/>
        <v/>
      </c>
      <c r="X239" s="20" t="str">
        <f t="shared" si="91"/>
        <v/>
      </c>
      <c r="Y239" s="20" t="str">
        <f t="shared" si="92"/>
        <v/>
      </c>
      <c r="Z239" s="20" t="str">
        <f t="shared" si="93"/>
        <v/>
      </c>
      <c r="AA239" s="20" t="str">
        <f t="shared" si="94"/>
        <v/>
      </c>
      <c r="AB239" s="20" t="str">
        <f t="shared" si="95"/>
        <v/>
      </c>
      <c r="AC239" s="20" t="str">
        <f t="shared" si="96"/>
        <v/>
      </c>
      <c r="AD239" s="20" t="str">
        <f t="shared" si="97"/>
        <v/>
      </c>
      <c r="AE239" s="20" t="str">
        <f t="shared" si="98"/>
        <v/>
      </c>
      <c r="AF239" s="20" t="str">
        <f t="shared" si="99"/>
        <v/>
      </c>
      <c r="AG239" s="20" t="str">
        <f t="shared" si="100"/>
        <v/>
      </c>
      <c r="AH239" s="20" t="str">
        <f t="shared" si="101"/>
        <v/>
      </c>
      <c r="AI239" s="20" t="str">
        <f t="shared" si="102"/>
        <v/>
      </c>
      <c r="AJ239" s="20" t="str">
        <f t="shared" si="103"/>
        <v/>
      </c>
      <c r="AK239" s="20" t="str">
        <f t="shared" si="104"/>
        <v/>
      </c>
      <c r="AL239" s="20" t="str">
        <f t="shared" si="105"/>
        <v/>
      </c>
      <c r="AM239" s="20" t="str">
        <f t="shared" si="106"/>
        <v/>
      </c>
      <c r="AN239" s="20" t="str">
        <f t="shared" si="107"/>
        <v/>
      </c>
      <c r="AO239" s="20" t="str">
        <f t="shared" si="108"/>
        <v/>
      </c>
      <c r="AP239" s="20" t="str">
        <f t="shared" si="109"/>
        <v/>
      </c>
      <c r="AQ239" s="20" t="str">
        <f t="shared" si="110"/>
        <v/>
      </c>
      <c r="AR239" s="20" t="str">
        <f t="shared" si="111"/>
        <v/>
      </c>
      <c r="AS239" s="20" t="str">
        <f t="shared" si="112"/>
        <v/>
      </c>
      <c r="AT239" s="20" t="str">
        <f t="shared" si="113"/>
        <v/>
      </c>
      <c r="AU239" s="20" t="str">
        <f t="shared" si="114"/>
        <v/>
      </c>
      <c r="AV239" s="20" t="str">
        <f t="shared" si="115"/>
        <v/>
      </c>
      <c r="AW239" s="20" t="str">
        <f t="shared" si="116"/>
        <v/>
      </c>
    </row>
    <row r="240" spans="1:93" ht="16.5" x14ac:dyDescent="0.25">
      <c r="A240" s="97"/>
      <c r="B240" s="97"/>
      <c r="C240" s="97"/>
      <c r="D240" s="97"/>
      <c r="E240" s="97"/>
      <c r="F240" s="97"/>
      <c r="G240" s="98"/>
      <c r="H240" s="97"/>
      <c r="I240" s="97"/>
      <c r="J240" s="97"/>
      <c r="K240" s="97"/>
      <c r="L240" s="97"/>
      <c r="M240" s="97"/>
      <c r="N240" s="97"/>
      <c r="O240" s="97"/>
      <c r="P240" s="97"/>
      <c r="Q240" s="100"/>
      <c r="R240" s="101"/>
      <c r="S240" s="99"/>
      <c r="T240" s="99"/>
      <c r="U240" s="97"/>
      <c r="V240" s="20" t="str">
        <f t="shared" si="89"/>
        <v/>
      </c>
      <c r="W240" s="20" t="str">
        <f t="shared" si="90"/>
        <v/>
      </c>
      <c r="X240" s="20" t="str">
        <f t="shared" si="91"/>
        <v/>
      </c>
      <c r="Y240" s="20" t="str">
        <f t="shared" si="92"/>
        <v/>
      </c>
      <c r="Z240" s="20" t="str">
        <f t="shared" si="93"/>
        <v/>
      </c>
      <c r="AA240" s="20" t="str">
        <f t="shared" si="94"/>
        <v/>
      </c>
      <c r="AB240" s="20" t="str">
        <f t="shared" si="95"/>
        <v/>
      </c>
      <c r="AC240" s="20" t="str">
        <f t="shared" si="96"/>
        <v/>
      </c>
      <c r="AD240" s="20" t="str">
        <f t="shared" si="97"/>
        <v/>
      </c>
      <c r="AE240" s="20" t="str">
        <f t="shared" si="98"/>
        <v/>
      </c>
      <c r="AF240" s="20" t="str">
        <f t="shared" si="99"/>
        <v/>
      </c>
      <c r="AG240" s="20" t="str">
        <f t="shared" si="100"/>
        <v/>
      </c>
      <c r="AH240" s="20" t="str">
        <f t="shared" si="101"/>
        <v/>
      </c>
      <c r="AI240" s="20" t="str">
        <f t="shared" si="102"/>
        <v/>
      </c>
      <c r="AJ240" s="20" t="str">
        <f t="shared" si="103"/>
        <v/>
      </c>
      <c r="AK240" s="20" t="str">
        <f t="shared" si="104"/>
        <v/>
      </c>
      <c r="AL240" s="20" t="str">
        <f t="shared" si="105"/>
        <v/>
      </c>
      <c r="AM240" s="20" t="str">
        <f t="shared" si="106"/>
        <v/>
      </c>
      <c r="AN240" s="20" t="str">
        <f t="shared" si="107"/>
        <v/>
      </c>
      <c r="AO240" s="20" t="str">
        <f t="shared" si="108"/>
        <v/>
      </c>
      <c r="AP240" s="20" t="str">
        <f t="shared" si="109"/>
        <v/>
      </c>
      <c r="AQ240" s="20" t="str">
        <f t="shared" si="110"/>
        <v/>
      </c>
      <c r="AR240" s="20" t="str">
        <f t="shared" si="111"/>
        <v/>
      </c>
      <c r="AS240" s="20" t="str">
        <f t="shared" si="112"/>
        <v/>
      </c>
      <c r="AT240" s="20" t="str">
        <f t="shared" si="113"/>
        <v/>
      </c>
      <c r="AU240" s="20" t="str">
        <f t="shared" si="114"/>
        <v/>
      </c>
      <c r="AV240" s="20" t="str">
        <f t="shared" si="115"/>
        <v/>
      </c>
      <c r="AW240" s="20" t="str">
        <f t="shared" si="116"/>
        <v/>
      </c>
    </row>
    <row r="241" spans="1:49" ht="16.5" x14ac:dyDescent="0.25">
      <c r="A241" s="97"/>
      <c r="B241" s="97"/>
      <c r="C241" s="97"/>
      <c r="D241" s="97"/>
      <c r="E241" s="97"/>
      <c r="F241" s="97"/>
      <c r="G241" s="98"/>
      <c r="H241" s="97"/>
      <c r="I241" s="97"/>
      <c r="J241" s="97"/>
      <c r="K241" s="97"/>
      <c r="L241" s="97"/>
      <c r="M241" s="97"/>
      <c r="N241" s="97"/>
      <c r="O241" s="97"/>
      <c r="P241" s="97"/>
      <c r="Q241" s="100"/>
      <c r="R241" s="101"/>
      <c r="S241" s="99"/>
      <c r="T241" s="99"/>
      <c r="U241" s="97"/>
      <c r="V241" s="20" t="str">
        <f t="shared" si="89"/>
        <v/>
      </c>
      <c r="W241" s="20" t="str">
        <f t="shared" si="90"/>
        <v/>
      </c>
      <c r="X241" s="20" t="str">
        <f t="shared" si="91"/>
        <v/>
      </c>
      <c r="Y241" s="20" t="str">
        <f t="shared" si="92"/>
        <v/>
      </c>
      <c r="Z241" s="20" t="str">
        <f t="shared" si="93"/>
        <v/>
      </c>
      <c r="AA241" s="20" t="str">
        <f t="shared" si="94"/>
        <v/>
      </c>
      <c r="AB241" s="20" t="str">
        <f t="shared" si="95"/>
        <v/>
      </c>
      <c r="AC241" s="20" t="str">
        <f t="shared" si="96"/>
        <v/>
      </c>
      <c r="AD241" s="20" t="str">
        <f t="shared" si="97"/>
        <v/>
      </c>
      <c r="AE241" s="20" t="str">
        <f t="shared" si="98"/>
        <v/>
      </c>
      <c r="AF241" s="20" t="str">
        <f t="shared" si="99"/>
        <v/>
      </c>
      <c r="AG241" s="20" t="str">
        <f t="shared" si="100"/>
        <v/>
      </c>
      <c r="AH241" s="20" t="str">
        <f t="shared" si="101"/>
        <v/>
      </c>
      <c r="AI241" s="20" t="str">
        <f t="shared" si="102"/>
        <v/>
      </c>
      <c r="AJ241" s="20" t="str">
        <f t="shared" si="103"/>
        <v/>
      </c>
      <c r="AK241" s="20" t="str">
        <f t="shared" si="104"/>
        <v/>
      </c>
      <c r="AL241" s="20" t="str">
        <f t="shared" si="105"/>
        <v/>
      </c>
      <c r="AM241" s="20" t="str">
        <f t="shared" si="106"/>
        <v/>
      </c>
      <c r="AN241" s="20" t="str">
        <f t="shared" si="107"/>
        <v/>
      </c>
      <c r="AO241" s="20" t="str">
        <f t="shared" si="108"/>
        <v/>
      </c>
      <c r="AP241" s="20" t="str">
        <f t="shared" si="109"/>
        <v/>
      </c>
      <c r="AQ241" s="20" t="str">
        <f t="shared" si="110"/>
        <v/>
      </c>
      <c r="AR241" s="20" t="str">
        <f t="shared" si="111"/>
        <v/>
      </c>
      <c r="AS241" s="20" t="str">
        <f t="shared" si="112"/>
        <v/>
      </c>
      <c r="AT241" s="20" t="str">
        <f t="shared" si="113"/>
        <v/>
      </c>
      <c r="AU241" s="20" t="str">
        <f t="shared" si="114"/>
        <v/>
      </c>
      <c r="AV241" s="20" t="str">
        <f t="shared" si="115"/>
        <v/>
      </c>
      <c r="AW241" s="20" t="str">
        <f t="shared" si="116"/>
        <v/>
      </c>
    </row>
    <row r="242" spans="1:49" ht="16.5" x14ac:dyDescent="0.25">
      <c r="A242" s="97"/>
      <c r="B242" s="97"/>
      <c r="C242" s="97"/>
      <c r="D242" s="97"/>
      <c r="E242" s="97"/>
      <c r="F242" s="97"/>
      <c r="G242" s="98"/>
      <c r="H242" s="97"/>
      <c r="I242" s="97"/>
      <c r="J242" s="97"/>
      <c r="K242" s="97"/>
      <c r="L242" s="97"/>
      <c r="M242" s="97"/>
      <c r="N242" s="97"/>
      <c r="O242" s="97"/>
      <c r="P242" s="97"/>
      <c r="Q242" s="100"/>
      <c r="R242" s="101"/>
      <c r="S242" s="99"/>
      <c r="T242" s="99"/>
      <c r="U242" s="97"/>
      <c r="V242" s="20" t="str">
        <f t="shared" si="89"/>
        <v/>
      </c>
      <c r="W242" s="20" t="str">
        <f t="shared" si="90"/>
        <v/>
      </c>
      <c r="X242" s="20" t="str">
        <f t="shared" si="91"/>
        <v/>
      </c>
      <c r="Y242" s="20" t="str">
        <f t="shared" si="92"/>
        <v/>
      </c>
      <c r="Z242" s="20" t="str">
        <f t="shared" si="93"/>
        <v/>
      </c>
      <c r="AA242" s="20" t="str">
        <f t="shared" si="94"/>
        <v/>
      </c>
      <c r="AB242" s="20" t="str">
        <f t="shared" si="95"/>
        <v/>
      </c>
      <c r="AC242" s="20" t="str">
        <f t="shared" si="96"/>
        <v/>
      </c>
      <c r="AD242" s="20" t="str">
        <f t="shared" si="97"/>
        <v/>
      </c>
      <c r="AE242" s="20" t="str">
        <f t="shared" si="98"/>
        <v/>
      </c>
      <c r="AF242" s="20" t="str">
        <f t="shared" si="99"/>
        <v/>
      </c>
      <c r="AG242" s="20" t="str">
        <f t="shared" si="100"/>
        <v/>
      </c>
      <c r="AH242" s="20" t="str">
        <f t="shared" si="101"/>
        <v/>
      </c>
      <c r="AI242" s="20" t="str">
        <f t="shared" si="102"/>
        <v/>
      </c>
      <c r="AJ242" s="20" t="str">
        <f t="shared" si="103"/>
        <v/>
      </c>
      <c r="AK242" s="20" t="str">
        <f t="shared" si="104"/>
        <v/>
      </c>
      <c r="AL242" s="20" t="str">
        <f t="shared" si="105"/>
        <v/>
      </c>
      <c r="AM242" s="20" t="str">
        <f t="shared" si="106"/>
        <v/>
      </c>
      <c r="AN242" s="20" t="str">
        <f t="shared" si="107"/>
        <v/>
      </c>
      <c r="AO242" s="20" t="str">
        <f t="shared" si="108"/>
        <v/>
      </c>
      <c r="AP242" s="20" t="str">
        <f t="shared" si="109"/>
        <v/>
      </c>
      <c r="AQ242" s="20" t="str">
        <f t="shared" si="110"/>
        <v/>
      </c>
      <c r="AR242" s="20" t="str">
        <f t="shared" si="111"/>
        <v/>
      </c>
      <c r="AS242" s="20" t="str">
        <f t="shared" si="112"/>
        <v/>
      </c>
      <c r="AT242" s="20" t="str">
        <f t="shared" si="113"/>
        <v/>
      </c>
      <c r="AU242" s="20" t="str">
        <f t="shared" si="114"/>
        <v/>
      </c>
      <c r="AV242" s="20" t="str">
        <f t="shared" si="115"/>
        <v/>
      </c>
      <c r="AW242" s="20" t="str">
        <f t="shared" si="116"/>
        <v/>
      </c>
    </row>
    <row r="243" spans="1:49" ht="16.5" x14ac:dyDescent="0.25">
      <c r="A243" s="97"/>
      <c r="B243" s="97"/>
      <c r="C243" s="97"/>
      <c r="D243" s="97"/>
      <c r="E243" s="97"/>
      <c r="F243" s="97"/>
      <c r="G243" s="98"/>
      <c r="H243" s="97"/>
      <c r="I243" s="97"/>
      <c r="J243" s="97"/>
      <c r="K243" s="97"/>
      <c r="L243" s="97"/>
      <c r="M243" s="97"/>
      <c r="N243" s="97"/>
      <c r="O243" s="97"/>
      <c r="P243" s="97"/>
      <c r="Q243" s="100"/>
      <c r="R243" s="101"/>
      <c r="S243" s="99"/>
      <c r="T243" s="99"/>
      <c r="U243" s="97"/>
      <c r="V243" s="20" t="str">
        <f t="shared" si="89"/>
        <v/>
      </c>
      <c r="W243" s="20" t="str">
        <f t="shared" si="90"/>
        <v/>
      </c>
      <c r="X243" s="20" t="str">
        <f t="shared" si="91"/>
        <v/>
      </c>
      <c r="Y243" s="20" t="str">
        <f t="shared" si="92"/>
        <v/>
      </c>
      <c r="Z243" s="20" t="str">
        <f t="shared" si="93"/>
        <v/>
      </c>
      <c r="AA243" s="20" t="str">
        <f t="shared" si="94"/>
        <v/>
      </c>
      <c r="AB243" s="20" t="str">
        <f t="shared" si="95"/>
        <v/>
      </c>
      <c r="AC243" s="20" t="str">
        <f t="shared" si="96"/>
        <v/>
      </c>
      <c r="AD243" s="20" t="str">
        <f t="shared" si="97"/>
        <v/>
      </c>
      <c r="AE243" s="20" t="str">
        <f t="shared" si="98"/>
        <v/>
      </c>
      <c r="AF243" s="20" t="str">
        <f t="shared" si="99"/>
        <v/>
      </c>
      <c r="AG243" s="20" t="str">
        <f t="shared" si="100"/>
        <v/>
      </c>
      <c r="AH243" s="20" t="str">
        <f t="shared" si="101"/>
        <v/>
      </c>
      <c r="AI243" s="20" t="str">
        <f t="shared" si="102"/>
        <v/>
      </c>
      <c r="AJ243" s="20" t="str">
        <f t="shared" si="103"/>
        <v/>
      </c>
      <c r="AK243" s="20" t="str">
        <f t="shared" si="104"/>
        <v/>
      </c>
      <c r="AL243" s="20" t="str">
        <f t="shared" si="105"/>
        <v/>
      </c>
      <c r="AM243" s="20" t="str">
        <f t="shared" si="106"/>
        <v/>
      </c>
      <c r="AN243" s="20" t="str">
        <f t="shared" si="107"/>
        <v/>
      </c>
      <c r="AO243" s="20" t="str">
        <f t="shared" si="108"/>
        <v/>
      </c>
      <c r="AP243" s="20" t="str">
        <f t="shared" si="109"/>
        <v/>
      </c>
      <c r="AQ243" s="20" t="str">
        <f t="shared" si="110"/>
        <v/>
      </c>
      <c r="AR243" s="20" t="str">
        <f t="shared" si="111"/>
        <v/>
      </c>
      <c r="AS243" s="20" t="str">
        <f t="shared" si="112"/>
        <v/>
      </c>
      <c r="AT243" s="20" t="str">
        <f t="shared" si="113"/>
        <v/>
      </c>
      <c r="AU243" s="20" t="str">
        <f t="shared" si="114"/>
        <v/>
      </c>
      <c r="AV243" s="20" t="str">
        <f t="shared" si="115"/>
        <v/>
      </c>
      <c r="AW243" s="20" t="str">
        <f t="shared" si="116"/>
        <v/>
      </c>
    </row>
    <row r="244" spans="1:49" ht="16.5" x14ac:dyDescent="0.25">
      <c r="A244" s="97"/>
      <c r="B244" s="97"/>
      <c r="C244" s="97"/>
      <c r="D244" s="97"/>
      <c r="E244" s="97"/>
      <c r="F244" s="97"/>
      <c r="G244" s="98"/>
      <c r="H244" s="97"/>
      <c r="I244" s="97"/>
      <c r="J244" s="97"/>
      <c r="K244" s="97"/>
      <c r="L244" s="97"/>
      <c r="M244" s="97"/>
      <c r="N244" s="97"/>
      <c r="O244" s="97"/>
      <c r="P244" s="97"/>
      <c r="Q244" s="100"/>
      <c r="R244" s="101"/>
      <c r="S244" s="99"/>
      <c r="T244" s="99"/>
      <c r="U244" s="97"/>
      <c r="V244" s="20" t="str">
        <f t="shared" si="89"/>
        <v/>
      </c>
      <c r="W244" s="20" t="str">
        <f t="shared" si="90"/>
        <v/>
      </c>
      <c r="X244" s="20" t="str">
        <f t="shared" si="91"/>
        <v/>
      </c>
      <c r="Y244" s="20" t="str">
        <f t="shared" si="92"/>
        <v/>
      </c>
      <c r="Z244" s="20" t="str">
        <f t="shared" si="93"/>
        <v/>
      </c>
      <c r="AA244" s="20" t="str">
        <f t="shared" si="94"/>
        <v/>
      </c>
      <c r="AB244" s="20" t="str">
        <f t="shared" si="95"/>
        <v/>
      </c>
      <c r="AC244" s="20" t="str">
        <f t="shared" si="96"/>
        <v/>
      </c>
      <c r="AD244" s="20" t="str">
        <f t="shared" si="97"/>
        <v/>
      </c>
      <c r="AE244" s="20" t="str">
        <f t="shared" si="98"/>
        <v/>
      </c>
      <c r="AF244" s="20" t="str">
        <f t="shared" si="99"/>
        <v/>
      </c>
      <c r="AG244" s="20" t="str">
        <f t="shared" si="100"/>
        <v/>
      </c>
      <c r="AH244" s="20" t="str">
        <f t="shared" si="101"/>
        <v/>
      </c>
      <c r="AI244" s="20" t="str">
        <f t="shared" si="102"/>
        <v/>
      </c>
      <c r="AJ244" s="20" t="str">
        <f t="shared" si="103"/>
        <v/>
      </c>
      <c r="AK244" s="20" t="str">
        <f t="shared" si="104"/>
        <v/>
      </c>
      <c r="AL244" s="20" t="str">
        <f t="shared" si="105"/>
        <v/>
      </c>
      <c r="AM244" s="20" t="str">
        <f t="shared" si="106"/>
        <v/>
      </c>
      <c r="AN244" s="20" t="str">
        <f t="shared" si="107"/>
        <v/>
      </c>
      <c r="AO244" s="20" t="str">
        <f t="shared" si="108"/>
        <v/>
      </c>
      <c r="AP244" s="20" t="str">
        <f t="shared" si="109"/>
        <v/>
      </c>
      <c r="AQ244" s="20" t="str">
        <f t="shared" si="110"/>
        <v/>
      </c>
      <c r="AR244" s="20" t="str">
        <f t="shared" si="111"/>
        <v/>
      </c>
      <c r="AS244" s="20" t="str">
        <f t="shared" si="112"/>
        <v/>
      </c>
      <c r="AT244" s="20" t="str">
        <f t="shared" si="113"/>
        <v/>
      </c>
      <c r="AU244" s="20" t="str">
        <f t="shared" si="114"/>
        <v/>
      </c>
      <c r="AV244" s="20" t="str">
        <f t="shared" si="115"/>
        <v/>
      </c>
      <c r="AW244" s="20" t="str">
        <f t="shared" si="116"/>
        <v/>
      </c>
    </row>
    <row r="245" spans="1:49" ht="16.5" x14ac:dyDescent="0.25">
      <c r="A245" s="97"/>
      <c r="B245" s="97"/>
      <c r="C245" s="97"/>
      <c r="D245" s="97"/>
      <c r="E245" s="97"/>
      <c r="F245" s="97"/>
      <c r="G245" s="98"/>
      <c r="H245" s="97"/>
      <c r="I245" s="97"/>
      <c r="J245" s="97"/>
      <c r="K245" s="97"/>
      <c r="L245" s="97"/>
      <c r="M245" s="97"/>
      <c r="N245" s="97"/>
      <c r="O245" s="97"/>
      <c r="P245" s="97"/>
      <c r="Q245" s="100"/>
      <c r="R245" s="101"/>
      <c r="S245" s="99"/>
      <c r="T245" s="99"/>
      <c r="U245" s="97"/>
      <c r="V245" s="20" t="str">
        <f t="shared" si="89"/>
        <v/>
      </c>
      <c r="W245" s="20" t="str">
        <f t="shared" si="90"/>
        <v/>
      </c>
      <c r="X245" s="20" t="str">
        <f t="shared" si="91"/>
        <v/>
      </c>
      <c r="Y245" s="20" t="str">
        <f t="shared" si="92"/>
        <v/>
      </c>
      <c r="Z245" s="20" t="str">
        <f t="shared" si="93"/>
        <v/>
      </c>
      <c r="AA245" s="20" t="str">
        <f t="shared" si="94"/>
        <v/>
      </c>
      <c r="AB245" s="20" t="str">
        <f t="shared" si="95"/>
        <v/>
      </c>
      <c r="AC245" s="20" t="str">
        <f t="shared" si="96"/>
        <v/>
      </c>
      <c r="AD245" s="20" t="str">
        <f t="shared" si="97"/>
        <v/>
      </c>
      <c r="AE245" s="20" t="str">
        <f t="shared" si="98"/>
        <v/>
      </c>
      <c r="AF245" s="20" t="str">
        <f t="shared" si="99"/>
        <v/>
      </c>
      <c r="AG245" s="20" t="str">
        <f t="shared" si="100"/>
        <v/>
      </c>
      <c r="AH245" s="20" t="str">
        <f t="shared" si="101"/>
        <v/>
      </c>
      <c r="AI245" s="20" t="str">
        <f t="shared" si="102"/>
        <v/>
      </c>
      <c r="AJ245" s="20" t="str">
        <f t="shared" si="103"/>
        <v/>
      </c>
      <c r="AK245" s="20" t="str">
        <f t="shared" si="104"/>
        <v/>
      </c>
      <c r="AL245" s="20" t="str">
        <f t="shared" si="105"/>
        <v/>
      </c>
      <c r="AM245" s="20" t="str">
        <f t="shared" si="106"/>
        <v/>
      </c>
      <c r="AN245" s="20" t="str">
        <f t="shared" si="107"/>
        <v/>
      </c>
      <c r="AO245" s="20" t="str">
        <f t="shared" si="108"/>
        <v/>
      </c>
      <c r="AP245" s="20" t="str">
        <f t="shared" si="109"/>
        <v/>
      </c>
      <c r="AQ245" s="20" t="str">
        <f t="shared" si="110"/>
        <v/>
      </c>
      <c r="AR245" s="20" t="str">
        <f t="shared" si="111"/>
        <v/>
      </c>
      <c r="AS245" s="20" t="str">
        <f t="shared" si="112"/>
        <v/>
      </c>
      <c r="AT245" s="20" t="str">
        <f t="shared" si="113"/>
        <v/>
      </c>
      <c r="AU245" s="20" t="str">
        <f t="shared" si="114"/>
        <v/>
      </c>
      <c r="AV245" s="20" t="str">
        <f t="shared" si="115"/>
        <v/>
      </c>
      <c r="AW245" s="20" t="str">
        <f t="shared" si="116"/>
        <v/>
      </c>
    </row>
    <row r="246" spans="1:49" ht="16.5" x14ac:dyDescent="0.25">
      <c r="A246" s="97"/>
      <c r="B246" s="97"/>
      <c r="C246" s="97"/>
      <c r="D246" s="97"/>
      <c r="E246" s="97"/>
      <c r="F246" s="97"/>
      <c r="G246" s="98"/>
      <c r="H246" s="97"/>
      <c r="I246" s="97"/>
      <c r="J246" s="97"/>
      <c r="K246" s="97"/>
      <c r="L246" s="97"/>
      <c r="M246" s="97"/>
      <c r="N246" s="97"/>
      <c r="O246" s="97"/>
      <c r="P246" s="97"/>
      <c r="Q246" s="100"/>
      <c r="R246" s="101"/>
      <c r="S246" s="99"/>
      <c r="T246" s="99"/>
      <c r="U246" s="97"/>
      <c r="V246" s="20" t="str">
        <f t="shared" si="89"/>
        <v/>
      </c>
      <c r="W246" s="20" t="str">
        <f t="shared" si="90"/>
        <v/>
      </c>
      <c r="X246" s="20" t="str">
        <f t="shared" si="91"/>
        <v/>
      </c>
      <c r="Y246" s="20" t="str">
        <f t="shared" si="92"/>
        <v/>
      </c>
      <c r="Z246" s="20" t="str">
        <f t="shared" si="93"/>
        <v/>
      </c>
      <c r="AA246" s="20" t="str">
        <f t="shared" si="94"/>
        <v/>
      </c>
      <c r="AB246" s="20" t="str">
        <f t="shared" si="95"/>
        <v/>
      </c>
      <c r="AC246" s="20" t="str">
        <f t="shared" si="96"/>
        <v/>
      </c>
      <c r="AD246" s="20" t="str">
        <f t="shared" si="97"/>
        <v/>
      </c>
      <c r="AE246" s="20" t="str">
        <f t="shared" si="98"/>
        <v/>
      </c>
      <c r="AF246" s="20" t="str">
        <f t="shared" si="99"/>
        <v/>
      </c>
      <c r="AG246" s="20" t="str">
        <f t="shared" si="100"/>
        <v/>
      </c>
      <c r="AH246" s="20" t="str">
        <f t="shared" si="101"/>
        <v/>
      </c>
      <c r="AI246" s="20" t="str">
        <f t="shared" si="102"/>
        <v/>
      </c>
      <c r="AJ246" s="20" t="str">
        <f t="shared" si="103"/>
        <v/>
      </c>
      <c r="AK246" s="20" t="str">
        <f t="shared" si="104"/>
        <v/>
      </c>
      <c r="AL246" s="20" t="str">
        <f t="shared" si="105"/>
        <v/>
      </c>
      <c r="AM246" s="20" t="str">
        <f t="shared" si="106"/>
        <v/>
      </c>
      <c r="AN246" s="20" t="str">
        <f t="shared" si="107"/>
        <v/>
      </c>
      <c r="AO246" s="20" t="str">
        <f t="shared" si="108"/>
        <v/>
      </c>
      <c r="AP246" s="20" t="str">
        <f t="shared" si="109"/>
        <v/>
      </c>
      <c r="AQ246" s="20" t="str">
        <f t="shared" si="110"/>
        <v/>
      </c>
      <c r="AR246" s="20" t="str">
        <f t="shared" si="111"/>
        <v/>
      </c>
      <c r="AS246" s="20" t="str">
        <f t="shared" si="112"/>
        <v/>
      </c>
      <c r="AT246" s="20" t="str">
        <f t="shared" si="113"/>
        <v/>
      </c>
      <c r="AU246" s="20" t="str">
        <f t="shared" si="114"/>
        <v/>
      </c>
      <c r="AV246" s="20" t="str">
        <f t="shared" si="115"/>
        <v/>
      </c>
      <c r="AW246" s="20" t="str">
        <f t="shared" si="116"/>
        <v/>
      </c>
    </row>
    <row r="247" spans="1:49" ht="16.5" x14ac:dyDescent="0.25">
      <c r="A247" s="97"/>
      <c r="B247" s="97"/>
      <c r="C247" s="97"/>
      <c r="D247" s="97"/>
      <c r="E247" s="97"/>
      <c r="F247" s="97"/>
      <c r="G247" s="98"/>
      <c r="H247" s="97"/>
      <c r="I247" s="97"/>
      <c r="J247" s="97"/>
      <c r="K247" s="97"/>
      <c r="L247" s="97"/>
      <c r="M247" s="97"/>
      <c r="N247" s="97"/>
      <c r="O247" s="97"/>
      <c r="P247" s="97"/>
      <c r="Q247" s="100"/>
      <c r="R247" s="101"/>
      <c r="S247" s="99"/>
      <c r="T247" s="99"/>
      <c r="U247" s="97"/>
      <c r="V247" s="20" t="str">
        <f t="shared" si="89"/>
        <v/>
      </c>
      <c r="W247" s="20" t="str">
        <f t="shared" si="90"/>
        <v/>
      </c>
      <c r="X247" s="20" t="str">
        <f t="shared" si="91"/>
        <v/>
      </c>
      <c r="Y247" s="20" t="str">
        <f t="shared" si="92"/>
        <v/>
      </c>
      <c r="Z247" s="20" t="str">
        <f t="shared" si="93"/>
        <v/>
      </c>
      <c r="AA247" s="20" t="str">
        <f t="shared" si="94"/>
        <v/>
      </c>
      <c r="AB247" s="20" t="str">
        <f t="shared" si="95"/>
        <v/>
      </c>
      <c r="AC247" s="20" t="str">
        <f t="shared" si="96"/>
        <v/>
      </c>
      <c r="AD247" s="20" t="str">
        <f t="shared" si="97"/>
        <v/>
      </c>
      <c r="AE247" s="20" t="str">
        <f t="shared" si="98"/>
        <v/>
      </c>
      <c r="AF247" s="20" t="str">
        <f t="shared" si="99"/>
        <v/>
      </c>
      <c r="AG247" s="20" t="str">
        <f t="shared" si="100"/>
        <v/>
      </c>
      <c r="AH247" s="20" t="str">
        <f t="shared" si="101"/>
        <v/>
      </c>
      <c r="AI247" s="20" t="str">
        <f t="shared" si="102"/>
        <v/>
      </c>
      <c r="AJ247" s="20" t="str">
        <f t="shared" si="103"/>
        <v/>
      </c>
      <c r="AK247" s="20" t="str">
        <f t="shared" si="104"/>
        <v/>
      </c>
      <c r="AL247" s="20" t="str">
        <f t="shared" si="105"/>
        <v/>
      </c>
      <c r="AM247" s="20" t="str">
        <f t="shared" si="106"/>
        <v/>
      </c>
      <c r="AN247" s="20" t="str">
        <f t="shared" si="107"/>
        <v/>
      </c>
      <c r="AO247" s="20" t="str">
        <f t="shared" si="108"/>
        <v/>
      </c>
      <c r="AP247" s="20" t="str">
        <f t="shared" si="109"/>
        <v/>
      </c>
      <c r="AQ247" s="20" t="str">
        <f t="shared" si="110"/>
        <v/>
      </c>
      <c r="AR247" s="20" t="str">
        <f t="shared" si="111"/>
        <v/>
      </c>
      <c r="AS247" s="20" t="str">
        <f t="shared" si="112"/>
        <v/>
      </c>
      <c r="AT247" s="20" t="str">
        <f t="shared" si="113"/>
        <v/>
      </c>
      <c r="AU247" s="20" t="str">
        <f t="shared" si="114"/>
        <v/>
      </c>
      <c r="AV247" s="20" t="str">
        <f t="shared" si="115"/>
        <v/>
      </c>
      <c r="AW247" s="20" t="str">
        <f t="shared" si="116"/>
        <v/>
      </c>
    </row>
    <row r="248" spans="1:49" ht="16.5" x14ac:dyDescent="0.25">
      <c r="A248" s="97"/>
      <c r="B248" s="97"/>
      <c r="C248" s="97"/>
      <c r="D248" s="97"/>
      <c r="E248" s="97"/>
      <c r="F248" s="97"/>
      <c r="G248" s="98"/>
      <c r="H248" s="97"/>
      <c r="I248" s="97"/>
      <c r="J248" s="97"/>
      <c r="K248" s="97"/>
      <c r="L248" s="97"/>
      <c r="M248" s="97"/>
      <c r="N248" s="97"/>
      <c r="O248" s="97"/>
      <c r="P248" s="97"/>
      <c r="Q248" s="100"/>
      <c r="R248" s="101"/>
      <c r="S248" s="99"/>
      <c r="T248" s="99"/>
      <c r="U248" s="97"/>
      <c r="V248" s="20" t="str">
        <f t="shared" si="89"/>
        <v/>
      </c>
      <c r="W248" s="20" t="str">
        <f t="shared" si="90"/>
        <v/>
      </c>
      <c r="X248" s="20" t="str">
        <f t="shared" si="91"/>
        <v/>
      </c>
      <c r="Y248" s="20" t="str">
        <f t="shared" si="92"/>
        <v/>
      </c>
      <c r="Z248" s="20" t="str">
        <f t="shared" si="93"/>
        <v/>
      </c>
      <c r="AA248" s="20" t="str">
        <f t="shared" si="94"/>
        <v/>
      </c>
      <c r="AB248" s="20" t="str">
        <f t="shared" si="95"/>
        <v/>
      </c>
      <c r="AC248" s="20" t="str">
        <f t="shared" si="96"/>
        <v/>
      </c>
      <c r="AD248" s="20" t="str">
        <f t="shared" si="97"/>
        <v/>
      </c>
      <c r="AE248" s="20" t="str">
        <f t="shared" si="98"/>
        <v/>
      </c>
      <c r="AF248" s="20" t="str">
        <f t="shared" si="99"/>
        <v/>
      </c>
      <c r="AG248" s="20" t="str">
        <f t="shared" si="100"/>
        <v/>
      </c>
      <c r="AH248" s="20" t="str">
        <f t="shared" si="101"/>
        <v/>
      </c>
      <c r="AI248" s="20" t="str">
        <f t="shared" si="102"/>
        <v/>
      </c>
      <c r="AJ248" s="20" t="str">
        <f t="shared" si="103"/>
        <v/>
      </c>
      <c r="AK248" s="20" t="str">
        <f t="shared" si="104"/>
        <v/>
      </c>
      <c r="AL248" s="20" t="str">
        <f t="shared" si="105"/>
        <v/>
      </c>
      <c r="AM248" s="20" t="str">
        <f t="shared" si="106"/>
        <v/>
      </c>
      <c r="AN248" s="20" t="str">
        <f t="shared" si="107"/>
        <v/>
      </c>
      <c r="AO248" s="20" t="str">
        <f t="shared" si="108"/>
        <v/>
      </c>
      <c r="AP248" s="20" t="str">
        <f t="shared" si="109"/>
        <v/>
      </c>
      <c r="AQ248" s="20" t="str">
        <f t="shared" si="110"/>
        <v/>
      </c>
      <c r="AR248" s="20" t="str">
        <f t="shared" si="111"/>
        <v/>
      </c>
      <c r="AS248" s="20" t="str">
        <f t="shared" si="112"/>
        <v/>
      </c>
      <c r="AT248" s="20" t="str">
        <f t="shared" si="113"/>
        <v/>
      </c>
      <c r="AU248" s="20" t="str">
        <f t="shared" si="114"/>
        <v/>
      </c>
      <c r="AV248" s="20" t="str">
        <f t="shared" si="115"/>
        <v/>
      </c>
      <c r="AW248" s="20" t="str">
        <f t="shared" si="116"/>
        <v/>
      </c>
    </row>
    <row r="249" spans="1:49" ht="16.5" x14ac:dyDescent="0.25">
      <c r="A249" s="97"/>
      <c r="B249" s="97"/>
      <c r="C249" s="97"/>
      <c r="D249" s="97"/>
      <c r="E249" s="97"/>
      <c r="F249" s="97"/>
      <c r="G249" s="98"/>
      <c r="H249" s="97"/>
      <c r="I249" s="97"/>
      <c r="J249" s="97"/>
      <c r="K249" s="97"/>
      <c r="L249" s="97"/>
      <c r="M249" s="97"/>
      <c r="N249" s="97"/>
      <c r="O249" s="97"/>
      <c r="P249" s="97"/>
      <c r="Q249" s="100"/>
      <c r="R249" s="101"/>
      <c r="S249" s="99"/>
      <c r="T249" s="99"/>
      <c r="U249" s="97"/>
      <c r="V249" s="20" t="str">
        <f t="shared" si="89"/>
        <v/>
      </c>
      <c r="W249" s="20" t="str">
        <f t="shared" si="90"/>
        <v/>
      </c>
      <c r="X249" s="20" t="str">
        <f t="shared" si="91"/>
        <v/>
      </c>
      <c r="Y249" s="20" t="str">
        <f t="shared" si="92"/>
        <v/>
      </c>
      <c r="Z249" s="20" t="str">
        <f t="shared" si="93"/>
        <v/>
      </c>
      <c r="AA249" s="20" t="str">
        <f t="shared" si="94"/>
        <v/>
      </c>
      <c r="AB249" s="20" t="str">
        <f t="shared" si="95"/>
        <v/>
      </c>
      <c r="AC249" s="20" t="str">
        <f t="shared" si="96"/>
        <v/>
      </c>
      <c r="AD249" s="20" t="str">
        <f t="shared" si="97"/>
        <v/>
      </c>
      <c r="AE249" s="20" t="str">
        <f t="shared" si="98"/>
        <v/>
      </c>
      <c r="AF249" s="20" t="str">
        <f t="shared" si="99"/>
        <v/>
      </c>
      <c r="AG249" s="20" t="str">
        <f t="shared" si="100"/>
        <v/>
      </c>
      <c r="AH249" s="20" t="str">
        <f t="shared" si="101"/>
        <v/>
      </c>
      <c r="AI249" s="20" t="str">
        <f t="shared" si="102"/>
        <v/>
      </c>
      <c r="AJ249" s="20" t="str">
        <f t="shared" si="103"/>
        <v/>
      </c>
      <c r="AK249" s="20" t="str">
        <f t="shared" si="104"/>
        <v/>
      </c>
      <c r="AL249" s="20" t="str">
        <f t="shared" si="105"/>
        <v/>
      </c>
      <c r="AM249" s="20" t="str">
        <f t="shared" si="106"/>
        <v/>
      </c>
      <c r="AN249" s="20" t="str">
        <f t="shared" si="107"/>
        <v/>
      </c>
      <c r="AO249" s="20" t="str">
        <f t="shared" si="108"/>
        <v/>
      </c>
      <c r="AP249" s="20" t="str">
        <f t="shared" si="109"/>
        <v/>
      </c>
      <c r="AQ249" s="20" t="str">
        <f t="shared" si="110"/>
        <v/>
      </c>
      <c r="AR249" s="20" t="str">
        <f t="shared" si="111"/>
        <v/>
      </c>
      <c r="AS249" s="20" t="str">
        <f t="shared" si="112"/>
        <v/>
      </c>
      <c r="AT249" s="20" t="str">
        <f t="shared" si="113"/>
        <v/>
      </c>
      <c r="AU249" s="20" t="str">
        <f t="shared" si="114"/>
        <v/>
      </c>
      <c r="AV249" s="20" t="str">
        <f t="shared" si="115"/>
        <v/>
      </c>
      <c r="AW249" s="20" t="str">
        <f t="shared" si="116"/>
        <v/>
      </c>
    </row>
    <row r="250" spans="1:49" ht="16.5" x14ac:dyDescent="0.25">
      <c r="A250" s="97"/>
      <c r="B250" s="97"/>
      <c r="C250" s="97"/>
      <c r="D250" s="97"/>
      <c r="E250" s="97"/>
      <c r="F250" s="97"/>
      <c r="G250" s="98"/>
      <c r="H250" s="97"/>
      <c r="I250" s="97"/>
      <c r="J250" s="97"/>
      <c r="K250" s="97"/>
      <c r="L250" s="97"/>
      <c r="M250" s="97"/>
      <c r="N250" s="97"/>
      <c r="O250" s="97"/>
      <c r="P250" s="97"/>
      <c r="Q250" s="100"/>
      <c r="R250" s="101"/>
      <c r="S250" s="99"/>
      <c r="T250" s="99"/>
      <c r="U250" s="97"/>
      <c r="V250" s="20" t="str">
        <f t="shared" si="89"/>
        <v/>
      </c>
      <c r="W250" s="20" t="str">
        <f t="shared" si="90"/>
        <v/>
      </c>
      <c r="X250" s="20" t="str">
        <f t="shared" si="91"/>
        <v/>
      </c>
      <c r="Y250" s="20" t="str">
        <f t="shared" si="92"/>
        <v/>
      </c>
      <c r="Z250" s="20" t="str">
        <f t="shared" si="93"/>
        <v/>
      </c>
      <c r="AA250" s="20" t="str">
        <f t="shared" si="94"/>
        <v/>
      </c>
      <c r="AB250" s="20" t="str">
        <f t="shared" si="95"/>
        <v/>
      </c>
      <c r="AC250" s="20" t="str">
        <f t="shared" si="96"/>
        <v/>
      </c>
      <c r="AD250" s="20" t="str">
        <f t="shared" si="97"/>
        <v/>
      </c>
      <c r="AE250" s="20" t="str">
        <f t="shared" si="98"/>
        <v/>
      </c>
      <c r="AF250" s="20" t="str">
        <f t="shared" si="99"/>
        <v/>
      </c>
      <c r="AG250" s="20" t="str">
        <f t="shared" si="100"/>
        <v/>
      </c>
      <c r="AH250" s="20" t="str">
        <f t="shared" si="101"/>
        <v/>
      </c>
      <c r="AI250" s="20" t="str">
        <f t="shared" si="102"/>
        <v/>
      </c>
      <c r="AJ250" s="20" t="str">
        <f t="shared" si="103"/>
        <v/>
      </c>
      <c r="AK250" s="20" t="str">
        <f t="shared" si="104"/>
        <v/>
      </c>
      <c r="AL250" s="20" t="str">
        <f t="shared" si="105"/>
        <v/>
      </c>
      <c r="AM250" s="20" t="str">
        <f t="shared" si="106"/>
        <v/>
      </c>
      <c r="AN250" s="20" t="str">
        <f t="shared" si="107"/>
        <v/>
      </c>
      <c r="AO250" s="20" t="str">
        <f t="shared" si="108"/>
        <v/>
      </c>
      <c r="AP250" s="20" t="str">
        <f t="shared" si="109"/>
        <v/>
      </c>
      <c r="AQ250" s="20" t="str">
        <f t="shared" si="110"/>
        <v/>
      </c>
      <c r="AR250" s="20" t="str">
        <f t="shared" si="111"/>
        <v/>
      </c>
      <c r="AS250" s="20" t="str">
        <f t="shared" si="112"/>
        <v/>
      </c>
      <c r="AT250" s="20" t="str">
        <f t="shared" si="113"/>
        <v/>
      </c>
      <c r="AU250" s="20" t="str">
        <f t="shared" si="114"/>
        <v/>
      </c>
      <c r="AV250" s="20" t="str">
        <f t="shared" si="115"/>
        <v/>
      </c>
      <c r="AW250" s="20" t="str">
        <f t="shared" si="116"/>
        <v/>
      </c>
    </row>
    <row r="251" spans="1:49" ht="16.5" x14ac:dyDescent="0.25">
      <c r="A251" s="97"/>
      <c r="B251" s="97"/>
      <c r="C251" s="97"/>
      <c r="D251" s="97"/>
      <c r="E251" s="97"/>
      <c r="F251" s="97"/>
      <c r="G251" s="98"/>
      <c r="H251" s="97"/>
      <c r="I251" s="97"/>
      <c r="J251" s="97"/>
      <c r="K251" s="97"/>
      <c r="L251" s="97"/>
      <c r="M251" s="97"/>
      <c r="N251" s="97"/>
      <c r="O251" s="97"/>
      <c r="P251" s="97"/>
      <c r="Q251" s="100"/>
      <c r="R251" s="101"/>
      <c r="S251" s="99"/>
      <c r="T251" s="99"/>
      <c r="U251" s="97"/>
      <c r="V251" s="20" t="str">
        <f t="shared" si="89"/>
        <v/>
      </c>
      <c r="W251" s="20" t="str">
        <f t="shared" si="90"/>
        <v/>
      </c>
      <c r="X251" s="20" t="str">
        <f t="shared" si="91"/>
        <v/>
      </c>
      <c r="Y251" s="20" t="str">
        <f t="shared" si="92"/>
        <v/>
      </c>
      <c r="Z251" s="20" t="str">
        <f t="shared" si="93"/>
        <v/>
      </c>
      <c r="AA251" s="20" t="str">
        <f t="shared" si="94"/>
        <v/>
      </c>
      <c r="AB251" s="20" t="str">
        <f t="shared" si="95"/>
        <v/>
      </c>
      <c r="AC251" s="20" t="str">
        <f t="shared" si="96"/>
        <v/>
      </c>
      <c r="AD251" s="20" t="str">
        <f t="shared" si="97"/>
        <v/>
      </c>
      <c r="AE251" s="20" t="str">
        <f t="shared" si="98"/>
        <v/>
      </c>
      <c r="AF251" s="20" t="str">
        <f t="shared" si="99"/>
        <v/>
      </c>
      <c r="AG251" s="20" t="str">
        <f t="shared" si="100"/>
        <v/>
      </c>
      <c r="AH251" s="20" t="str">
        <f t="shared" si="101"/>
        <v/>
      </c>
      <c r="AI251" s="20" t="str">
        <f t="shared" si="102"/>
        <v/>
      </c>
      <c r="AJ251" s="20" t="str">
        <f t="shared" si="103"/>
        <v/>
      </c>
      <c r="AK251" s="20" t="str">
        <f t="shared" si="104"/>
        <v/>
      </c>
      <c r="AL251" s="20" t="str">
        <f t="shared" si="105"/>
        <v/>
      </c>
      <c r="AM251" s="20" t="str">
        <f t="shared" si="106"/>
        <v/>
      </c>
      <c r="AN251" s="20" t="str">
        <f t="shared" si="107"/>
        <v/>
      </c>
      <c r="AO251" s="20" t="str">
        <f t="shared" si="108"/>
        <v/>
      </c>
      <c r="AP251" s="20" t="str">
        <f t="shared" si="109"/>
        <v/>
      </c>
      <c r="AQ251" s="20" t="str">
        <f t="shared" si="110"/>
        <v/>
      </c>
      <c r="AR251" s="20" t="str">
        <f t="shared" si="111"/>
        <v/>
      </c>
      <c r="AS251" s="20" t="str">
        <f t="shared" si="112"/>
        <v/>
      </c>
      <c r="AT251" s="20" t="str">
        <f t="shared" si="113"/>
        <v/>
      </c>
      <c r="AU251" s="20" t="str">
        <f t="shared" si="114"/>
        <v/>
      </c>
      <c r="AV251" s="20" t="str">
        <f t="shared" si="115"/>
        <v/>
      </c>
      <c r="AW251" s="20" t="str">
        <f t="shared" si="116"/>
        <v/>
      </c>
    </row>
    <row r="252" spans="1:49" x14ac:dyDescent="0.25">
      <c r="B252" s="37"/>
      <c r="C252" s="37"/>
      <c r="D252" s="37"/>
      <c r="E252" s="109"/>
      <c r="F252" s="109"/>
      <c r="G252" s="19"/>
      <c r="I252" s="24"/>
      <c r="J252" s="19"/>
      <c r="K252" s="19"/>
      <c r="L252" s="19"/>
      <c r="N252" s="24"/>
      <c r="O252" s="24"/>
      <c r="P252" s="24"/>
      <c r="Q252" s="24"/>
      <c r="R252" s="19"/>
      <c r="S252" s="18" t="str">
        <f>J252&amp;H252&amp;I252&amp;L252&amp;K252</f>
        <v/>
      </c>
      <c r="U252" s="20" t="str">
        <f t="shared" ref="U252:U256" si="117">IF(ISNA(VLOOKUP(J252&amp;H252&amp;I252&amp;L252&amp;K252,$BI:$CO,27,FALSE)),"",VLOOKUP(J252&amp;H252&amp;I252&amp;L252&amp;K252,$BI:$CO,27,FALSE))</f>
        <v/>
      </c>
      <c r="V252" s="20" t="str">
        <f t="shared" ref="V252:V256" si="118">IF(ISNA(VLOOKUP(J252&amp;H252&amp;I252&amp;L252&amp;K252,$BI:$CO,3,FALSE)),"",VLOOKUP(J252&amp;H252&amp;I252&amp;L252&amp;K252,$BI:$CO,3,FALSE))</f>
        <v/>
      </c>
      <c r="W252" s="20" t="str">
        <f>IF(ISNA(VLOOKUP(J252&amp;H252&amp;I252&amp;L252&amp;K252,$BI:$CO,3,FALSE)),"",VLOOKUP(J252&amp;H252&amp;I252&amp;L252&amp;K252,$BI:$CO,3,FALSE))</f>
        <v/>
      </c>
      <c r="X252" s="20" t="str">
        <f t="shared" ref="X252:X256" si="119">IF(ISNA(VLOOKUP(J252&amp;H252&amp;I252&amp;L252&amp;K252,$BI:$CO,6,FALSE)),"",VLOOKUP(J252&amp;H252&amp;I252&amp;L252&amp;K252,$BI:$CO,6,FALSE))</f>
        <v/>
      </c>
      <c r="Y252" s="20" t="str">
        <f t="shared" ref="Y252:Y256" si="120">IF(ISNA(VLOOKUP(J252&amp;H252&amp;I252&amp;L252&amp;K252,$BI:$CO,10,FALSE)),"",VLOOKUP(J252&amp;H252&amp;I252&amp;L252&amp;K252,$BI:$CO,10,FALSE))</f>
        <v/>
      </c>
      <c r="Z252" s="20" t="str">
        <f t="shared" ref="Z252:Z256" si="121">IF(ISNA(VLOOKUP(J252&amp;H252&amp;I252&amp;L252&amp;K252,$BI:$CO,12,FALSE)),"",VLOOKUP(J252&amp;H252&amp;I252&amp;L252&amp;K252,$BI:$CO,12,FALSE))</f>
        <v/>
      </c>
      <c r="AA252" s="20" t="str">
        <f>IF(ISNA(VLOOKUP($I252&amp;$K252,$BI:$CO,7,FALSE)),"",VLOOKUP($I252&amp;$K252,$BI:$CO,7,FALSE))</f>
        <v/>
      </c>
      <c r="AB252" s="20" t="str">
        <f>IF(ISNA(VLOOKUP($I252&amp;$K252,$BI:$CO,8,FALSE)),"",VLOOKUP($I252&amp;$K252,$BI:$CO,8,FALSE))</f>
        <v/>
      </c>
      <c r="AC252" s="20" t="str">
        <f>IF(ISNA(VLOOKUP($I252&amp;$K252,$BI:$CO,9,FALSE)),"",VLOOKUP($I252&amp;$K252,$BI:$CO,9,FALSE))</f>
        <v/>
      </c>
      <c r="AD252" s="20" t="str">
        <f>IF(ISNA(VLOOKUP($I252&amp;$K252,$BI:$CO,13,FALSE)),"",VLOOKUP($I252&amp;$K252,$BI:$CO,13,FALSE))</f>
        <v/>
      </c>
      <c r="AE252" s="20" t="str">
        <f>IF(ISNA(VLOOKUP($I252&amp;$K252,$BI:$CO,11,FALSE)),"",VLOOKUP($I252&amp;$K252,$BI:$CO,11,FALSE))</f>
        <v/>
      </c>
      <c r="AF252" s="20" t="str">
        <f>IF(ISNA(VLOOKUP($I252&amp;$K252,$BI:$CO,14,FALSE)),"",VLOOKUP($I252&amp;$K252,$BI:$CO,14,FALSE))</f>
        <v/>
      </c>
      <c r="AG252" s="20" t="str">
        <f>IF(ISNA(VLOOKUP($I252&amp;$K252,$BI:$CO,16,FALSE)),"",VLOOKUP($I252&amp;$K252,$BI:$CO,16,FALSE))</f>
        <v/>
      </c>
      <c r="AH252" s="20" t="str">
        <f>IF(ISNA(VLOOKUP($I252&amp;$K252,$BI:$CO,17,FALSE)),"",VLOOKUP($I252&amp;$K252,$BI:$CO,17,FALSE))</f>
        <v/>
      </c>
      <c r="AI252" s="20"/>
      <c r="AJ252" s="20" t="e">
        <f>IF(ISNA(VLOOKUP($I252&amp;#REF!,$BI:$CO,18,FALSE)),"",VLOOKUP($I252&amp;#REF!,$BI:$CO,18,FALSE))</f>
        <v>#REF!</v>
      </c>
      <c r="AK252" s="20" t="e">
        <f>IF(ISNA(VLOOKUP($I252&amp;#REF!,$BI:$CO,19,FALSE)),"",VLOOKUP($I252&amp;#REF!,$BI:$CO,19,FALSE))</f>
        <v>#REF!</v>
      </c>
      <c r="AL252" s="20" t="str">
        <f>IF(ISNA(VLOOKUP($I252&amp;$K252,$BI:$CO,22,FALSE)),"",VLOOKUP($I252&amp;$K252,$BI:$CO,22,FALSE))</f>
        <v/>
      </c>
      <c r="AM252" s="20" t="str">
        <f>IF(ISNA(VLOOKUP($I252&amp;$K252,$BI:$CO,23,FALSE)),"",VLOOKUP($I252&amp;$K252,$BI:$CO,23,FALSE))</f>
        <v/>
      </c>
      <c r="AN252" s="20" t="str">
        <f>IF(ISNA(VLOOKUP($I252&amp;$K252,$BI:$CO,24,FALSE)),"",VLOOKUP($I252&amp;$K252,$BI:$CO,24,FALSE))</f>
        <v/>
      </c>
      <c r="AO252" s="20" t="str">
        <f>IF(ISNA(VLOOKUP($I252&amp;$K252,$BI:$CO,25,FALSE)),"",VLOOKUP($I252&amp;$K252,$BI:$CO,25,FALSE))</f>
        <v/>
      </c>
      <c r="AP252" s="20"/>
      <c r="AQ252" s="20"/>
      <c r="AR252" s="20"/>
      <c r="AS252" s="20"/>
      <c r="AT252" s="20"/>
      <c r="AU252" s="20"/>
      <c r="AV252" s="20" t="str">
        <f t="shared" ref="AV252:AV256" si="122">IF(ISNA(VLOOKUP(J252&amp;H252&amp;I252&amp;L252&amp;K252,$BI:$CO,33,FALSE)),"",VLOOKUP(J252&amp;H252&amp;I252&amp;L252&amp;K252,$BI:$CO,33,FALSE))</f>
        <v/>
      </c>
      <c r="AW252" s="20" t="str">
        <f t="shared" ref="AW252:AW256" si="123">TRIM(N252)</f>
        <v/>
      </c>
    </row>
    <row r="253" spans="1:49" x14ac:dyDescent="0.25">
      <c r="B253" s="37"/>
      <c r="C253" s="37"/>
      <c r="D253" s="37"/>
      <c r="E253" s="109"/>
      <c r="F253" s="109"/>
      <c r="G253" s="19"/>
      <c r="I253" s="24"/>
      <c r="J253" s="19"/>
      <c r="K253" s="19"/>
      <c r="L253" s="19"/>
      <c r="N253" s="24"/>
      <c r="O253" s="24"/>
      <c r="P253" s="24"/>
      <c r="Q253" s="24"/>
      <c r="R253" s="19"/>
      <c r="S253" s="18" t="str">
        <f>J253&amp;H253&amp;I253&amp;L253&amp;K253</f>
        <v/>
      </c>
      <c r="U253" s="20" t="str">
        <f t="shared" si="117"/>
        <v/>
      </c>
      <c r="V253" s="20" t="str">
        <f t="shared" si="118"/>
        <v/>
      </c>
      <c r="W253" s="20" t="str">
        <f>IF(ISNA(VLOOKUP(J253&amp;H253&amp;I253&amp;L253&amp;K253,$BI:$CO,3,FALSE)),"",VLOOKUP(J253&amp;H253&amp;I253&amp;L253&amp;K253,$BI:$CO,3,FALSE))</f>
        <v/>
      </c>
      <c r="X253" s="20" t="str">
        <f t="shared" si="119"/>
        <v/>
      </c>
      <c r="Y253" s="20" t="str">
        <f t="shared" si="120"/>
        <v/>
      </c>
      <c r="Z253" s="20" t="str">
        <f t="shared" si="121"/>
        <v/>
      </c>
      <c r="AA253" s="20" t="str">
        <f>IF(ISNA(VLOOKUP($I253&amp;$K253,$BI:$CO,7,FALSE)),"",VLOOKUP($I253&amp;$K253,$BI:$CO,7,FALSE))</f>
        <v/>
      </c>
      <c r="AB253" s="20" t="str">
        <f>IF(ISNA(VLOOKUP($I253&amp;$K253,$BI:$CO,8,FALSE)),"",VLOOKUP($I253&amp;$K253,$BI:$CO,8,FALSE))</f>
        <v/>
      </c>
      <c r="AC253" s="20" t="str">
        <f>IF(ISNA(VLOOKUP($I253&amp;$K253,$BI:$CO,9,FALSE)),"",VLOOKUP($I253&amp;$K253,$BI:$CO,9,FALSE))</f>
        <v/>
      </c>
      <c r="AD253" s="20" t="str">
        <f>IF(ISNA(VLOOKUP($I253&amp;$K253,$BI:$CO,13,FALSE)),"",VLOOKUP($I253&amp;$K253,$BI:$CO,13,FALSE))</f>
        <v/>
      </c>
      <c r="AE253" s="20" t="str">
        <f>IF(ISNA(VLOOKUP($I253&amp;$K253,$BI:$CO,11,FALSE)),"",VLOOKUP($I253&amp;$K253,$BI:$CO,11,FALSE))</f>
        <v/>
      </c>
      <c r="AF253" s="20" t="str">
        <f>IF(ISNA(VLOOKUP($I253&amp;$K253,$BI:$CO,14,FALSE)),"",VLOOKUP($I253&amp;$K253,$BI:$CO,14,FALSE))</f>
        <v/>
      </c>
      <c r="AG253" s="20" t="str">
        <f>IF(ISNA(VLOOKUP($I253&amp;$K253,$BI:$CO,16,FALSE)),"",VLOOKUP($I253&amp;$K253,$BI:$CO,16,FALSE))</f>
        <v/>
      </c>
      <c r="AH253" s="20" t="str">
        <f>IF(ISNA(VLOOKUP($I253&amp;$K253,$BI:$CO,17,FALSE)),"",VLOOKUP($I253&amp;$K253,$BI:$CO,17,FALSE))</f>
        <v/>
      </c>
      <c r="AI253" s="20"/>
      <c r="AJ253" s="20" t="e">
        <f>IF(ISNA(VLOOKUP($I253&amp;#REF!,$BI:$CO,18,FALSE)),"",VLOOKUP($I253&amp;#REF!,$BI:$CO,18,FALSE))</f>
        <v>#REF!</v>
      </c>
      <c r="AK253" s="20" t="e">
        <f>IF(ISNA(VLOOKUP($I253&amp;#REF!,$BI:$CO,19,FALSE)),"",VLOOKUP($I253&amp;#REF!,$BI:$CO,19,FALSE))</f>
        <v>#REF!</v>
      </c>
      <c r="AL253" s="20" t="str">
        <f>IF(ISNA(VLOOKUP($I253&amp;$K253,$BI:$CO,22,FALSE)),"",VLOOKUP($I253&amp;$K253,$BI:$CO,22,FALSE))</f>
        <v/>
      </c>
      <c r="AM253" s="20" t="str">
        <f>IF(ISNA(VLOOKUP($I253&amp;$K253,$BI:$CO,23,FALSE)),"",VLOOKUP($I253&amp;$K253,$BI:$CO,23,FALSE))</f>
        <v/>
      </c>
      <c r="AN253" s="20" t="str">
        <f>IF(ISNA(VLOOKUP($I253&amp;$K253,$BI:$CO,24,FALSE)),"",VLOOKUP($I253&amp;$K253,$BI:$CO,24,FALSE))</f>
        <v/>
      </c>
      <c r="AO253" s="20" t="str">
        <f>IF(ISNA(VLOOKUP($I253&amp;$K253,$BI:$CO,25,FALSE)),"",VLOOKUP($I253&amp;$K253,$BI:$CO,25,FALSE))</f>
        <v/>
      </c>
      <c r="AP253" s="20"/>
      <c r="AQ253" s="20"/>
      <c r="AR253" s="20"/>
      <c r="AS253" s="20"/>
      <c r="AT253" s="20"/>
      <c r="AU253" s="20"/>
      <c r="AV253" s="20" t="str">
        <f t="shared" si="122"/>
        <v/>
      </c>
      <c r="AW253" s="20" t="str">
        <f t="shared" si="123"/>
        <v/>
      </c>
    </row>
    <row r="254" spans="1:49" x14ac:dyDescent="0.25">
      <c r="B254" s="37"/>
      <c r="C254" s="37"/>
      <c r="D254" s="37"/>
      <c r="E254" s="109"/>
      <c r="F254" s="109"/>
      <c r="G254" s="19"/>
      <c r="I254" s="24"/>
      <c r="J254" s="19"/>
      <c r="K254" s="19"/>
      <c r="L254" s="19"/>
      <c r="N254" s="24"/>
      <c r="O254" s="24"/>
      <c r="P254" s="24"/>
      <c r="Q254" s="24"/>
      <c r="R254" s="19"/>
      <c r="S254" s="18" t="str">
        <f>J254&amp;H254&amp;I254&amp;L254&amp;K254</f>
        <v/>
      </c>
      <c r="U254" s="20" t="str">
        <f t="shared" si="117"/>
        <v/>
      </c>
      <c r="V254" s="20" t="str">
        <f t="shared" si="118"/>
        <v/>
      </c>
      <c r="W254" s="20" t="str">
        <f>IF(ISNA(VLOOKUP(J254&amp;H254&amp;I254&amp;L254&amp;K254,$BI:$CO,3,FALSE)),"",VLOOKUP(J254&amp;H254&amp;I254&amp;L254&amp;K254,$BI:$CO,3,FALSE))</f>
        <v/>
      </c>
      <c r="X254" s="20" t="str">
        <f t="shared" si="119"/>
        <v/>
      </c>
      <c r="Y254" s="20" t="str">
        <f t="shared" si="120"/>
        <v/>
      </c>
      <c r="Z254" s="20" t="str">
        <f t="shared" si="121"/>
        <v/>
      </c>
      <c r="AA254" s="20" t="str">
        <f>IF(ISNA(VLOOKUP($I254&amp;$K254,$BI:$CO,7,FALSE)),"",VLOOKUP($I254&amp;$K254,$BI:$CO,7,FALSE))</f>
        <v/>
      </c>
      <c r="AB254" s="20" t="str">
        <f>IF(ISNA(VLOOKUP($I254&amp;$K254,$BI:$CO,8,FALSE)),"",VLOOKUP($I254&amp;$K254,$BI:$CO,8,FALSE))</f>
        <v/>
      </c>
      <c r="AC254" s="20" t="str">
        <f>IF(ISNA(VLOOKUP($I254&amp;$K254,$BI:$CO,9,FALSE)),"",VLOOKUP($I254&amp;$K254,$BI:$CO,9,FALSE))</f>
        <v/>
      </c>
      <c r="AD254" s="20" t="str">
        <f>IF(ISNA(VLOOKUP($I254&amp;$K254,$BI:$CO,13,FALSE)),"",VLOOKUP($I254&amp;$K254,$BI:$CO,13,FALSE))</f>
        <v/>
      </c>
      <c r="AE254" s="20" t="str">
        <f>IF(ISNA(VLOOKUP($I254&amp;$K254,$BI:$CO,11,FALSE)),"",VLOOKUP($I254&amp;$K254,$BI:$CO,11,FALSE))</f>
        <v/>
      </c>
      <c r="AF254" s="20" t="str">
        <f>IF(ISNA(VLOOKUP($I254&amp;$K254,$BI:$CO,14,FALSE)),"",VLOOKUP($I254&amp;$K254,$BI:$CO,14,FALSE))</f>
        <v/>
      </c>
      <c r="AG254" s="20" t="str">
        <f>IF(ISNA(VLOOKUP($I254&amp;$K254,$BI:$CO,16,FALSE)),"",VLOOKUP($I254&amp;$K254,$BI:$CO,16,FALSE))</f>
        <v/>
      </c>
      <c r="AH254" s="20" t="str">
        <f>IF(ISNA(VLOOKUP($I254&amp;$K254,$BI:$CO,17,FALSE)),"",VLOOKUP($I254&amp;$K254,$BI:$CO,17,FALSE))</f>
        <v/>
      </c>
      <c r="AI254" s="20"/>
      <c r="AJ254" s="20" t="e">
        <f>IF(ISNA(VLOOKUP($I254&amp;#REF!,$BI:$CO,18,FALSE)),"",VLOOKUP($I254&amp;#REF!,$BI:$CO,18,FALSE))</f>
        <v>#REF!</v>
      </c>
      <c r="AK254" s="20" t="e">
        <f>IF(ISNA(VLOOKUP($I254&amp;#REF!,$BI:$CO,19,FALSE)),"",VLOOKUP($I254&amp;#REF!,$BI:$CO,19,FALSE))</f>
        <v>#REF!</v>
      </c>
      <c r="AL254" s="20" t="str">
        <f>IF(ISNA(VLOOKUP($I254&amp;$K254,$BI:$CO,22,FALSE)),"",VLOOKUP($I254&amp;$K254,$BI:$CO,22,FALSE))</f>
        <v/>
      </c>
      <c r="AM254" s="20" t="str">
        <f>IF(ISNA(VLOOKUP($I254&amp;$K254,$BI:$CO,23,FALSE)),"",VLOOKUP($I254&amp;$K254,$BI:$CO,23,FALSE))</f>
        <v/>
      </c>
      <c r="AN254" s="20" t="str">
        <f>IF(ISNA(VLOOKUP($I254&amp;$K254,$BI:$CO,24,FALSE)),"",VLOOKUP($I254&amp;$K254,$BI:$CO,24,FALSE))</f>
        <v/>
      </c>
      <c r="AO254" s="20" t="str">
        <f>IF(ISNA(VLOOKUP($I254&amp;$K254,$BI:$CO,25,FALSE)),"",VLOOKUP($I254&amp;$K254,$BI:$CO,25,FALSE))</f>
        <v/>
      </c>
      <c r="AP254" s="20"/>
      <c r="AQ254" s="20"/>
      <c r="AR254" s="20"/>
      <c r="AS254" s="20"/>
      <c r="AT254" s="20"/>
      <c r="AU254" s="20"/>
      <c r="AV254" s="20" t="str">
        <f t="shared" si="122"/>
        <v/>
      </c>
      <c r="AW254" s="20" t="str">
        <f t="shared" si="123"/>
        <v/>
      </c>
    </row>
    <row r="255" spans="1:49" x14ac:dyDescent="0.25">
      <c r="B255" s="37"/>
      <c r="C255" s="37"/>
      <c r="D255" s="37"/>
      <c r="E255" s="109"/>
      <c r="F255" s="109"/>
      <c r="G255" s="19"/>
      <c r="I255" s="24"/>
      <c r="J255" s="19"/>
      <c r="K255" s="19"/>
      <c r="L255" s="19"/>
      <c r="N255" s="24"/>
      <c r="O255" s="24"/>
      <c r="P255" s="24"/>
      <c r="Q255" s="24"/>
      <c r="R255" s="19"/>
      <c r="S255" s="18" t="str">
        <f>J255&amp;H255&amp;I255&amp;L255&amp;K255</f>
        <v/>
      </c>
      <c r="U255" s="20" t="str">
        <f t="shared" si="117"/>
        <v/>
      </c>
      <c r="V255" s="20" t="str">
        <f t="shared" si="118"/>
        <v/>
      </c>
      <c r="W255" s="20" t="str">
        <f>IF(ISNA(VLOOKUP(J255&amp;H255&amp;I255&amp;L255&amp;K255,$BI:$CO,3,FALSE)),"",VLOOKUP(J255&amp;H255&amp;I255&amp;L255&amp;K255,$BI:$CO,3,FALSE))</f>
        <v/>
      </c>
      <c r="X255" s="20" t="str">
        <f t="shared" si="119"/>
        <v/>
      </c>
      <c r="Y255" s="20" t="str">
        <f t="shared" si="120"/>
        <v/>
      </c>
      <c r="Z255" s="20" t="str">
        <f t="shared" si="121"/>
        <v/>
      </c>
      <c r="AA255" s="20" t="str">
        <f>IF(ISNA(VLOOKUP($I255&amp;$K255,$BI:$CO,7,FALSE)),"",VLOOKUP($I255&amp;$K255,$BI:$CO,7,FALSE))</f>
        <v/>
      </c>
      <c r="AB255" s="20" t="str">
        <f>IF(ISNA(VLOOKUP($I255&amp;$K255,$BI:$CO,8,FALSE)),"",VLOOKUP($I255&amp;$K255,$BI:$CO,8,FALSE))</f>
        <v/>
      </c>
      <c r="AC255" s="20" t="str">
        <f>IF(ISNA(VLOOKUP($I255&amp;$K255,$BI:$CO,9,FALSE)),"",VLOOKUP($I255&amp;$K255,$BI:$CO,9,FALSE))</f>
        <v/>
      </c>
      <c r="AD255" s="20" t="str">
        <f>IF(ISNA(VLOOKUP($I255&amp;$K255,$BI:$CO,13,FALSE)),"",VLOOKUP($I255&amp;$K255,$BI:$CO,13,FALSE))</f>
        <v/>
      </c>
      <c r="AE255" s="20" t="str">
        <f>IF(ISNA(VLOOKUP($I255&amp;$K255,$BI:$CO,11,FALSE)),"",VLOOKUP($I255&amp;$K255,$BI:$CO,11,FALSE))</f>
        <v/>
      </c>
      <c r="AF255" s="20" t="str">
        <f>IF(ISNA(VLOOKUP($I255&amp;$K255,$BI:$CO,14,FALSE)),"",VLOOKUP($I255&amp;$K255,$BI:$CO,14,FALSE))</f>
        <v/>
      </c>
      <c r="AG255" s="20" t="str">
        <f>IF(ISNA(VLOOKUP($I255&amp;$K255,$BI:$CO,16,FALSE)),"",VLOOKUP($I255&amp;$K255,$BI:$CO,16,FALSE))</f>
        <v/>
      </c>
      <c r="AH255" s="20" t="str">
        <f>IF(ISNA(VLOOKUP($I255&amp;$K255,$BI:$CO,17,FALSE)),"",VLOOKUP($I255&amp;$K255,$BI:$CO,17,FALSE))</f>
        <v/>
      </c>
      <c r="AI255" s="20"/>
      <c r="AJ255" s="20" t="e">
        <f>IF(ISNA(VLOOKUP($I255&amp;#REF!,$BI:$CO,18,FALSE)),"",VLOOKUP($I255&amp;#REF!,$BI:$CO,18,FALSE))</f>
        <v>#REF!</v>
      </c>
      <c r="AK255" s="20" t="e">
        <f>IF(ISNA(VLOOKUP($I255&amp;#REF!,$BI:$CO,19,FALSE)),"",VLOOKUP($I255&amp;#REF!,$BI:$CO,19,FALSE))</f>
        <v>#REF!</v>
      </c>
      <c r="AL255" s="20" t="str">
        <f>IF(ISNA(VLOOKUP($I255&amp;$K255,$BI:$CO,22,FALSE)),"",VLOOKUP($I255&amp;$K255,$BI:$CO,22,FALSE))</f>
        <v/>
      </c>
      <c r="AM255" s="20" t="str">
        <f>IF(ISNA(VLOOKUP($I255&amp;$K255,$BI:$CO,23,FALSE)),"",VLOOKUP($I255&amp;$K255,$BI:$CO,23,FALSE))</f>
        <v/>
      </c>
      <c r="AN255" s="20" t="str">
        <f>IF(ISNA(VLOOKUP($I255&amp;$K255,$BI:$CO,24,FALSE)),"",VLOOKUP($I255&amp;$K255,$BI:$CO,24,FALSE))</f>
        <v/>
      </c>
      <c r="AO255" s="20" t="str">
        <f>IF(ISNA(VLOOKUP($I255&amp;$K255,$BI:$CO,25,FALSE)),"",VLOOKUP($I255&amp;$K255,$BI:$CO,25,FALSE))</f>
        <v/>
      </c>
      <c r="AP255" s="20"/>
      <c r="AQ255" s="20"/>
      <c r="AR255" s="20"/>
      <c r="AS255" s="20"/>
      <c r="AT255" s="20"/>
      <c r="AU255" s="20"/>
      <c r="AV255" s="20" t="str">
        <f t="shared" si="122"/>
        <v/>
      </c>
      <c r="AW255" s="20" t="str">
        <f t="shared" si="123"/>
        <v/>
      </c>
    </row>
    <row r="256" spans="1:49" x14ac:dyDescent="0.25">
      <c r="B256" s="37"/>
      <c r="C256" s="37"/>
      <c r="D256" s="37"/>
      <c r="E256" s="109"/>
      <c r="F256" s="109"/>
      <c r="G256" s="19"/>
      <c r="I256" s="24"/>
      <c r="J256" s="19"/>
      <c r="K256" s="19"/>
      <c r="L256" s="19"/>
      <c r="N256" s="24"/>
      <c r="O256" s="24"/>
      <c r="P256" s="24"/>
      <c r="Q256" s="24"/>
      <c r="R256" s="19"/>
      <c r="S256" s="18" t="str">
        <f>J256&amp;H256&amp;I256&amp;L256&amp;K256</f>
        <v/>
      </c>
      <c r="U256" s="20" t="str">
        <f t="shared" si="117"/>
        <v/>
      </c>
      <c r="V256" s="20" t="str">
        <f t="shared" si="118"/>
        <v/>
      </c>
      <c r="W256" s="20" t="str">
        <f>IF(ISNA(VLOOKUP(J256&amp;H256&amp;I256&amp;L256&amp;K256,$BI:$CO,3,FALSE)),"",VLOOKUP(J256&amp;H256&amp;I256&amp;L256&amp;K256,$BI:$CO,3,FALSE))</f>
        <v/>
      </c>
      <c r="X256" s="20" t="str">
        <f t="shared" si="119"/>
        <v/>
      </c>
      <c r="Y256" s="20" t="str">
        <f t="shared" si="120"/>
        <v/>
      </c>
      <c r="Z256" s="20" t="str">
        <f t="shared" si="121"/>
        <v/>
      </c>
      <c r="AA256" s="20" t="str">
        <f>IF(ISNA(VLOOKUP($I256&amp;$K256,$BI:$CO,7,FALSE)),"",VLOOKUP($I256&amp;$K256,$BI:$CO,7,FALSE))</f>
        <v/>
      </c>
      <c r="AB256" s="20" t="str">
        <f>IF(ISNA(VLOOKUP($I256&amp;$K256,$BI:$CO,8,FALSE)),"",VLOOKUP($I256&amp;$K256,$BI:$CO,8,FALSE))</f>
        <v/>
      </c>
      <c r="AC256" s="20" t="str">
        <f>IF(ISNA(VLOOKUP($I256&amp;$K256,$BI:$CO,9,FALSE)),"",VLOOKUP($I256&amp;$K256,$BI:$CO,9,FALSE))</f>
        <v/>
      </c>
      <c r="AD256" s="20" t="str">
        <f>IF(ISNA(VLOOKUP($I256&amp;$K256,$BI:$CO,13,FALSE)),"",VLOOKUP($I256&amp;$K256,$BI:$CO,13,FALSE))</f>
        <v/>
      </c>
      <c r="AE256" s="20" t="str">
        <f>IF(ISNA(VLOOKUP($I256&amp;$K256,$BI:$CO,11,FALSE)),"",VLOOKUP($I256&amp;$K256,$BI:$CO,11,FALSE))</f>
        <v/>
      </c>
      <c r="AF256" s="20" t="str">
        <f>IF(ISNA(VLOOKUP($I256&amp;$K256,$BI:$CO,14,FALSE)),"",VLOOKUP($I256&amp;$K256,$BI:$CO,14,FALSE))</f>
        <v/>
      </c>
      <c r="AG256" s="20" t="str">
        <f>IF(ISNA(VLOOKUP($I256&amp;$K256,$BI:$CO,16,FALSE)),"",VLOOKUP($I256&amp;$K256,$BI:$CO,16,FALSE))</f>
        <v/>
      </c>
      <c r="AH256" s="20" t="str">
        <f>IF(ISNA(VLOOKUP($I256&amp;$K256,$BI:$CO,17,FALSE)),"",VLOOKUP($I256&amp;$K256,$BI:$CO,17,FALSE))</f>
        <v/>
      </c>
      <c r="AI256" s="20"/>
      <c r="AJ256" s="20" t="e">
        <f>IF(ISNA(VLOOKUP($I256&amp;#REF!,$BI:$CO,18,FALSE)),"",VLOOKUP($I256&amp;#REF!,$BI:$CO,18,FALSE))</f>
        <v>#REF!</v>
      </c>
      <c r="AK256" s="20" t="e">
        <f>IF(ISNA(VLOOKUP($I256&amp;#REF!,$BI:$CO,19,FALSE)),"",VLOOKUP($I256&amp;#REF!,$BI:$CO,19,FALSE))</f>
        <v>#REF!</v>
      </c>
      <c r="AL256" s="20" t="str">
        <f>IF(ISNA(VLOOKUP($I256&amp;$K256,$BI:$CO,22,FALSE)),"",VLOOKUP($I256&amp;$K256,$BI:$CO,22,FALSE))</f>
        <v/>
      </c>
      <c r="AM256" s="20" t="str">
        <f>IF(ISNA(VLOOKUP($I256&amp;$K256,$BI:$CO,23,FALSE)),"",VLOOKUP($I256&amp;$K256,$BI:$CO,23,FALSE))</f>
        <v/>
      </c>
      <c r="AN256" s="20" t="str">
        <f>IF(ISNA(VLOOKUP($I256&amp;$K256,$BI:$CO,24,FALSE)),"",VLOOKUP($I256&amp;$K256,$BI:$CO,24,FALSE))</f>
        <v/>
      </c>
      <c r="AO256" s="20" t="str">
        <f>IF(ISNA(VLOOKUP($I256&amp;$K256,$BI:$CO,25,FALSE)),"",VLOOKUP($I256&amp;$K256,$BI:$CO,25,FALSE))</f>
        <v/>
      </c>
      <c r="AP256" s="20"/>
      <c r="AQ256" s="20"/>
      <c r="AR256" s="20"/>
      <c r="AS256" s="20"/>
      <c r="AT256" s="20"/>
      <c r="AU256" s="20"/>
      <c r="AV256" s="20" t="str">
        <f t="shared" si="122"/>
        <v/>
      </c>
      <c r="AW256" s="20" t="str">
        <f t="shared" si="123"/>
        <v/>
      </c>
    </row>
    <row r="257" spans="7:18" x14ac:dyDescent="0.25">
      <c r="G257" s="19"/>
      <c r="J257" s="19"/>
      <c r="K257" s="19"/>
      <c r="L257" s="19"/>
      <c r="R257" s="19"/>
    </row>
    <row r="258" spans="7:18" x14ac:dyDescent="0.25">
      <c r="G258" s="19"/>
      <c r="J258" s="19"/>
      <c r="K258" s="19"/>
      <c r="L258" s="19"/>
      <c r="R258" s="19"/>
    </row>
    <row r="259" spans="7:18" x14ac:dyDescent="0.25">
      <c r="G259" s="19"/>
      <c r="J259" s="19"/>
      <c r="K259" s="19"/>
      <c r="L259" s="19"/>
      <c r="R259" s="19"/>
    </row>
    <row r="260" spans="7:18" x14ac:dyDescent="0.25">
      <c r="G260" s="19"/>
      <c r="J260" s="19"/>
      <c r="K260" s="19"/>
      <c r="L260" s="19"/>
      <c r="R260" s="19"/>
    </row>
    <row r="261" spans="7:18" x14ac:dyDescent="0.25">
      <c r="G261" s="19"/>
      <c r="J261" s="19"/>
      <c r="K261" s="19"/>
      <c r="L261" s="19"/>
      <c r="R261" s="19"/>
    </row>
    <row r="262" spans="7:18" x14ac:dyDescent="0.25">
      <c r="G262" s="19"/>
      <c r="J262" s="19"/>
      <c r="K262" s="19"/>
      <c r="L262" s="19"/>
      <c r="R262" s="19"/>
    </row>
    <row r="263" spans="7:18" x14ac:dyDescent="0.25">
      <c r="G263" s="19"/>
      <c r="J263" s="19"/>
      <c r="K263" s="19"/>
      <c r="L263" s="19"/>
      <c r="R263" s="19"/>
    </row>
    <row r="264" spans="7:18" x14ac:dyDescent="0.25">
      <c r="G264" s="19"/>
      <c r="J264" s="19"/>
      <c r="K264" s="19"/>
      <c r="L264" s="19"/>
      <c r="R264" s="19"/>
    </row>
    <row r="265" spans="7:18" x14ac:dyDescent="0.25">
      <c r="G265" s="19"/>
      <c r="J265" s="19"/>
      <c r="K265" s="19"/>
      <c r="L265" s="19"/>
      <c r="R265" s="19"/>
    </row>
    <row r="266" spans="7:18" x14ac:dyDescent="0.25">
      <c r="G266" s="19"/>
      <c r="J266" s="19"/>
      <c r="K266" s="19"/>
      <c r="L266" s="19"/>
      <c r="R266" s="19"/>
    </row>
    <row r="267" spans="7:18" x14ac:dyDescent="0.25">
      <c r="G267" s="19"/>
      <c r="J267" s="19"/>
      <c r="K267" s="19"/>
      <c r="L267" s="19"/>
      <c r="R267" s="19"/>
    </row>
    <row r="268" spans="7:18" x14ac:dyDescent="0.25">
      <c r="G268" s="19"/>
      <c r="J268" s="19"/>
      <c r="K268" s="19"/>
      <c r="L268" s="19"/>
      <c r="R268" s="19"/>
    </row>
    <row r="269" spans="7:18" x14ac:dyDescent="0.25">
      <c r="G269" s="19"/>
      <c r="J269" s="19"/>
      <c r="K269" s="19"/>
      <c r="L269" s="19"/>
      <c r="R269" s="19"/>
    </row>
    <row r="270" spans="7:18" x14ac:dyDescent="0.25">
      <c r="G270" s="19"/>
      <c r="J270" s="19"/>
      <c r="K270" s="19"/>
      <c r="L270" s="19"/>
      <c r="R270" s="19"/>
    </row>
    <row r="271" spans="7:18" x14ac:dyDescent="0.25">
      <c r="G271" s="19"/>
      <c r="J271" s="19"/>
      <c r="K271" s="19"/>
      <c r="L271" s="19"/>
      <c r="R271" s="19"/>
    </row>
    <row r="272" spans="7:18" x14ac:dyDescent="0.25">
      <c r="G272" s="19"/>
      <c r="J272" s="19"/>
      <c r="K272" s="19"/>
      <c r="L272" s="19"/>
      <c r="R272" s="19"/>
    </row>
    <row r="273" spans="7:18" x14ac:dyDescent="0.25">
      <c r="G273" s="19"/>
      <c r="J273" s="19"/>
      <c r="K273" s="19"/>
      <c r="L273" s="19"/>
      <c r="R273" s="19"/>
    </row>
    <row r="274" spans="7:18" x14ac:dyDescent="0.25">
      <c r="G274" s="19"/>
      <c r="J274" s="19"/>
      <c r="K274" s="19"/>
      <c r="L274" s="19"/>
      <c r="R274" s="19"/>
    </row>
    <row r="275" spans="7:18" x14ac:dyDescent="0.25">
      <c r="G275" s="19"/>
      <c r="J275" s="19"/>
      <c r="K275" s="19"/>
      <c r="L275" s="19"/>
      <c r="R275" s="19"/>
    </row>
    <row r="276" spans="7:18" x14ac:dyDescent="0.25">
      <c r="G276" s="19"/>
      <c r="J276" s="19"/>
      <c r="K276" s="19"/>
      <c r="L276" s="19"/>
      <c r="R276" s="19"/>
    </row>
    <row r="277" spans="7:18" x14ac:dyDescent="0.25">
      <c r="G277" s="19"/>
      <c r="J277" s="19"/>
      <c r="K277" s="19"/>
      <c r="L277" s="19"/>
      <c r="R277" s="19"/>
    </row>
    <row r="278" spans="7:18" x14ac:dyDescent="0.25">
      <c r="G278" s="19"/>
      <c r="J278" s="19"/>
      <c r="K278" s="19"/>
      <c r="L278" s="19"/>
      <c r="R278" s="19"/>
    </row>
    <row r="279" spans="7:18" x14ac:dyDescent="0.25">
      <c r="G279" s="19"/>
      <c r="J279" s="19"/>
      <c r="K279" s="19"/>
      <c r="L279" s="19"/>
      <c r="R279" s="19"/>
    </row>
    <row r="280" spans="7:18" x14ac:dyDescent="0.25">
      <c r="G280" s="19"/>
      <c r="J280" s="19"/>
      <c r="K280" s="19"/>
      <c r="L280" s="19"/>
      <c r="R280" s="19"/>
    </row>
    <row r="281" spans="7:18" x14ac:dyDescent="0.25">
      <c r="G281" s="19"/>
      <c r="J281" s="19"/>
      <c r="K281" s="19"/>
      <c r="L281" s="19"/>
      <c r="R281" s="19"/>
    </row>
    <row r="282" spans="7:18" x14ac:dyDescent="0.25">
      <c r="G282" s="19"/>
      <c r="J282" s="19"/>
      <c r="K282" s="19"/>
      <c r="L282" s="19"/>
      <c r="R282" s="19"/>
    </row>
    <row r="283" spans="7:18" x14ac:dyDescent="0.25">
      <c r="G283" s="19"/>
      <c r="J283" s="19"/>
      <c r="K283" s="19"/>
      <c r="L283" s="19"/>
      <c r="R283" s="19"/>
    </row>
    <row r="284" spans="7:18" x14ac:dyDescent="0.25">
      <c r="G284" s="19"/>
      <c r="J284" s="19"/>
      <c r="K284" s="19"/>
      <c r="L284" s="19"/>
      <c r="R284" s="19"/>
    </row>
    <row r="285" spans="7:18" x14ac:dyDescent="0.25">
      <c r="G285" s="19"/>
      <c r="J285" s="19"/>
      <c r="K285" s="19"/>
      <c r="L285" s="19"/>
      <c r="R285" s="19"/>
    </row>
    <row r="286" spans="7:18" x14ac:dyDescent="0.25">
      <c r="G286" s="19"/>
      <c r="J286" s="19"/>
      <c r="K286" s="19"/>
      <c r="L286" s="19"/>
      <c r="R286" s="19"/>
    </row>
    <row r="287" spans="7:18" x14ac:dyDescent="0.25">
      <c r="G287" s="19"/>
      <c r="J287" s="19"/>
      <c r="K287" s="19"/>
      <c r="L287" s="19"/>
      <c r="R287" s="19"/>
    </row>
    <row r="288" spans="7:18" x14ac:dyDescent="0.25">
      <c r="G288" s="19"/>
      <c r="J288" s="19"/>
      <c r="K288" s="19"/>
      <c r="L288" s="19"/>
      <c r="R288" s="19"/>
    </row>
    <row r="289" spans="7:18" x14ac:dyDescent="0.25">
      <c r="G289" s="19"/>
      <c r="J289" s="19"/>
      <c r="K289" s="19"/>
      <c r="L289" s="19"/>
      <c r="R289" s="19"/>
    </row>
    <row r="290" spans="7:18" x14ac:dyDescent="0.25">
      <c r="G290" s="19"/>
      <c r="J290" s="19"/>
      <c r="K290" s="19"/>
      <c r="L290" s="19"/>
      <c r="R290" s="19"/>
    </row>
    <row r="291" spans="7:18" x14ac:dyDescent="0.25">
      <c r="G291" s="19"/>
      <c r="J291" s="19"/>
      <c r="K291" s="19"/>
      <c r="L291" s="19"/>
      <c r="R291" s="19"/>
    </row>
    <row r="292" spans="7:18" x14ac:dyDescent="0.25">
      <c r="G292" s="19"/>
      <c r="J292" s="19"/>
      <c r="K292" s="19"/>
      <c r="L292" s="19"/>
      <c r="R292" s="19"/>
    </row>
    <row r="293" spans="7:18" x14ac:dyDescent="0.25">
      <c r="G293" s="19"/>
      <c r="J293" s="19"/>
      <c r="K293" s="19"/>
      <c r="L293" s="19"/>
      <c r="R293" s="19"/>
    </row>
    <row r="294" spans="7:18" x14ac:dyDescent="0.25">
      <c r="G294" s="19"/>
      <c r="J294" s="19"/>
      <c r="K294" s="19"/>
      <c r="L294" s="19"/>
      <c r="R294" s="19"/>
    </row>
    <row r="295" spans="7:18" x14ac:dyDescent="0.25">
      <c r="G295" s="19"/>
      <c r="J295" s="19"/>
      <c r="K295" s="19"/>
      <c r="L295" s="19"/>
      <c r="R295" s="19"/>
    </row>
    <row r="296" spans="7:18" x14ac:dyDescent="0.25">
      <c r="G296" s="19"/>
      <c r="J296" s="19"/>
      <c r="K296" s="19"/>
      <c r="L296" s="19"/>
      <c r="R296" s="19"/>
    </row>
    <row r="297" spans="7:18" x14ac:dyDescent="0.25">
      <c r="G297" s="19"/>
      <c r="J297" s="19"/>
      <c r="K297" s="19"/>
      <c r="L297" s="19"/>
      <c r="R297" s="19"/>
    </row>
    <row r="298" spans="7:18" x14ac:dyDescent="0.25">
      <c r="G298" s="19"/>
      <c r="J298" s="19"/>
      <c r="K298" s="19"/>
      <c r="L298" s="19"/>
      <c r="R298" s="19"/>
    </row>
    <row r="299" spans="7:18" x14ac:dyDescent="0.25">
      <c r="G299" s="19"/>
      <c r="J299" s="19"/>
      <c r="K299" s="19"/>
      <c r="L299" s="19"/>
      <c r="R299" s="19"/>
    </row>
    <row r="300" spans="7:18" x14ac:dyDescent="0.25">
      <c r="G300" s="19"/>
      <c r="J300" s="19"/>
      <c r="K300" s="19"/>
      <c r="L300" s="19"/>
      <c r="R300" s="19"/>
    </row>
    <row r="301" spans="7:18" x14ac:dyDescent="0.25">
      <c r="G301" s="19"/>
      <c r="J301" s="19"/>
      <c r="K301" s="19"/>
      <c r="L301" s="19"/>
      <c r="R301" s="19"/>
    </row>
    <row r="302" spans="7:18" x14ac:dyDescent="0.25">
      <c r="G302" s="19"/>
      <c r="J302" s="19"/>
      <c r="K302" s="19"/>
      <c r="L302" s="19"/>
      <c r="R302" s="19"/>
    </row>
    <row r="303" spans="7:18" x14ac:dyDescent="0.25">
      <c r="G303" s="19"/>
      <c r="J303" s="19"/>
      <c r="K303" s="19"/>
      <c r="L303" s="19"/>
      <c r="R303" s="19"/>
    </row>
    <row r="304" spans="7:18" x14ac:dyDescent="0.25">
      <c r="G304" s="19"/>
      <c r="J304" s="19"/>
      <c r="K304" s="19"/>
      <c r="L304" s="19"/>
      <c r="R304" s="19"/>
    </row>
    <row r="305" spans="7:18" x14ac:dyDescent="0.25">
      <c r="G305" s="19"/>
      <c r="J305" s="19"/>
      <c r="K305" s="19"/>
      <c r="L305" s="19"/>
      <c r="R305" s="19"/>
    </row>
    <row r="306" spans="7:18" x14ac:dyDescent="0.25">
      <c r="G306" s="19"/>
      <c r="J306" s="19"/>
      <c r="K306" s="19"/>
      <c r="L306" s="19"/>
      <c r="R306" s="19"/>
    </row>
    <row r="307" spans="7:18" x14ac:dyDescent="0.25">
      <c r="G307" s="19"/>
      <c r="J307" s="19"/>
      <c r="K307" s="19"/>
      <c r="L307" s="19"/>
      <c r="R307" s="19"/>
    </row>
    <row r="308" spans="7:18" x14ac:dyDescent="0.25">
      <c r="G308" s="19"/>
      <c r="J308" s="19"/>
      <c r="K308" s="19"/>
      <c r="L308" s="19"/>
      <c r="R308" s="19"/>
    </row>
    <row r="309" spans="7:18" x14ac:dyDescent="0.25">
      <c r="G309" s="19"/>
      <c r="J309" s="19"/>
      <c r="K309" s="19"/>
      <c r="L309" s="19"/>
      <c r="R309" s="19"/>
    </row>
    <row r="310" spans="7:18" x14ac:dyDescent="0.25">
      <c r="G310" s="19"/>
      <c r="J310" s="19"/>
      <c r="K310" s="19"/>
      <c r="L310" s="19"/>
      <c r="R310" s="19"/>
    </row>
    <row r="311" spans="7:18" x14ac:dyDescent="0.25">
      <c r="G311" s="19"/>
      <c r="J311" s="19"/>
      <c r="K311" s="19"/>
      <c r="L311" s="19"/>
      <c r="R311" s="19"/>
    </row>
    <row r="312" spans="7:18" x14ac:dyDescent="0.25">
      <c r="G312" s="19"/>
      <c r="J312" s="19"/>
      <c r="K312" s="19"/>
      <c r="L312" s="19"/>
      <c r="R312" s="19"/>
    </row>
    <row r="313" spans="7:18" x14ac:dyDescent="0.25">
      <c r="G313" s="19"/>
      <c r="J313" s="19"/>
      <c r="K313" s="19"/>
      <c r="L313" s="19"/>
      <c r="R313" s="19"/>
    </row>
    <row r="314" spans="7:18" x14ac:dyDescent="0.25">
      <c r="G314" s="19"/>
      <c r="J314" s="19"/>
      <c r="K314" s="19"/>
      <c r="L314" s="19"/>
      <c r="R314" s="19"/>
    </row>
    <row r="315" spans="7:18" x14ac:dyDescent="0.25">
      <c r="G315" s="19"/>
      <c r="J315" s="19"/>
      <c r="K315" s="19"/>
      <c r="L315" s="19"/>
      <c r="R315" s="19"/>
    </row>
    <row r="316" spans="7:18" x14ac:dyDescent="0.25">
      <c r="G316" s="19"/>
      <c r="J316" s="19"/>
      <c r="K316" s="19"/>
      <c r="L316" s="19"/>
      <c r="R316" s="19"/>
    </row>
    <row r="317" spans="7:18" x14ac:dyDescent="0.25">
      <c r="G317" s="19"/>
      <c r="J317" s="19"/>
      <c r="K317" s="19"/>
      <c r="L317" s="19"/>
      <c r="R317" s="19"/>
    </row>
    <row r="318" spans="7:18" x14ac:dyDescent="0.25">
      <c r="G318" s="19"/>
      <c r="J318" s="19"/>
      <c r="K318" s="19"/>
      <c r="L318" s="19"/>
      <c r="R318" s="19"/>
    </row>
    <row r="319" spans="7:18" x14ac:dyDescent="0.25">
      <c r="G319" s="19"/>
      <c r="J319" s="19"/>
      <c r="K319" s="19"/>
      <c r="L319" s="19"/>
      <c r="R319" s="19"/>
    </row>
    <row r="320" spans="7:18" x14ac:dyDescent="0.25">
      <c r="G320" s="19"/>
      <c r="J320" s="19"/>
      <c r="K320" s="19"/>
      <c r="L320" s="19"/>
      <c r="R320" s="19"/>
    </row>
    <row r="321" spans="7:18" x14ac:dyDescent="0.25">
      <c r="G321" s="19"/>
      <c r="J321" s="19"/>
      <c r="K321" s="19"/>
      <c r="L321" s="19"/>
      <c r="R321" s="19"/>
    </row>
    <row r="322" spans="7:18" x14ac:dyDescent="0.25">
      <c r="G322" s="19"/>
      <c r="J322" s="19"/>
      <c r="K322" s="19"/>
      <c r="L322" s="19"/>
      <c r="R322" s="19"/>
    </row>
    <row r="323" spans="7:18" x14ac:dyDescent="0.25">
      <c r="G323" s="19"/>
      <c r="J323" s="19"/>
      <c r="K323" s="19"/>
      <c r="L323" s="19"/>
      <c r="R323" s="19"/>
    </row>
    <row r="324" spans="7:18" x14ac:dyDescent="0.25">
      <c r="G324" s="19"/>
      <c r="J324" s="19"/>
      <c r="K324" s="19"/>
      <c r="L324" s="19"/>
      <c r="R324" s="19"/>
    </row>
    <row r="325" spans="7:18" x14ac:dyDescent="0.25">
      <c r="G325" s="19"/>
      <c r="J325" s="19"/>
      <c r="K325" s="19"/>
      <c r="L325" s="19"/>
      <c r="R325" s="19"/>
    </row>
    <row r="326" spans="7:18" x14ac:dyDescent="0.25">
      <c r="G326" s="19"/>
      <c r="J326" s="19"/>
      <c r="K326" s="19"/>
      <c r="L326" s="19"/>
      <c r="R326" s="19"/>
    </row>
    <row r="327" spans="7:18" x14ac:dyDescent="0.25">
      <c r="G327" s="19"/>
      <c r="J327" s="19"/>
      <c r="K327" s="19"/>
      <c r="L327" s="19"/>
      <c r="R327" s="19"/>
    </row>
    <row r="328" spans="7:18" x14ac:dyDescent="0.25">
      <c r="G328" s="19"/>
      <c r="J328" s="19"/>
      <c r="K328" s="19"/>
      <c r="L328" s="19"/>
      <c r="R328" s="19"/>
    </row>
    <row r="329" spans="7:18" x14ac:dyDescent="0.25">
      <c r="G329" s="19"/>
      <c r="J329" s="19"/>
      <c r="K329" s="19"/>
      <c r="L329" s="19"/>
      <c r="R329" s="19"/>
    </row>
    <row r="330" spans="7:18" x14ac:dyDescent="0.25">
      <c r="G330" s="19"/>
      <c r="J330" s="19"/>
      <c r="K330" s="19"/>
      <c r="L330" s="19"/>
      <c r="R330" s="19"/>
    </row>
    <row r="331" spans="7:18" x14ac:dyDescent="0.25">
      <c r="G331" s="19"/>
      <c r="J331" s="19"/>
      <c r="K331" s="19"/>
      <c r="L331" s="19"/>
      <c r="R331" s="19"/>
    </row>
    <row r="332" spans="7:18" x14ac:dyDescent="0.25">
      <c r="G332" s="19"/>
      <c r="J332" s="19"/>
      <c r="K332" s="19"/>
      <c r="L332" s="19"/>
      <c r="R332" s="19"/>
    </row>
    <row r="333" spans="7:18" x14ac:dyDescent="0.25">
      <c r="G333" s="19"/>
      <c r="J333" s="19"/>
      <c r="K333" s="19"/>
      <c r="L333" s="19"/>
      <c r="R333" s="19"/>
    </row>
    <row r="334" spans="7:18" x14ac:dyDescent="0.25">
      <c r="G334" s="19"/>
      <c r="J334" s="19"/>
      <c r="K334" s="19"/>
      <c r="L334" s="19"/>
      <c r="R334" s="19"/>
    </row>
    <row r="335" spans="7:18" x14ac:dyDescent="0.25">
      <c r="G335" s="19"/>
      <c r="J335" s="19"/>
      <c r="K335" s="19"/>
      <c r="L335" s="19"/>
      <c r="R335" s="19"/>
    </row>
    <row r="336" spans="7:18" x14ac:dyDescent="0.25">
      <c r="G336" s="19"/>
      <c r="J336" s="19"/>
      <c r="K336" s="19"/>
      <c r="L336" s="19"/>
      <c r="R336" s="19"/>
    </row>
    <row r="337" spans="7:18" x14ac:dyDescent="0.25">
      <c r="G337" s="19"/>
      <c r="J337" s="19"/>
      <c r="K337" s="19"/>
      <c r="L337" s="19"/>
      <c r="R337" s="19"/>
    </row>
    <row r="338" spans="7:18" x14ac:dyDescent="0.25">
      <c r="G338" s="19"/>
      <c r="J338" s="19"/>
      <c r="K338" s="19"/>
      <c r="L338" s="19"/>
      <c r="R338" s="19"/>
    </row>
    <row r="339" spans="7:18" x14ac:dyDescent="0.25">
      <c r="G339" s="19"/>
      <c r="J339" s="19"/>
      <c r="K339" s="19"/>
      <c r="L339" s="19"/>
      <c r="R339" s="19"/>
    </row>
    <row r="340" spans="7:18" x14ac:dyDescent="0.25">
      <c r="G340" s="19"/>
      <c r="J340" s="19"/>
      <c r="K340" s="19"/>
      <c r="L340" s="19"/>
      <c r="R340" s="19"/>
    </row>
    <row r="341" spans="7:18" x14ac:dyDescent="0.25">
      <c r="G341" s="19"/>
      <c r="J341" s="19"/>
      <c r="K341" s="19"/>
      <c r="L341" s="19"/>
      <c r="R341" s="19"/>
    </row>
    <row r="342" spans="7:18" x14ac:dyDescent="0.25">
      <c r="G342" s="19"/>
      <c r="J342" s="19"/>
      <c r="K342" s="19"/>
      <c r="L342" s="19"/>
      <c r="R342" s="19"/>
    </row>
    <row r="343" spans="7:18" x14ac:dyDescent="0.25">
      <c r="G343" s="19"/>
      <c r="J343" s="19"/>
      <c r="K343" s="19"/>
      <c r="L343" s="19"/>
      <c r="R343" s="19"/>
    </row>
    <row r="344" spans="7:18" x14ac:dyDescent="0.25">
      <c r="G344" s="19"/>
      <c r="J344" s="19"/>
      <c r="K344" s="19"/>
      <c r="L344" s="19"/>
      <c r="R344" s="19"/>
    </row>
    <row r="345" spans="7:18" x14ac:dyDescent="0.25">
      <c r="G345" s="19"/>
      <c r="J345" s="19"/>
      <c r="K345" s="19"/>
      <c r="L345" s="19"/>
      <c r="R345" s="19"/>
    </row>
    <row r="346" spans="7:18" x14ac:dyDescent="0.25">
      <c r="G346" s="19"/>
      <c r="J346" s="19"/>
      <c r="K346" s="19"/>
      <c r="L346" s="19"/>
      <c r="R346" s="19"/>
    </row>
    <row r="347" spans="7:18" x14ac:dyDescent="0.25">
      <c r="G347" s="19"/>
      <c r="J347" s="19"/>
      <c r="K347" s="19"/>
      <c r="L347" s="19"/>
      <c r="R347" s="19"/>
    </row>
    <row r="348" spans="7:18" x14ac:dyDescent="0.25">
      <c r="G348" s="19"/>
      <c r="J348" s="19"/>
      <c r="K348" s="19"/>
      <c r="L348" s="19"/>
      <c r="R348" s="19"/>
    </row>
    <row r="349" spans="7:18" x14ac:dyDescent="0.25">
      <c r="G349" s="19"/>
      <c r="J349" s="19"/>
      <c r="K349" s="19"/>
      <c r="L349" s="19"/>
      <c r="R349" s="19"/>
    </row>
    <row r="350" spans="7:18" x14ac:dyDescent="0.25">
      <c r="G350" s="19"/>
      <c r="J350" s="19"/>
      <c r="K350" s="19"/>
      <c r="L350" s="19"/>
      <c r="R350" s="19"/>
    </row>
    <row r="351" spans="7:18" x14ac:dyDescent="0.25">
      <c r="G351" s="19"/>
      <c r="J351" s="19"/>
      <c r="K351" s="19"/>
      <c r="L351" s="19"/>
      <c r="R351" s="19"/>
    </row>
    <row r="352" spans="7:18" x14ac:dyDescent="0.25">
      <c r="G352" s="19"/>
      <c r="J352" s="19"/>
      <c r="K352" s="19"/>
      <c r="L352" s="19"/>
      <c r="R352" s="19"/>
    </row>
    <row r="353" spans="7:18" x14ac:dyDescent="0.25">
      <c r="G353" s="19"/>
      <c r="J353" s="19"/>
      <c r="K353" s="19"/>
      <c r="L353" s="19"/>
      <c r="R353" s="19"/>
    </row>
    <row r="354" spans="7:18" x14ac:dyDescent="0.25">
      <c r="G354" s="19"/>
      <c r="J354" s="19"/>
      <c r="K354" s="19"/>
      <c r="L354" s="19"/>
      <c r="R354" s="19"/>
    </row>
    <row r="355" spans="7:18" x14ac:dyDescent="0.25">
      <c r="G355" s="19"/>
      <c r="J355" s="19"/>
      <c r="K355" s="19"/>
      <c r="L355" s="19"/>
      <c r="R355" s="19"/>
    </row>
    <row r="356" spans="7:18" x14ac:dyDescent="0.25">
      <c r="G356" s="19"/>
      <c r="J356" s="19"/>
      <c r="K356" s="19"/>
      <c r="L356" s="19"/>
      <c r="R356" s="19"/>
    </row>
    <row r="357" spans="7:18" x14ac:dyDescent="0.25">
      <c r="G357" s="19"/>
      <c r="J357" s="19"/>
      <c r="K357" s="19"/>
      <c r="L357" s="19"/>
      <c r="R357" s="19"/>
    </row>
    <row r="358" spans="7:18" x14ac:dyDescent="0.25">
      <c r="G358" s="19"/>
      <c r="J358" s="19"/>
      <c r="K358" s="19"/>
      <c r="L358" s="19"/>
      <c r="R358" s="19"/>
    </row>
    <row r="359" spans="7:18" x14ac:dyDescent="0.25">
      <c r="G359" s="19"/>
      <c r="J359" s="19"/>
      <c r="K359" s="19"/>
      <c r="L359" s="19"/>
      <c r="R359" s="19"/>
    </row>
    <row r="360" spans="7:18" x14ac:dyDescent="0.25">
      <c r="G360" s="19"/>
      <c r="J360" s="19"/>
      <c r="K360" s="19"/>
      <c r="L360" s="19"/>
      <c r="R360" s="19"/>
    </row>
    <row r="361" spans="7:18" x14ac:dyDescent="0.25">
      <c r="G361" s="19"/>
      <c r="J361" s="19"/>
      <c r="K361" s="19"/>
      <c r="L361" s="19"/>
      <c r="R361" s="19"/>
    </row>
    <row r="362" spans="7:18" x14ac:dyDescent="0.25">
      <c r="G362" s="19"/>
      <c r="J362" s="19"/>
      <c r="K362" s="19"/>
      <c r="L362" s="19"/>
      <c r="R362" s="19"/>
    </row>
    <row r="363" spans="7:18" x14ac:dyDescent="0.25">
      <c r="G363" s="19"/>
      <c r="J363" s="19"/>
      <c r="K363" s="19"/>
      <c r="L363" s="19"/>
      <c r="R363" s="19"/>
    </row>
    <row r="364" spans="7:18" x14ac:dyDescent="0.25">
      <c r="G364" s="19"/>
      <c r="J364" s="19"/>
      <c r="K364" s="19"/>
      <c r="L364" s="19"/>
      <c r="R364" s="19"/>
    </row>
    <row r="365" spans="7:18" x14ac:dyDescent="0.25">
      <c r="G365" s="19"/>
      <c r="J365" s="19"/>
      <c r="K365" s="19"/>
      <c r="L365" s="19"/>
      <c r="R365" s="19"/>
    </row>
    <row r="366" spans="7:18" x14ac:dyDescent="0.25">
      <c r="G366" s="19"/>
      <c r="J366" s="19"/>
      <c r="K366" s="19"/>
      <c r="L366" s="19"/>
      <c r="R366" s="19"/>
    </row>
    <row r="367" spans="7:18" x14ac:dyDescent="0.25">
      <c r="G367" s="19"/>
      <c r="J367" s="19"/>
      <c r="K367" s="19"/>
      <c r="L367" s="19"/>
      <c r="R367" s="19"/>
    </row>
    <row r="368" spans="7:18" x14ac:dyDescent="0.25">
      <c r="G368" s="19"/>
      <c r="J368" s="19"/>
      <c r="K368" s="19"/>
      <c r="L368" s="19"/>
      <c r="R368" s="19"/>
    </row>
    <row r="369" spans="7:18" x14ac:dyDescent="0.25">
      <c r="G369" s="19"/>
      <c r="J369" s="19"/>
      <c r="K369" s="19"/>
      <c r="L369" s="19"/>
      <c r="R369" s="19"/>
    </row>
    <row r="370" spans="7:18" x14ac:dyDescent="0.25">
      <c r="G370" s="19"/>
      <c r="J370" s="19"/>
      <c r="K370" s="19"/>
      <c r="L370" s="19"/>
      <c r="R370" s="19"/>
    </row>
    <row r="371" spans="7:18" x14ac:dyDescent="0.25">
      <c r="G371" s="19"/>
      <c r="J371" s="19"/>
      <c r="K371" s="19"/>
      <c r="L371" s="19"/>
      <c r="R371" s="19"/>
    </row>
    <row r="372" spans="7:18" x14ac:dyDescent="0.25">
      <c r="G372" s="19"/>
      <c r="J372" s="19"/>
      <c r="K372" s="19"/>
      <c r="L372" s="19"/>
      <c r="R372" s="19"/>
    </row>
    <row r="373" spans="7:18" x14ac:dyDescent="0.25">
      <c r="G373" s="19"/>
      <c r="J373" s="19"/>
      <c r="K373" s="19"/>
      <c r="L373" s="19"/>
      <c r="R373" s="19"/>
    </row>
    <row r="374" spans="7:18" x14ac:dyDescent="0.25">
      <c r="G374" s="19"/>
      <c r="J374" s="19"/>
      <c r="K374" s="19"/>
      <c r="L374" s="19"/>
      <c r="R374" s="19"/>
    </row>
    <row r="375" spans="7:18" x14ac:dyDescent="0.25">
      <c r="G375" s="19"/>
      <c r="J375" s="19"/>
      <c r="K375" s="19"/>
      <c r="L375" s="19"/>
      <c r="R375" s="19"/>
    </row>
    <row r="376" spans="7:18" x14ac:dyDescent="0.25">
      <c r="G376" s="19"/>
      <c r="J376" s="19"/>
      <c r="K376" s="19"/>
      <c r="L376" s="19"/>
      <c r="R376" s="19"/>
    </row>
    <row r="377" spans="7:18" x14ac:dyDescent="0.25">
      <c r="G377" s="19"/>
      <c r="J377" s="19"/>
      <c r="K377" s="19"/>
      <c r="L377" s="19"/>
      <c r="R377" s="19"/>
    </row>
    <row r="378" spans="7:18" x14ac:dyDescent="0.25">
      <c r="G378" s="19"/>
      <c r="J378" s="19"/>
      <c r="K378" s="19"/>
      <c r="L378" s="19"/>
      <c r="R378" s="19"/>
    </row>
    <row r="379" spans="7:18" x14ac:dyDescent="0.25">
      <c r="G379" s="19"/>
      <c r="J379" s="19"/>
      <c r="K379" s="19"/>
      <c r="L379" s="19"/>
      <c r="R379" s="19"/>
    </row>
    <row r="380" spans="7:18" x14ac:dyDescent="0.25">
      <c r="G380" s="19"/>
      <c r="J380" s="19"/>
      <c r="K380" s="19"/>
      <c r="L380" s="19"/>
      <c r="R380" s="19"/>
    </row>
    <row r="381" spans="7:18" x14ac:dyDescent="0.25">
      <c r="G381" s="19"/>
      <c r="J381" s="19"/>
      <c r="K381" s="19"/>
      <c r="L381" s="19"/>
      <c r="R381" s="19"/>
    </row>
    <row r="382" spans="7:18" x14ac:dyDescent="0.25">
      <c r="G382" s="19"/>
      <c r="J382" s="19"/>
      <c r="K382" s="19"/>
      <c r="L382" s="19"/>
      <c r="R382" s="19"/>
    </row>
    <row r="383" spans="7:18" x14ac:dyDescent="0.25">
      <c r="G383" s="19"/>
      <c r="J383" s="19"/>
      <c r="K383" s="19"/>
      <c r="L383" s="19"/>
      <c r="R383" s="19"/>
    </row>
    <row r="384" spans="7:18" x14ac:dyDescent="0.25">
      <c r="G384" s="19"/>
      <c r="J384" s="19"/>
      <c r="K384" s="19"/>
      <c r="L384" s="19"/>
      <c r="R384" s="19"/>
    </row>
    <row r="385" spans="7:18" x14ac:dyDescent="0.25">
      <c r="G385" s="19"/>
      <c r="J385" s="19"/>
      <c r="K385" s="19"/>
      <c r="L385" s="19"/>
      <c r="R385" s="19"/>
    </row>
    <row r="386" spans="7:18" x14ac:dyDescent="0.25">
      <c r="G386" s="19"/>
      <c r="J386" s="19"/>
      <c r="K386" s="19"/>
      <c r="L386" s="19"/>
      <c r="R386" s="19"/>
    </row>
    <row r="387" spans="7:18" x14ac:dyDescent="0.25">
      <c r="G387" s="19"/>
      <c r="J387" s="19"/>
      <c r="K387" s="19"/>
      <c r="L387" s="19"/>
      <c r="R387" s="19"/>
    </row>
    <row r="388" spans="7:18" x14ac:dyDescent="0.25">
      <c r="G388" s="19"/>
      <c r="J388" s="19"/>
      <c r="K388" s="19"/>
      <c r="L388" s="19"/>
      <c r="R388" s="19"/>
    </row>
    <row r="389" spans="7:18" x14ac:dyDescent="0.25">
      <c r="G389" s="19"/>
      <c r="J389" s="19"/>
      <c r="K389" s="19"/>
      <c r="L389" s="19"/>
      <c r="R389" s="19"/>
    </row>
    <row r="390" spans="7:18" x14ac:dyDescent="0.25">
      <c r="G390" s="19"/>
      <c r="J390" s="19"/>
      <c r="K390" s="19"/>
      <c r="L390" s="19"/>
      <c r="R390" s="19"/>
    </row>
    <row r="391" spans="7:18" x14ac:dyDescent="0.25">
      <c r="G391" s="19"/>
      <c r="J391" s="19"/>
      <c r="K391" s="19"/>
      <c r="L391" s="19"/>
      <c r="R391" s="19"/>
    </row>
    <row r="392" spans="7:18" x14ac:dyDescent="0.25">
      <c r="G392" s="19"/>
      <c r="J392" s="19"/>
      <c r="K392" s="19"/>
      <c r="L392" s="19"/>
      <c r="R392" s="19"/>
    </row>
    <row r="393" spans="7:18" x14ac:dyDescent="0.25">
      <c r="G393" s="19"/>
      <c r="J393" s="19"/>
      <c r="K393" s="19"/>
      <c r="L393" s="19"/>
      <c r="R393" s="19"/>
    </row>
    <row r="394" spans="7:18" x14ac:dyDescent="0.25">
      <c r="G394" s="19"/>
      <c r="J394" s="19"/>
      <c r="K394" s="19"/>
      <c r="L394" s="19"/>
      <c r="R394" s="19"/>
    </row>
    <row r="395" spans="7:18" x14ac:dyDescent="0.25">
      <c r="G395" s="19"/>
      <c r="J395" s="19"/>
      <c r="K395" s="19"/>
      <c r="L395" s="19"/>
      <c r="R395" s="19"/>
    </row>
    <row r="396" spans="7:18" x14ac:dyDescent="0.25">
      <c r="G396" s="19"/>
      <c r="J396" s="19"/>
      <c r="K396" s="19"/>
      <c r="L396" s="19"/>
      <c r="R396" s="19"/>
    </row>
    <row r="397" spans="7:18" x14ac:dyDescent="0.25">
      <c r="G397" s="19"/>
      <c r="J397" s="19"/>
      <c r="K397" s="19"/>
      <c r="L397" s="19"/>
      <c r="R397" s="19"/>
    </row>
    <row r="398" spans="7:18" x14ac:dyDescent="0.25">
      <c r="G398" s="19"/>
      <c r="J398" s="19"/>
      <c r="K398" s="19"/>
      <c r="L398" s="19"/>
      <c r="R398" s="19"/>
    </row>
    <row r="399" spans="7:18" x14ac:dyDescent="0.25">
      <c r="G399" s="19"/>
      <c r="J399" s="19"/>
      <c r="K399" s="19"/>
      <c r="L399" s="19"/>
      <c r="R399" s="19"/>
    </row>
    <row r="400" spans="7:18" x14ac:dyDescent="0.25">
      <c r="G400" s="19"/>
      <c r="J400" s="19"/>
      <c r="K400" s="19"/>
      <c r="L400" s="19"/>
      <c r="R400" s="19"/>
    </row>
    <row r="401" spans="7:18" x14ac:dyDescent="0.25">
      <c r="G401" s="19"/>
      <c r="J401" s="19"/>
      <c r="K401" s="19"/>
      <c r="L401" s="19"/>
      <c r="R401" s="19"/>
    </row>
    <row r="402" spans="7:18" x14ac:dyDescent="0.25">
      <c r="G402" s="19"/>
      <c r="J402" s="19"/>
      <c r="K402" s="19"/>
      <c r="L402" s="19"/>
      <c r="R402" s="19"/>
    </row>
    <row r="403" spans="7:18" x14ac:dyDescent="0.25">
      <c r="G403" s="19"/>
      <c r="J403" s="19"/>
      <c r="K403" s="19"/>
      <c r="L403" s="19"/>
      <c r="R403" s="19"/>
    </row>
    <row r="404" spans="7:18" x14ac:dyDescent="0.25">
      <c r="G404" s="19"/>
      <c r="J404" s="19"/>
      <c r="K404" s="19"/>
      <c r="L404" s="19"/>
      <c r="R404" s="19"/>
    </row>
    <row r="405" spans="7:18" x14ac:dyDescent="0.25">
      <c r="G405" s="19"/>
      <c r="J405" s="19"/>
      <c r="K405" s="19"/>
      <c r="L405" s="19"/>
      <c r="R405" s="19"/>
    </row>
    <row r="406" spans="7:18" x14ac:dyDescent="0.25">
      <c r="G406" s="19"/>
      <c r="J406" s="19"/>
      <c r="K406" s="19"/>
      <c r="L406" s="19"/>
      <c r="R406" s="19"/>
    </row>
    <row r="407" spans="7:18" x14ac:dyDescent="0.25">
      <c r="G407" s="19"/>
      <c r="J407" s="19"/>
      <c r="K407" s="19"/>
      <c r="L407" s="19"/>
      <c r="R407" s="19"/>
    </row>
    <row r="408" spans="7:18" x14ac:dyDescent="0.25">
      <c r="G408" s="19"/>
      <c r="J408" s="19"/>
      <c r="K408" s="19"/>
      <c r="L408" s="19"/>
      <c r="R408" s="19"/>
    </row>
    <row r="409" spans="7:18" x14ac:dyDescent="0.25">
      <c r="G409" s="19"/>
      <c r="J409" s="19"/>
      <c r="K409" s="19"/>
      <c r="L409" s="19"/>
      <c r="R409" s="19"/>
    </row>
    <row r="410" spans="7:18" x14ac:dyDescent="0.25">
      <c r="G410" s="19"/>
      <c r="J410" s="19"/>
      <c r="K410" s="19"/>
      <c r="L410" s="19"/>
      <c r="R410" s="19"/>
    </row>
    <row r="411" spans="7:18" x14ac:dyDescent="0.25">
      <c r="G411" s="19"/>
      <c r="J411" s="19"/>
      <c r="K411" s="19"/>
      <c r="L411" s="19"/>
      <c r="R411" s="19"/>
    </row>
    <row r="412" spans="7:18" x14ac:dyDescent="0.25">
      <c r="G412" s="19"/>
      <c r="J412" s="19"/>
      <c r="K412" s="19"/>
      <c r="L412" s="19"/>
      <c r="R412" s="19"/>
    </row>
    <row r="413" spans="7:18" x14ac:dyDescent="0.25">
      <c r="G413" s="19"/>
      <c r="J413" s="19"/>
      <c r="K413" s="19"/>
      <c r="L413" s="19"/>
      <c r="R413" s="19"/>
    </row>
    <row r="414" spans="7:18" x14ac:dyDescent="0.25">
      <c r="G414" s="19"/>
      <c r="J414" s="19"/>
      <c r="K414" s="19"/>
      <c r="L414" s="19"/>
      <c r="R414" s="19"/>
    </row>
    <row r="415" spans="7:18" x14ac:dyDescent="0.25">
      <c r="G415" s="19"/>
      <c r="J415" s="19"/>
      <c r="K415" s="19"/>
      <c r="L415" s="19"/>
      <c r="R415" s="19"/>
    </row>
    <row r="416" spans="7:18" x14ac:dyDescent="0.25">
      <c r="G416" s="19"/>
      <c r="J416" s="19"/>
      <c r="K416" s="19"/>
      <c r="L416" s="19"/>
      <c r="R416" s="19"/>
    </row>
    <row r="417" spans="7:18" x14ac:dyDescent="0.25">
      <c r="G417" s="19"/>
      <c r="J417" s="19"/>
      <c r="K417" s="19"/>
      <c r="L417" s="19"/>
      <c r="R417" s="19"/>
    </row>
    <row r="418" spans="7:18" x14ac:dyDescent="0.25">
      <c r="G418" s="19"/>
      <c r="J418" s="19"/>
      <c r="K418" s="19"/>
      <c r="L418" s="19"/>
      <c r="R418" s="19"/>
    </row>
    <row r="419" spans="7:18" x14ac:dyDescent="0.25">
      <c r="G419" s="19"/>
      <c r="J419" s="19"/>
      <c r="K419" s="19"/>
      <c r="L419" s="19"/>
      <c r="R419" s="19"/>
    </row>
    <row r="420" spans="7:18" x14ac:dyDescent="0.25">
      <c r="G420" s="19"/>
      <c r="J420" s="19"/>
      <c r="K420" s="19"/>
      <c r="L420" s="19"/>
      <c r="R420" s="19"/>
    </row>
    <row r="421" spans="7:18" x14ac:dyDescent="0.25">
      <c r="G421" s="19"/>
      <c r="J421" s="19"/>
      <c r="K421" s="19"/>
      <c r="L421" s="19"/>
      <c r="R421" s="19"/>
    </row>
    <row r="422" spans="7:18" x14ac:dyDescent="0.25">
      <c r="G422" s="19"/>
      <c r="J422" s="19"/>
      <c r="K422" s="19"/>
      <c r="L422" s="19"/>
      <c r="R422" s="19"/>
    </row>
    <row r="423" spans="7:18" x14ac:dyDescent="0.25">
      <c r="G423" s="19"/>
      <c r="J423" s="19"/>
      <c r="K423" s="19"/>
      <c r="L423" s="19"/>
      <c r="R423" s="19"/>
    </row>
    <row r="424" spans="7:18" x14ac:dyDescent="0.25">
      <c r="G424" s="19"/>
      <c r="J424" s="19"/>
      <c r="K424" s="19"/>
      <c r="L424" s="19"/>
      <c r="R424" s="19"/>
    </row>
    <row r="425" spans="7:18" x14ac:dyDescent="0.25">
      <c r="G425" s="19"/>
      <c r="J425" s="19"/>
      <c r="K425" s="19"/>
      <c r="L425" s="19"/>
      <c r="R425" s="19"/>
    </row>
    <row r="426" spans="7:18" x14ac:dyDescent="0.25">
      <c r="G426" s="19"/>
      <c r="J426" s="19"/>
      <c r="K426" s="19"/>
      <c r="L426" s="19"/>
      <c r="R426" s="19"/>
    </row>
    <row r="427" spans="7:18" x14ac:dyDescent="0.25">
      <c r="G427" s="19"/>
      <c r="J427" s="19"/>
      <c r="K427" s="19"/>
      <c r="L427" s="19"/>
      <c r="R427" s="19"/>
    </row>
    <row r="428" spans="7:18" x14ac:dyDescent="0.25">
      <c r="G428" s="19"/>
      <c r="J428" s="19"/>
      <c r="K428" s="19"/>
      <c r="L428" s="19"/>
      <c r="R428" s="19"/>
    </row>
    <row r="429" spans="7:18" x14ac:dyDescent="0.25">
      <c r="G429" s="19"/>
      <c r="J429" s="19"/>
      <c r="K429" s="19"/>
      <c r="L429" s="19"/>
      <c r="R429" s="19"/>
    </row>
    <row r="430" spans="7:18" x14ac:dyDescent="0.25">
      <c r="G430" s="19"/>
      <c r="J430" s="19"/>
      <c r="K430" s="19"/>
      <c r="L430" s="19"/>
      <c r="R430" s="19"/>
    </row>
    <row r="431" spans="7:18" x14ac:dyDescent="0.25">
      <c r="G431" s="19"/>
      <c r="J431" s="19"/>
      <c r="K431" s="19"/>
      <c r="L431" s="19"/>
      <c r="R431" s="19"/>
    </row>
    <row r="432" spans="7:18" x14ac:dyDescent="0.25">
      <c r="G432" s="19"/>
      <c r="J432" s="19"/>
      <c r="K432" s="19"/>
      <c r="L432" s="19"/>
      <c r="R432" s="19"/>
    </row>
    <row r="433" spans="7:18" x14ac:dyDescent="0.25">
      <c r="G433" s="19"/>
      <c r="J433" s="19"/>
      <c r="K433" s="19"/>
      <c r="L433" s="19"/>
      <c r="R433" s="19"/>
    </row>
    <row r="434" spans="7:18" x14ac:dyDescent="0.25">
      <c r="G434" s="19"/>
      <c r="J434" s="19"/>
      <c r="K434" s="19"/>
      <c r="L434" s="19"/>
      <c r="R434" s="19"/>
    </row>
    <row r="435" spans="7:18" x14ac:dyDescent="0.25">
      <c r="G435" s="19"/>
      <c r="J435" s="19"/>
      <c r="K435" s="19"/>
      <c r="L435" s="19"/>
      <c r="R435" s="19"/>
    </row>
    <row r="436" spans="7:18" x14ac:dyDescent="0.25">
      <c r="G436" s="19"/>
      <c r="J436" s="19"/>
      <c r="K436" s="19"/>
      <c r="L436" s="19"/>
      <c r="R436" s="19"/>
    </row>
    <row r="437" spans="7:18" x14ac:dyDescent="0.25">
      <c r="G437" s="19"/>
      <c r="J437" s="19"/>
      <c r="K437" s="19"/>
      <c r="L437" s="19"/>
      <c r="R437" s="19"/>
    </row>
    <row r="438" spans="7:18" x14ac:dyDescent="0.25">
      <c r="G438" s="19"/>
      <c r="J438" s="19"/>
      <c r="K438" s="19"/>
      <c r="L438" s="19"/>
      <c r="R438" s="19"/>
    </row>
    <row r="439" spans="7:18" x14ac:dyDescent="0.25">
      <c r="G439" s="19"/>
      <c r="J439" s="19"/>
      <c r="K439" s="19"/>
      <c r="L439" s="19"/>
      <c r="R439" s="19"/>
    </row>
    <row r="440" spans="7:18" x14ac:dyDescent="0.25">
      <c r="G440" s="19"/>
      <c r="J440" s="19"/>
      <c r="K440" s="19"/>
      <c r="L440" s="19"/>
      <c r="R440" s="19"/>
    </row>
    <row r="441" spans="7:18" x14ac:dyDescent="0.25">
      <c r="G441" s="19"/>
      <c r="J441" s="19"/>
      <c r="K441" s="19"/>
      <c r="L441" s="19"/>
      <c r="R441" s="19"/>
    </row>
    <row r="442" spans="7:18" x14ac:dyDescent="0.25">
      <c r="G442" s="19"/>
      <c r="J442" s="19"/>
      <c r="K442" s="19"/>
      <c r="L442" s="19"/>
      <c r="R442" s="19"/>
    </row>
    <row r="443" spans="7:18" x14ac:dyDescent="0.25">
      <c r="G443" s="19"/>
      <c r="J443" s="19"/>
      <c r="K443" s="19"/>
      <c r="L443" s="19"/>
      <c r="R443" s="19"/>
    </row>
    <row r="444" spans="7:18" x14ac:dyDescent="0.25">
      <c r="G444" s="19"/>
      <c r="J444" s="19"/>
      <c r="K444" s="19"/>
      <c r="L444" s="19"/>
      <c r="R444" s="19"/>
    </row>
    <row r="445" spans="7:18" x14ac:dyDescent="0.25">
      <c r="G445" s="19"/>
      <c r="J445" s="19"/>
      <c r="K445" s="19"/>
      <c r="L445" s="19"/>
      <c r="R445" s="19"/>
    </row>
    <row r="446" spans="7:18" x14ac:dyDescent="0.25">
      <c r="G446" s="19"/>
      <c r="J446" s="19"/>
      <c r="K446" s="19"/>
      <c r="L446" s="19"/>
      <c r="R446" s="19"/>
    </row>
    <row r="447" spans="7:18" x14ac:dyDescent="0.25">
      <c r="G447" s="19"/>
      <c r="J447" s="19"/>
      <c r="K447" s="19"/>
      <c r="L447" s="19"/>
      <c r="R447" s="19"/>
    </row>
    <row r="448" spans="7:18" x14ac:dyDescent="0.25">
      <c r="G448" s="19"/>
      <c r="J448" s="19"/>
      <c r="K448" s="19"/>
      <c r="L448" s="19"/>
      <c r="R448" s="19"/>
    </row>
    <row r="449" spans="7:18" x14ac:dyDescent="0.25">
      <c r="G449" s="19"/>
      <c r="J449" s="19"/>
      <c r="K449" s="19"/>
      <c r="L449" s="19"/>
      <c r="R449" s="19"/>
    </row>
    <row r="450" spans="7:18" x14ac:dyDescent="0.25">
      <c r="G450" s="19"/>
      <c r="J450" s="19"/>
      <c r="K450" s="19"/>
      <c r="L450" s="19"/>
      <c r="R450" s="19"/>
    </row>
    <row r="451" spans="7:18" x14ac:dyDescent="0.25">
      <c r="G451" s="19"/>
      <c r="J451" s="19"/>
      <c r="K451" s="19"/>
      <c r="L451" s="19"/>
      <c r="R451" s="19"/>
    </row>
    <row r="452" spans="7:18" x14ac:dyDescent="0.25">
      <c r="G452" s="19"/>
      <c r="J452" s="19"/>
      <c r="K452" s="19"/>
      <c r="L452" s="19"/>
      <c r="R452" s="19"/>
    </row>
    <row r="453" spans="7:18" x14ac:dyDescent="0.25">
      <c r="G453" s="19"/>
      <c r="J453" s="19"/>
      <c r="K453" s="19"/>
      <c r="L453" s="19"/>
      <c r="R453" s="19"/>
    </row>
    <row r="454" spans="7:18" x14ac:dyDescent="0.25">
      <c r="G454" s="19"/>
      <c r="J454" s="19"/>
      <c r="K454" s="19"/>
      <c r="L454" s="19"/>
      <c r="R454" s="19"/>
    </row>
    <row r="455" spans="7:18" x14ac:dyDescent="0.25">
      <c r="G455" s="19"/>
      <c r="J455" s="19"/>
      <c r="K455" s="19"/>
      <c r="L455" s="19"/>
      <c r="R455" s="19"/>
    </row>
    <row r="456" spans="7:18" x14ac:dyDescent="0.25">
      <c r="G456" s="19"/>
      <c r="J456" s="19"/>
      <c r="K456" s="19"/>
      <c r="L456" s="19"/>
      <c r="R456" s="19"/>
    </row>
    <row r="457" spans="7:18" x14ac:dyDescent="0.25">
      <c r="G457" s="19"/>
      <c r="J457" s="19"/>
      <c r="K457" s="19"/>
      <c r="L457" s="19"/>
      <c r="R457" s="19"/>
    </row>
    <row r="458" spans="7:18" x14ac:dyDescent="0.25">
      <c r="G458" s="19"/>
      <c r="J458" s="19"/>
      <c r="K458" s="19"/>
      <c r="L458" s="19"/>
      <c r="R458" s="19"/>
    </row>
    <row r="459" spans="7:18" x14ac:dyDescent="0.25">
      <c r="G459" s="19"/>
      <c r="J459" s="19"/>
      <c r="K459" s="19"/>
      <c r="L459" s="19"/>
      <c r="R459" s="19"/>
    </row>
    <row r="460" spans="7:18" x14ac:dyDescent="0.25">
      <c r="G460" s="19"/>
      <c r="J460" s="19"/>
      <c r="K460" s="19"/>
      <c r="L460" s="19"/>
      <c r="R460" s="19"/>
    </row>
    <row r="461" spans="7:18" x14ac:dyDescent="0.25">
      <c r="G461" s="19"/>
      <c r="J461" s="19"/>
      <c r="K461" s="19"/>
      <c r="L461" s="19"/>
      <c r="R461" s="19"/>
    </row>
    <row r="462" spans="7:18" x14ac:dyDescent="0.25">
      <c r="G462" s="19"/>
      <c r="J462" s="19"/>
      <c r="K462" s="19"/>
      <c r="L462" s="19"/>
      <c r="R462" s="19"/>
    </row>
    <row r="463" spans="7:18" x14ac:dyDescent="0.25">
      <c r="G463" s="19"/>
      <c r="J463" s="19"/>
      <c r="K463" s="19"/>
      <c r="L463" s="19"/>
      <c r="R463" s="19"/>
    </row>
    <row r="464" spans="7:18" x14ac:dyDescent="0.25">
      <c r="G464" s="19"/>
      <c r="J464" s="19"/>
      <c r="K464" s="19"/>
      <c r="L464" s="19"/>
      <c r="R464" s="19"/>
    </row>
    <row r="465" spans="7:18" x14ac:dyDescent="0.25">
      <c r="G465" s="19"/>
      <c r="J465" s="19"/>
      <c r="K465" s="19"/>
      <c r="L465" s="19"/>
      <c r="R465" s="19"/>
    </row>
    <row r="466" spans="7:18" x14ac:dyDescent="0.25">
      <c r="G466" s="19"/>
      <c r="J466" s="19"/>
      <c r="K466" s="19"/>
      <c r="L466" s="19"/>
      <c r="R466" s="19"/>
    </row>
    <row r="467" spans="7:18" x14ac:dyDescent="0.25">
      <c r="G467" s="19"/>
      <c r="J467" s="19"/>
      <c r="K467" s="19"/>
      <c r="L467" s="19"/>
      <c r="R467" s="19"/>
    </row>
    <row r="468" spans="7:18" x14ac:dyDescent="0.25">
      <c r="G468" s="19"/>
      <c r="J468" s="19"/>
      <c r="K468" s="19"/>
      <c r="L468" s="19"/>
      <c r="R468" s="19"/>
    </row>
    <row r="469" spans="7:18" x14ac:dyDescent="0.25">
      <c r="G469" s="19"/>
      <c r="J469" s="19"/>
      <c r="K469" s="19"/>
      <c r="L469" s="19"/>
      <c r="R469" s="19"/>
    </row>
    <row r="470" spans="7:18" x14ac:dyDescent="0.25">
      <c r="G470" s="19"/>
      <c r="J470" s="19"/>
      <c r="K470" s="19"/>
      <c r="L470" s="19"/>
      <c r="R470" s="19"/>
    </row>
    <row r="471" spans="7:18" x14ac:dyDescent="0.25">
      <c r="G471" s="19"/>
      <c r="J471" s="19"/>
      <c r="K471" s="19"/>
      <c r="L471" s="19"/>
      <c r="R471" s="19"/>
    </row>
    <row r="472" spans="7:18" x14ac:dyDescent="0.25">
      <c r="G472" s="19"/>
      <c r="J472" s="19"/>
      <c r="K472" s="19"/>
      <c r="L472" s="19"/>
      <c r="R472" s="19"/>
    </row>
    <row r="473" spans="7:18" x14ac:dyDescent="0.25">
      <c r="G473" s="19"/>
      <c r="J473" s="19"/>
      <c r="K473" s="19"/>
      <c r="L473" s="19"/>
      <c r="R473" s="19"/>
    </row>
    <row r="474" spans="7:18" x14ac:dyDescent="0.25">
      <c r="G474" s="19"/>
      <c r="J474" s="19"/>
      <c r="K474" s="19"/>
      <c r="L474" s="19"/>
      <c r="R474" s="19"/>
    </row>
    <row r="475" spans="7:18" x14ac:dyDescent="0.25">
      <c r="G475" s="19"/>
      <c r="J475" s="19"/>
      <c r="K475" s="19"/>
      <c r="L475" s="19"/>
      <c r="R475" s="19"/>
    </row>
    <row r="476" spans="7:18" x14ac:dyDescent="0.25">
      <c r="G476" s="19"/>
      <c r="J476" s="19"/>
      <c r="K476" s="19"/>
      <c r="L476" s="19"/>
      <c r="R476" s="19"/>
    </row>
    <row r="477" spans="7:18" x14ac:dyDescent="0.25">
      <c r="G477" s="19"/>
      <c r="J477" s="19"/>
      <c r="K477" s="19"/>
      <c r="L477" s="19"/>
      <c r="R477" s="19"/>
    </row>
    <row r="478" spans="7:18" x14ac:dyDescent="0.25">
      <c r="G478" s="19"/>
      <c r="J478" s="19"/>
      <c r="K478" s="19"/>
      <c r="L478" s="19"/>
      <c r="R478" s="19"/>
    </row>
    <row r="479" spans="7:18" x14ac:dyDescent="0.25">
      <c r="G479" s="19"/>
      <c r="J479" s="19"/>
      <c r="K479" s="19"/>
      <c r="L479" s="19"/>
      <c r="R479" s="19"/>
    </row>
    <row r="480" spans="7:18" x14ac:dyDescent="0.25">
      <c r="G480" s="19"/>
      <c r="J480" s="19"/>
      <c r="K480" s="19"/>
      <c r="L480" s="19"/>
      <c r="R480" s="19"/>
    </row>
    <row r="481" spans="7:18" x14ac:dyDescent="0.25">
      <c r="G481" s="19"/>
      <c r="J481" s="19"/>
      <c r="K481" s="19"/>
      <c r="L481" s="19"/>
      <c r="R481" s="19"/>
    </row>
    <row r="482" spans="7:18" x14ac:dyDescent="0.25">
      <c r="G482" s="19"/>
      <c r="J482" s="19"/>
      <c r="K482" s="19"/>
      <c r="L482" s="19"/>
      <c r="R482" s="19"/>
    </row>
    <row r="483" spans="7:18" x14ac:dyDescent="0.25">
      <c r="G483" s="19"/>
      <c r="J483" s="19"/>
      <c r="K483" s="19"/>
      <c r="L483" s="19"/>
      <c r="R483" s="19"/>
    </row>
    <row r="484" spans="7:18" x14ac:dyDescent="0.25">
      <c r="G484" s="19"/>
      <c r="J484" s="19"/>
      <c r="K484" s="19"/>
      <c r="L484" s="19"/>
      <c r="R484" s="19"/>
    </row>
    <row r="485" spans="7:18" x14ac:dyDescent="0.25">
      <c r="G485" s="19"/>
      <c r="J485" s="19"/>
      <c r="K485" s="19"/>
      <c r="L485" s="19"/>
      <c r="R485" s="19"/>
    </row>
    <row r="486" spans="7:18" x14ac:dyDescent="0.25">
      <c r="G486" s="19"/>
      <c r="J486" s="19"/>
      <c r="K486" s="19"/>
      <c r="L486" s="19"/>
      <c r="R486" s="19"/>
    </row>
    <row r="487" spans="7:18" x14ac:dyDescent="0.25">
      <c r="G487" s="19"/>
      <c r="J487" s="19"/>
      <c r="K487" s="19"/>
      <c r="L487" s="19"/>
      <c r="R487" s="19"/>
    </row>
    <row r="488" spans="7:18" x14ac:dyDescent="0.25">
      <c r="G488" s="19"/>
      <c r="J488" s="19"/>
      <c r="K488" s="19"/>
      <c r="L488" s="19"/>
      <c r="R488" s="19"/>
    </row>
    <row r="489" spans="7:18" x14ac:dyDescent="0.25">
      <c r="G489" s="19"/>
      <c r="J489" s="19"/>
      <c r="K489" s="19"/>
      <c r="L489" s="19"/>
      <c r="R489" s="19"/>
    </row>
    <row r="490" spans="7:18" x14ac:dyDescent="0.25">
      <c r="G490" s="19"/>
      <c r="J490" s="19"/>
      <c r="K490" s="19"/>
      <c r="L490" s="19"/>
      <c r="R490" s="19"/>
    </row>
    <row r="491" spans="7:18" x14ac:dyDescent="0.25">
      <c r="G491" s="19"/>
      <c r="J491" s="19"/>
      <c r="K491" s="19"/>
      <c r="L491" s="19"/>
      <c r="R491" s="19"/>
    </row>
    <row r="492" spans="7:18" x14ac:dyDescent="0.25">
      <c r="G492" s="19"/>
      <c r="J492" s="19"/>
      <c r="K492" s="19"/>
      <c r="L492" s="19"/>
      <c r="R492" s="19"/>
    </row>
    <row r="493" spans="7:18" x14ac:dyDescent="0.25">
      <c r="G493" s="19"/>
      <c r="J493" s="19"/>
      <c r="K493" s="19"/>
      <c r="L493" s="19"/>
      <c r="R493" s="19"/>
    </row>
    <row r="494" spans="7:18" x14ac:dyDescent="0.25">
      <c r="G494" s="19"/>
      <c r="J494" s="19"/>
      <c r="K494" s="19"/>
      <c r="L494" s="19"/>
      <c r="R494" s="19"/>
    </row>
    <row r="495" spans="7:18" x14ac:dyDescent="0.25">
      <c r="G495" s="19"/>
      <c r="J495" s="19"/>
      <c r="K495" s="19"/>
      <c r="L495" s="19"/>
      <c r="R495" s="19"/>
    </row>
    <row r="496" spans="7:18" x14ac:dyDescent="0.25">
      <c r="G496" s="19"/>
      <c r="J496" s="19"/>
      <c r="K496" s="19"/>
      <c r="L496" s="19"/>
      <c r="R496" s="19"/>
    </row>
    <row r="497" spans="7:18" x14ac:dyDescent="0.25">
      <c r="G497" s="19"/>
      <c r="J497" s="19"/>
      <c r="K497" s="19"/>
      <c r="L497" s="19"/>
      <c r="R497" s="19"/>
    </row>
    <row r="498" spans="7:18" x14ac:dyDescent="0.25">
      <c r="G498" s="19"/>
      <c r="J498" s="19"/>
      <c r="K498" s="19"/>
      <c r="L498" s="19"/>
      <c r="R498" s="19"/>
    </row>
    <row r="499" spans="7:18" x14ac:dyDescent="0.25">
      <c r="G499" s="19"/>
      <c r="J499" s="19"/>
      <c r="K499" s="19"/>
      <c r="L499" s="19"/>
      <c r="R499" s="19"/>
    </row>
    <row r="500" spans="7:18" x14ac:dyDescent="0.25">
      <c r="G500" s="19"/>
      <c r="J500" s="19"/>
      <c r="K500" s="19"/>
      <c r="L500" s="19"/>
      <c r="R500" s="19"/>
    </row>
    <row r="502" spans="7:18" x14ac:dyDescent="0.25">
      <c r="G502" s="19"/>
      <c r="J502" s="19"/>
      <c r="K502" s="19"/>
      <c r="L502" s="19"/>
      <c r="R502" s="19"/>
    </row>
    <row r="503" spans="7:18" x14ac:dyDescent="0.25">
      <c r="G503" s="19"/>
      <c r="J503" s="19"/>
      <c r="K503" s="19"/>
      <c r="L503" s="19"/>
      <c r="R503" s="19"/>
    </row>
    <row r="504" spans="7:18" x14ac:dyDescent="0.25">
      <c r="G504" s="19"/>
      <c r="J504" s="19"/>
      <c r="K504" s="19"/>
      <c r="L504" s="19"/>
      <c r="R504" s="19"/>
    </row>
    <row r="505" spans="7:18" x14ac:dyDescent="0.25">
      <c r="G505" s="19"/>
      <c r="J505" s="19"/>
      <c r="K505" s="19"/>
      <c r="L505" s="19"/>
      <c r="R505" s="19"/>
    </row>
    <row r="506" spans="7:18" x14ac:dyDescent="0.25">
      <c r="G506" s="19"/>
      <c r="J506" s="19"/>
      <c r="K506" s="19"/>
      <c r="L506" s="19"/>
      <c r="R506" s="19"/>
    </row>
    <row r="507" spans="7:18" x14ac:dyDescent="0.25">
      <c r="G507" s="19"/>
      <c r="J507" s="19"/>
      <c r="K507" s="19"/>
      <c r="L507" s="19"/>
      <c r="R507" s="19"/>
    </row>
    <row r="508" spans="7:18" x14ac:dyDescent="0.25">
      <c r="G508" s="19"/>
      <c r="J508" s="19"/>
      <c r="K508" s="19"/>
      <c r="L508" s="19"/>
      <c r="R508" s="19"/>
    </row>
    <row r="509" spans="7:18" x14ac:dyDescent="0.25">
      <c r="G509" s="19"/>
      <c r="J509" s="19"/>
      <c r="K509" s="19"/>
      <c r="L509" s="19"/>
      <c r="R509" s="19"/>
    </row>
    <row r="510" spans="7:18" x14ac:dyDescent="0.25">
      <c r="G510" s="19"/>
      <c r="J510" s="19"/>
      <c r="K510" s="19"/>
      <c r="L510" s="19"/>
      <c r="R510" s="19"/>
    </row>
    <row r="511" spans="7:18" x14ac:dyDescent="0.25">
      <c r="G511" s="19"/>
      <c r="J511" s="19"/>
      <c r="K511" s="19"/>
      <c r="L511" s="19"/>
      <c r="R511" s="19"/>
    </row>
    <row r="512" spans="7:18" x14ac:dyDescent="0.25">
      <c r="G512" s="19"/>
      <c r="J512" s="19"/>
      <c r="K512" s="19"/>
      <c r="L512" s="19"/>
      <c r="R512" s="19"/>
    </row>
    <row r="513" spans="7:18" x14ac:dyDescent="0.25">
      <c r="G513" s="19"/>
      <c r="J513" s="19"/>
      <c r="K513" s="19"/>
      <c r="L513" s="19"/>
      <c r="R513" s="19"/>
    </row>
    <row r="514" spans="7:18" x14ac:dyDescent="0.25">
      <c r="G514" s="19"/>
      <c r="J514" s="19"/>
      <c r="K514" s="19"/>
      <c r="L514" s="19"/>
      <c r="R514" s="19"/>
    </row>
    <row r="515" spans="7:18" x14ac:dyDescent="0.25">
      <c r="G515" s="19"/>
      <c r="J515" s="19"/>
      <c r="K515" s="19"/>
      <c r="L515" s="19"/>
      <c r="R515" s="19"/>
    </row>
    <row r="516" spans="7:18" x14ac:dyDescent="0.25">
      <c r="G516" s="19"/>
      <c r="J516" s="19"/>
      <c r="K516" s="19"/>
      <c r="L516" s="19"/>
      <c r="R516" s="19"/>
    </row>
    <row r="517" spans="7:18" x14ac:dyDescent="0.25">
      <c r="G517" s="19"/>
      <c r="J517" s="19"/>
      <c r="K517" s="19"/>
      <c r="L517" s="19"/>
      <c r="R517" s="19"/>
    </row>
    <row r="518" spans="7:18" x14ac:dyDescent="0.25">
      <c r="G518" s="19"/>
      <c r="J518" s="19"/>
      <c r="K518" s="19"/>
      <c r="L518" s="19"/>
      <c r="R518" s="19"/>
    </row>
    <row r="519" spans="7:18" x14ac:dyDescent="0.25">
      <c r="G519" s="19"/>
      <c r="J519" s="19"/>
      <c r="K519" s="19"/>
      <c r="L519" s="19"/>
      <c r="R519" s="19"/>
    </row>
    <row r="520" spans="7:18" x14ac:dyDescent="0.25">
      <c r="G520" s="19"/>
      <c r="J520" s="19"/>
      <c r="K520" s="19"/>
      <c r="L520" s="19"/>
      <c r="R520" s="19"/>
    </row>
    <row r="521" spans="7:18" x14ac:dyDescent="0.25">
      <c r="G521" s="19"/>
      <c r="J521" s="19"/>
      <c r="K521" s="19"/>
      <c r="L521" s="19"/>
      <c r="R521" s="19"/>
    </row>
    <row r="522" spans="7:18" x14ac:dyDescent="0.25">
      <c r="G522" s="19"/>
      <c r="J522" s="19"/>
      <c r="K522" s="19"/>
      <c r="L522" s="19"/>
      <c r="R522" s="19"/>
    </row>
    <row r="523" spans="7:18" x14ac:dyDescent="0.25">
      <c r="G523" s="19"/>
      <c r="J523" s="19"/>
      <c r="K523" s="19"/>
      <c r="L523" s="19"/>
      <c r="R523" s="19"/>
    </row>
    <row r="524" spans="7:18" x14ac:dyDescent="0.25">
      <c r="G524" s="19"/>
      <c r="J524" s="19"/>
      <c r="K524" s="19"/>
      <c r="L524" s="19"/>
      <c r="R524" s="19"/>
    </row>
    <row r="525" spans="7:18" x14ac:dyDescent="0.25">
      <c r="G525" s="19"/>
      <c r="J525" s="19"/>
      <c r="K525" s="19"/>
      <c r="L525" s="19"/>
      <c r="R525" s="19"/>
    </row>
    <row r="526" spans="7:18" x14ac:dyDescent="0.25">
      <c r="G526" s="19"/>
      <c r="J526" s="19"/>
      <c r="K526" s="19"/>
      <c r="L526" s="19"/>
      <c r="R526" s="19"/>
    </row>
    <row r="527" spans="7:18" x14ac:dyDescent="0.25">
      <c r="G527" s="19"/>
      <c r="J527" s="19"/>
      <c r="K527" s="19"/>
      <c r="L527" s="19"/>
      <c r="R527" s="19"/>
    </row>
    <row r="528" spans="7:18" x14ac:dyDescent="0.25">
      <c r="G528" s="19"/>
      <c r="J528" s="19"/>
      <c r="K528" s="19"/>
      <c r="L528" s="19"/>
      <c r="R528" s="19"/>
    </row>
    <row r="529" spans="7:18" x14ac:dyDescent="0.25">
      <c r="G529" s="19"/>
      <c r="J529" s="19"/>
      <c r="K529" s="19"/>
      <c r="L529" s="19"/>
      <c r="R529" s="19"/>
    </row>
    <row r="530" spans="7:18" x14ac:dyDescent="0.25">
      <c r="G530" s="19"/>
      <c r="J530" s="19"/>
      <c r="K530" s="19"/>
      <c r="L530" s="19"/>
      <c r="R530" s="19"/>
    </row>
    <row r="531" spans="7:18" x14ac:dyDescent="0.25">
      <c r="G531" s="19"/>
      <c r="J531" s="19"/>
      <c r="K531" s="19"/>
      <c r="L531" s="19"/>
      <c r="R531" s="19"/>
    </row>
    <row r="532" spans="7:18" x14ac:dyDescent="0.25">
      <c r="G532" s="19"/>
      <c r="J532" s="19"/>
      <c r="K532" s="19"/>
      <c r="L532" s="19"/>
      <c r="R532" s="19"/>
    </row>
    <row r="533" spans="7:18" x14ac:dyDescent="0.25">
      <c r="G533" s="19"/>
      <c r="J533" s="19"/>
      <c r="K533" s="19"/>
      <c r="L533" s="19"/>
      <c r="R533" s="19"/>
    </row>
    <row r="534" spans="7:18" x14ac:dyDescent="0.25">
      <c r="G534" s="19"/>
      <c r="J534" s="19"/>
      <c r="K534" s="19"/>
      <c r="L534" s="19"/>
      <c r="R534" s="19"/>
    </row>
    <row r="535" spans="7:18" x14ac:dyDescent="0.25">
      <c r="G535" s="19"/>
      <c r="J535" s="19"/>
      <c r="K535" s="19"/>
      <c r="L535" s="19"/>
      <c r="R535" s="19"/>
    </row>
    <row r="536" spans="7:18" x14ac:dyDescent="0.25">
      <c r="G536" s="19"/>
      <c r="J536" s="19"/>
      <c r="K536" s="19"/>
      <c r="L536" s="19"/>
      <c r="R536" s="19"/>
    </row>
    <row r="537" spans="7:18" x14ac:dyDescent="0.25">
      <c r="G537" s="19"/>
      <c r="J537" s="19"/>
      <c r="K537" s="19"/>
      <c r="L537" s="19"/>
      <c r="R537" s="19"/>
    </row>
    <row r="538" spans="7:18" x14ac:dyDescent="0.25">
      <c r="G538" s="19"/>
      <c r="J538" s="19"/>
      <c r="K538" s="19"/>
      <c r="L538" s="19"/>
      <c r="R538" s="19"/>
    </row>
    <row r="539" spans="7:18" x14ac:dyDescent="0.25">
      <c r="G539" s="19"/>
      <c r="J539" s="19"/>
      <c r="K539" s="19"/>
      <c r="L539" s="19"/>
      <c r="R539" s="19"/>
    </row>
    <row r="540" spans="7:18" x14ac:dyDescent="0.25">
      <c r="G540" s="19"/>
      <c r="J540" s="19"/>
      <c r="K540" s="19"/>
      <c r="L540" s="19"/>
      <c r="R540" s="19"/>
    </row>
    <row r="541" spans="7:18" x14ac:dyDescent="0.25">
      <c r="G541" s="19"/>
      <c r="J541" s="19"/>
      <c r="K541" s="19"/>
      <c r="L541" s="19"/>
      <c r="R541" s="19"/>
    </row>
    <row r="542" spans="7:18" x14ac:dyDescent="0.25">
      <c r="G542" s="19"/>
      <c r="J542" s="19"/>
      <c r="K542" s="19"/>
      <c r="L542" s="19"/>
      <c r="R542" s="19"/>
    </row>
    <row r="543" spans="7:18" x14ac:dyDescent="0.25">
      <c r="G543" s="19"/>
      <c r="J543" s="19"/>
      <c r="K543" s="19"/>
      <c r="L543" s="19"/>
      <c r="R543" s="19"/>
    </row>
    <row r="544" spans="7:18" x14ac:dyDescent="0.25">
      <c r="G544" s="19"/>
      <c r="J544" s="19"/>
      <c r="K544" s="19"/>
      <c r="L544" s="19"/>
      <c r="R544" s="19"/>
    </row>
    <row r="545" spans="7:18" x14ac:dyDescent="0.25">
      <c r="G545" s="19"/>
      <c r="J545" s="19"/>
      <c r="K545" s="19"/>
      <c r="L545" s="19"/>
      <c r="R545" s="19"/>
    </row>
    <row r="546" spans="7:18" x14ac:dyDescent="0.25">
      <c r="G546" s="19"/>
      <c r="J546" s="19"/>
      <c r="K546" s="19"/>
      <c r="L546" s="19"/>
      <c r="R546" s="19"/>
    </row>
    <row r="547" spans="7:18" x14ac:dyDescent="0.25">
      <c r="G547" s="19"/>
      <c r="J547" s="19"/>
      <c r="K547" s="19"/>
      <c r="L547" s="19"/>
      <c r="R547" s="19"/>
    </row>
    <row r="548" spans="7:18" x14ac:dyDescent="0.25">
      <c r="G548" s="19"/>
      <c r="J548" s="19"/>
      <c r="K548" s="19"/>
      <c r="L548" s="19"/>
      <c r="R548" s="19"/>
    </row>
    <row r="549" spans="7:18" x14ac:dyDescent="0.25">
      <c r="G549" s="19"/>
      <c r="J549" s="19"/>
      <c r="K549" s="19"/>
      <c r="L549" s="19"/>
      <c r="R549" s="19"/>
    </row>
    <row r="550" spans="7:18" x14ac:dyDescent="0.25">
      <c r="G550" s="19"/>
      <c r="J550" s="19"/>
      <c r="K550" s="19"/>
      <c r="L550" s="19"/>
      <c r="R550" s="19"/>
    </row>
    <row r="551" spans="7:18" x14ac:dyDescent="0.25">
      <c r="G551" s="19"/>
      <c r="J551" s="19"/>
      <c r="K551" s="19"/>
      <c r="L551" s="19"/>
      <c r="R551" s="19"/>
    </row>
    <row r="552" spans="7:18" x14ac:dyDescent="0.25">
      <c r="G552" s="19"/>
      <c r="J552" s="19"/>
      <c r="K552" s="19"/>
      <c r="L552" s="19"/>
      <c r="R552" s="19"/>
    </row>
    <row r="553" spans="7:18" x14ac:dyDescent="0.25">
      <c r="G553" s="19"/>
      <c r="J553" s="19"/>
      <c r="K553" s="19"/>
      <c r="L553" s="19"/>
      <c r="R553" s="19"/>
    </row>
    <row r="554" spans="7:18" x14ac:dyDescent="0.25">
      <c r="G554" s="19"/>
      <c r="J554" s="19"/>
      <c r="K554" s="19"/>
      <c r="L554" s="19"/>
      <c r="R554" s="19"/>
    </row>
    <row r="555" spans="7:18" x14ac:dyDescent="0.25">
      <c r="G555" s="19"/>
      <c r="J555" s="19"/>
      <c r="K555" s="19"/>
      <c r="L555" s="19"/>
      <c r="R555" s="19"/>
    </row>
    <row r="556" spans="7:18" x14ac:dyDescent="0.25">
      <c r="G556" s="19"/>
      <c r="J556" s="19"/>
      <c r="K556" s="19"/>
      <c r="L556" s="19"/>
      <c r="R556" s="19"/>
    </row>
    <row r="557" spans="7:18" x14ac:dyDescent="0.25">
      <c r="G557" s="19"/>
      <c r="J557" s="19"/>
      <c r="K557" s="19"/>
      <c r="L557" s="19"/>
      <c r="R557" s="19"/>
    </row>
    <row r="558" spans="7:18" x14ac:dyDescent="0.25">
      <c r="G558" s="19"/>
      <c r="J558" s="19"/>
      <c r="K558" s="19"/>
      <c r="L558" s="19"/>
      <c r="R558" s="19"/>
    </row>
    <row r="559" spans="7:18" x14ac:dyDescent="0.25">
      <c r="G559" s="19"/>
      <c r="J559" s="19"/>
      <c r="K559" s="19"/>
      <c r="L559" s="19"/>
      <c r="R559" s="19"/>
    </row>
    <row r="560" spans="7:18" x14ac:dyDescent="0.25">
      <c r="G560" s="19"/>
      <c r="J560" s="19"/>
      <c r="K560" s="19"/>
      <c r="L560" s="19"/>
      <c r="R560" s="19"/>
    </row>
    <row r="561" spans="7:18" x14ac:dyDescent="0.25">
      <c r="G561" s="19"/>
      <c r="J561" s="19"/>
      <c r="K561" s="19"/>
      <c r="L561" s="19"/>
      <c r="R561" s="19"/>
    </row>
    <row r="562" spans="7:18" x14ac:dyDescent="0.25">
      <c r="G562" s="19"/>
      <c r="J562" s="19"/>
      <c r="K562" s="19"/>
      <c r="L562" s="19"/>
      <c r="R562" s="19"/>
    </row>
    <row r="563" spans="7:18" x14ac:dyDescent="0.25">
      <c r="G563" s="19"/>
      <c r="J563" s="19"/>
      <c r="K563" s="19"/>
      <c r="L563" s="19"/>
      <c r="R563" s="19"/>
    </row>
    <row r="564" spans="7:18" x14ac:dyDescent="0.25">
      <c r="G564" s="19"/>
      <c r="J564" s="19"/>
      <c r="K564" s="19"/>
      <c r="L564" s="19"/>
      <c r="R564" s="19"/>
    </row>
    <row r="565" spans="7:18" x14ac:dyDescent="0.25">
      <c r="G565" s="19"/>
      <c r="J565" s="19"/>
      <c r="K565" s="19"/>
      <c r="L565" s="19"/>
      <c r="R565" s="19"/>
    </row>
    <row r="566" spans="7:18" x14ac:dyDescent="0.25">
      <c r="G566" s="19"/>
      <c r="J566" s="19"/>
      <c r="K566" s="19"/>
      <c r="L566" s="19"/>
      <c r="R566" s="19"/>
    </row>
    <row r="567" spans="7:18" x14ac:dyDescent="0.25">
      <c r="G567" s="19"/>
      <c r="J567" s="19"/>
      <c r="K567" s="19"/>
      <c r="L567" s="19"/>
      <c r="R567" s="19"/>
    </row>
    <row r="568" spans="7:18" x14ac:dyDescent="0.25">
      <c r="G568" s="19"/>
      <c r="J568" s="19"/>
      <c r="K568" s="19"/>
      <c r="L568" s="19"/>
      <c r="R568" s="19"/>
    </row>
    <row r="569" spans="7:18" x14ac:dyDescent="0.25">
      <c r="G569" s="19"/>
      <c r="J569" s="19"/>
      <c r="K569" s="19"/>
      <c r="L569" s="19"/>
      <c r="R569" s="19"/>
    </row>
    <row r="570" spans="7:18" x14ac:dyDescent="0.25">
      <c r="G570" s="19"/>
      <c r="J570" s="19"/>
      <c r="K570" s="19"/>
      <c r="L570" s="19"/>
      <c r="R570" s="19"/>
    </row>
    <row r="571" spans="7:18" x14ac:dyDescent="0.25">
      <c r="G571" s="19"/>
      <c r="J571" s="19"/>
      <c r="K571" s="19"/>
      <c r="L571" s="19"/>
      <c r="R571" s="19"/>
    </row>
    <row r="572" spans="7:18" x14ac:dyDescent="0.25">
      <c r="G572" s="19"/>
      <c r="J572" s="19"/>
      <c r="K572" s="19"/>
      <c r="L572" s="19"/>
      <c r="R572" s="19"/>
    </row>
    <row r="573" spans="7:18" x14ac:dyDescent="0.25">
      <c r="G573" s="19"/>
      <c r="J573" s="19"/>
      <c r="K573" s="19"/>
      <c r="L573" s="19"/>
      <c r="R573" s="19"/>
    </row>
    <row r="574" spans="7:18" x14ac:dyDescent="0.25">
      <c r="G574" s="19"/>
      <c r="J574" s="19"/>
      <c r="K574" s="19"/>
      <c r="L574" s="19"/>
      <c r="R574" s="19"/>
    </row>
    <row r="575" spans="7:18" x14ac:dyDescent="0.25">
      <c r="G575" s="19"/>
      <c r="J575" s="19"/>
      <c r="K575" s="19"/>
      <c r="L575" s="19"/>
      <c r="R575" s="19"/>
    </row>
    <row r="576" spans="7:18" x14ac:dyDescent="0.25">
      <c r="G576" s="19"/>
      <c r="J576" s="19"/>
      <c r="K576" s="19"/>
      <c r="L576" s="19"/>
      <c r="R576" s="19"/>
    </row>
    <row r="577" spans="7:18" x14ac:dyDescent="0.25">
      <c r="G577" s="19"/>
      <c r="J577" s="19"/>
      <c r="K577" s="19"/>
      <c r="L577" s="19"/>
      <c r="R577" s="19"/>
    </row>
    <row r="578" spans="7:18" x14ac:dyDescent="0.25">
      <c r="G578" s="19"/>
      <c r="J578" s="19"/>
      <c r="K578" s="19"/>
      <c r="L578" s="19"/>
      <c r="R578" s="19"/>
    </row>
    <row r="579" spans="7:18" x14ac:dyDescent="0.25">
      <c r="G579" s="19"/>
      <c r="J579" s="19"/>
      <c r="K579" s="19"/>
      <c r="L579" s="19"/>
      <c r="R579" s="19"/>
    </row>
    <row r="580" spans="7:18" x14ac:dyDescent="0.25">
      <c r="G580" s="19"/>
      <c r="J580" s="19"/>
      <c r="K580" s="19"/>
      <c r="L580" s="19"/>
      <c r="R580" s="19"/>
    </row>
    <row r="581" spans="7:18" x14ac:dyDescent="0.25">
      <c r="G581" s="19"/>
      <c r="J581" s="19"/>
      <c r="K581" s="19"/>
      <c r="L581" s="19"/>
      <c r="R581" s="19"/>
    </row>
    <row r="582" spans="7:18" x14ac:dyDescent="0.25">
      <c r="G582" s="19"/>
      <c r="J582" s="19"/>
      <c r="K582" s="19"/>
      <c r="L582" s="19"/>
      <c r="R582" s="19"/>
    </row>
    <row r="583" spans="7:18" x14ac:dyDescent="0.25">
      <c r="G583" s="19"/>
      <c r="J583" s="19"/>
      <c r="K583" s="19"/>
      <c r="L583" s="19"/>
      <c r="R583" s="19"/>
    </row>
    <row r="584" spans="7:18" x14ac:dyDescent="0.25">
      <c r="G584" s="19"/>
      <c r="J584" s="19"/>
      <c r="K584" s="19"/>
      <c r="L584" s="19"/>
      <c r="R584" s="19"/>
    </row>
    <row r="585" spans="7:18" x14ac:dyDescent="0.25">
      <c r="G585" s="19"/>
      <c r="J585" s="19"/>
      <c r="K585" s="19"/>
      <c r="L585" s="19"/>
      <c r="R585" s="19"/>
    </row>
    <row r="586" spans="7:18" x14ac:dyDescent="0.25">
      <c r="G586" s="19"/>
      <c r="J586" s="19"/>
      <c r="K586" s="19"/>
      <c r="L586" s="19"/>
      <c r="R586" s="19"/>
    </row>
    <row r="587" spans="7:18" x14ac:dyDescent="0.25">
      <c r="G587" s="19"/>
      <c r="J587" s="19"/>
      <c r="K587" s="19"/>
      <c r="L587" s="19"/>
      <c r="R587" s="19"/>
    </row>
    <row r="588" spans="7:18" x14ac:dyDescent="0.25">
      <c r="G588" s="19"/>
      <c r="J588" s="19"/>
      <c r="K588" s="19"/>
      <c r="L588" s="19"/>
      <c r="R588" s="19"/>
    </row>
    <row r="589" spans="7:18" x14ac:dyDescent="0.25">
      <c r="G589" s="19"/>
      <c r="J589" s="19"/>
      <c r="K589" s="19"/>
      <c r="L589" s="19"/>
      <c r="R589" s="19"/>
    </row>
    <row r="590" spans="7:18" x14ac:dyDescent="0.25">
      <c r="G590" s="19"/>
      <c r="J590" s="19"/>
      <c r="K590" s="19"/>
      <c r="L590" s="19"/>
      <c r="R590" s="19"/>
    </row>
    <row r="591" spans="7:18" x14ac:dyDescent="0.25">
      <c r="G591" s="19"/>
      <c r="J591" s="19"/>
      <c r="K591" s="19"/>
      <c r="L591" s="19"/>
      <c r="R591" s="19"/>
    </row>
    <row r="592" spans="7:18" x14ac:dyDescent="0.25">
      <c r="G592" s="19"/>
      <c r="J592" s="19"/>
      <c r="K592" s="19"/>
      <c r="L592" s="19"/>
      <c r="R592" s="19"/>
    </row>
    <row r="593" spans="7:18" x14ac:dyDescent="0.25">
      <c r="G593" s="19"/>
      <c r="J593" s="19"/>
      <c r="K593" s="19"/>
      <c r="L593" s="19"/>
      <c r="R593" s="19"/>
    </row>
    <row r="594" spans="7:18" x14ac:dyDescent="0.25">
      <c r="G594" s="19"/>
      <c r="J594" s="19"/>
      <c r="K594" s="19"/>
      <c r="L594" s="19"/>
      <c r="R594" s="19"/>
    </row>
    <row r="595" spans="7:18" x14ac:dyDescent="0.25">
      <c r="G595" s="19"/>
      <c r="J595" s="19"/>
      <c r="K595" s="19"/>
      <c r="L595" s="19"/>
      <c r="R595" s="19"/>
    </row>
    <row r="596" spans="7:18" x14ac:dyDescent="0.25">
      <c r="G596" s="19"/>
      <c r="J596" s="19"/>
      <c r="K596" s="19"/>
      <c r="L596" s="19"/>
      <c r="R596" s="19"/>
    </row>
    <row r="597" spans="7:18" x14ac:dyDescent="0.25">
      <c r="G597" s="19"/>
      <c r="J597" s="19"/>
      <c r="K597" s="19"/>
      <c r="L597" s="19"/>
      <c r="R597" s="19"/>
    </row>
    <row r="598" spans="7:18" x14ac:dyDescent="0.25">
      <c r="G598" s="19"/>
      <c r="J598" s="19"/>
      <c r="K598" s="19"/>
      <c r="L598" s="19"/>
      <c r="R598" s="19"/>
    </row>
    <row r="599" spans="7:18" x14ac:dyDescent="0.25">
      <c r="G599" s="19"/>
      <c r="J599" s="19"/>
      <c r="K599" s="19"/>
      <c r="L599" s="19"/>
      <c r="R599" s="19"/>
    </row>
    <row r="600" spans="7:18" x14ac:dyDescent="0.25">
      <c r="G600" s="19"/>
      <c r="J600" s="19"/>
      <c r="K600" s="19"/>
      <c r="L600" s="19"/>
      <c r="R600" s="19"/>
    </row>
    <row r="601" spans="7:18" x14ac:dyDescent="0.25">
      <c r="G601" s="19"/>
      <c r="J601" s="19"/>
      <c r="K601" s="19"/>
      <c r="L601" s="19"/>
      <c r="R601" s="19"/>
    </row>
    <row r="602" spans="7:18" x14ac:dyDescent="0.25">
      <c r="G602" s="19"/>
      <c r="J602" s="19"/>
      <c r="K602" s="19"/>
      <c r="L602" s="19"/>
      <c r="R602" s="19"/>
    </row>
    <row r="603" spans="7:18" x14ac:dyDescent="0.25">
      <c r="G603" s="19"/>
      <c r="J603" s="19"/>
      <c r="K603" s="19"/>
      <c r="L603" s="19"/>
      <c r="R603" s="19"/>
    </row>
    <row r="604" spans="7:18" x14ac:dyDescent="0.25">
      <c r="G604" s="19"/>
      <c r="J604" s="19"/>
      <c r="K604" s="19"/>
      <c r="L604" s="19"/>
      <c r="R604" s="19"/>
    </row>
    <row r="605" spans="7:18" x14ac:dyDescent="0.25">
      <c r="G605" s="19"/>
      <c r="J605" s="19"/>
      <c r="K605" s="19"/>
      <c r="L605" s="19"/>
      <c r="R605" s="19"/>
    </row>
    <row r="606" spans="7:18" x14ac:dyDescent="0.25">
      <c r="G606" s="19"/>
      <c r="J606" s="19"/>
      <c r="K606" s="19"/>
      <c r="L606" s="19"/>
      <c r="R606" s="19"/>
    </row>
    <row r="607" spans="7:18" x14ac:dyDescent="0.25">
      <c r="G607" s="19"/>
      <c r="J607" s="19"/>
      <c r="K607" s="19"/>
      <c r="L607" s="19"/>
      <c r="R607" s="19"/>
    </row>
    <row r="608" spans="7:18" x14ac:dyDescent="0.25">
      <c r="G608" s="19"/>
      <c r="J608" s="19"/>
      <c r="K608" s="19"/>
      <c r="L608" s="19"/>
      <c r="R608" s="19"/>
    </row>
    <row r="609" spans="7:18" x14ac:dyDescent="0.25">
      <c r="G609" s="19"/>
      <c r="J609" s="19"/>
      <c r="K609" s="19"/>
      <c r="L609" s="19"/>
      <c r="R609" s="19"/>
    </row>
    <row r="610" spans="7:18" x14ac:dyDescent="0.25">
      <c r="G610" s="19"/>
      <c r="J610" s="19"/>
      <c r="K610" s="19"/>
      <c r="L610" s="19"/>
      <c r="R610" s="19"/>
    </row>
    <row r="611" spans="7:18" x14ac:dyDescent="0.25">
      <c r="G611" s="19"/>
      <c r="J611" s="19"/>
      <c r="K611" s="19"/>
      <c r="L611" s="19"/>
      <c r="R611" s="19"/>
    </row>
    <row r="612" spans="7:18" x14ac:dyDescent="0.25">
      <c r="G612" s="19"/>
      <c r="J612" s="19"/>
      <c r="K612" s="19"/>
      <c r="L612" s="19"/>
      <c r="R612" s="19"/>
    </row>
    <row r="613" spans="7:18" x14ac:dyDescent="0.25">
      <c r="G613" s="19"/>
      <c r="J613" s="19"/>
      <c r="K613" s="19"/>
      <c r="L613" s="19"/>
      <c r="R613" s="19"/>
    </row>
    <row r="614" spans="7:18" x14ac:dyDescent="0.25">
      <c r="G614" s="19"/>
      <c r="J614" s="19"/>
      <c r="K614" s="19"/>
      <c r="L614" s="19"/>
      <c r="R614" s="19"/>
    </row>
    <row r="615" spans="7:18" x14ac:dyDescent="0.25">
      <c r="G615" s="19"/>
      <c r="J615" s="19"/>
      <c r="K615" s="19"/>
      <c r="L615" s="19"/>
      <c r="R615" s="19"/>
    </row>
    <row r="616" spans="7:18" x14ac:dyDescent="0.25">
      <c r="G616" s="19"/>
      <c r="J616" s="19"/>
      <c r="K616" s="19"/>
      <c r="L616" s="19"/>
      <c r="R616" s="19"/>
    </row>
    <row r="617" spans="7:18" x14ac:dyDescent="0.25">
      <c r="G617" s="19"/>
      <c r="J617" s="19"/>
      <c r="K617" s="19"/>
      <c r="L617" s="19"/>
      <c r="R617" s="19"/>
    </row>
    <row r="618" spans="7:18" x14ac:dyDescent="0.25">
      <c r="G618" s="19"/>
      <c r="J618" s="19"/>
      <c r="K618" s="19"/>
      <c r="L618" s="19"/>
      <c r="R618" s="19"/>
    </row>
    <row r="619" spans="7:18" x14ac:dyDescent="0.25">
      <c r="G619" s="19"/>
      <c r="J619" s="19"/>
      <c r="K619" s="19"/>
      <c r="L619" s="19"/>
      <c r="R619" s="19"/>
    </row>
    <row r="620" spans="7:18" x14ac:dyDescent="0.25">
      <c r="G620" s="19"/>
      <c r="J620" s="19"/>
      <c r="K620" s="19"/>
      <c r="L620" s="19"/>
      <c r="R620" s="19"/>
    </row>
    <row r="621" spans="7:18" x14ac:dyDescent="0.25">
      <c r="G621" s="19"/>
      <c r="J621" s="19"/>
      <c r="K621" s="19"/>
      <c r="L621" s="19"/>
      <c r="R621" s="19"/>
    </row>
    <row r="622" spans="7:18" x14ac:dyDescent="0.25">
      <c r="G622" s="19"/>
      <c r="J622" s="19"/>
      <c r="K622" s="19"/>
      <c r="L622" s="19"/>
      <c r="R622" s="19"/>
    </row>
    <row r="623" spans="7:18" x14ac:dyDescent="0.25">
      <c r="G623" s="19"/>
      <c r="J623" s="19"/>
      <c r="K623" s="19"/>
      <c r="L623" s="19"/>
      <c r="R623" s="19"/>
    </row>
    <row r="624" spans="7:18" x14ac:dyDescent="0.25">
      <c r="G624" s="19"/>
      <c r="J624" s="19"/>
      <c r="K624" s="19"/>
      <c r="L624" s="19"/>
      <c r="R624" s="19"/>
    </row>
    <row r="625" spans="7:18" x14ac:dyDescent="0.25">
      <c r="G625" s="19"/>
      <c r="J625" s="19"/>
      <c r="K625" s="19"/>
      <c r="L625" s="19"/>
      <c r="R625" s="19"/>
    </row>
    <row r="626" spans="7:18" x14ac:dyDescent="0.25">
      <c r="G626" s="19"/>
      <c r="J626" s="19"/>
      <c r="K626" s="19"/>
      <c r="L626" s="19"/>
      <c r="R626" s="19"/>
    </row>
    <row r="627" spans="7:18" x14ac:dyDescent="0.25">
      <c r="G627" s="19"/>
      <c r="J627" s="19"/>
      <c r="K627" s="19"/>
      <c r="L627" s="19"/>
      <c r="R627" s="19"/>
    </row>
    <row r="628" spans="7:18" x14ac:dyDescent="0.25">
      <c r="G628" s="19"/>
      <c r="J628" s="19"/>
      <c r="K628" s="19"/>
      <c r="L628" s="19"/>
      <c r="R628" s="19"/>
    </row>
    <row r="629" spans="7:18" x14ac:dyDescent="0.25">
      <c r="G629" s="19"/>
      <c r="J629" s="19"/>
      <c r="K629" s="19"/>
      <c r="L629" s="19"/>
      <c r="R629" s="19"/>
    </row>
    <row r="630" spans="7:18" x14ac:dyDescent="0.25">
      <c r="G630" s="19"/>
      <c r="J630" s="19"/>
      <c r="K630" s="19"/>
      <c r="L630" s="19"/>
      <c r="R630" s="19"/>
    </row>
    <row r="631" spans="7:18" x14ac:dyDescent="0.25">
      <c r="G631" s="19"/>
      <c r="J631" s="19"/>
      <c r="K631" s="19"/>
      <c r="L631" s="19"/>
      <c r="R631" s="19"/>
    </row>
    <row r="632" spans="7:18" x14ac:dyDescent="0.25">
      <c r="G632" s="19"/>
      <c r="J632" s="19"/>
      <c r="K632" s="19"/>
      <c r="L632" s="19"/>
      <c r="R632" s="19"/>
    </row>
    <row r="633" spans="7:18" x14ac:dyDescent="0.25">
      <c r="G633" s="19"/>
      <c r="J633" s="19"/>
      <c r="K633" s="19"/>
      <c r="L633" s="19"/>
      <c r="R633" s="19"/>
    </row>
    <row r="634" spans="7:18" x14ac:dyDescent="0.25">
      <c r="G634" s="19"/>
      <c r="J634" s="19"/>
      <c r="K634" s="19"/>
      <c r="L634" s="19"/>
      <c r="R634" s="19"/>
    </row>
    <row r="635" spans="7:18" x14ac:dyDescent="0.25">
      <c r="G635" s="19"/>
      <c r="J635" s="19"/>
      <c r="K635" s="19"/>
      <c r="L635" s="19"/>
      <c r="R635" s="19"/>
    </row>
    <row r="636" spans="7:18" x14ac:dyDescent="0.25">
      <c r="G636" s="19"/>
      <c r="J636" s="19"/>
      <c r="K636" s="19"/>
      <c r="L636" s="19"/>
      <c r="R636" s="19"/>
    </row>
    <row r="637" spans="7:18" x14ac:dyDescent="0.25">
      <c r="G637" s="19"/>
      <c r="J637" s="19"/>
      <c r="K637" s="19"/>
      <c r="L637" s="19"/>
      <c r="R637" s="19"/>
    </row>
    <row r="638" spans="7:18" x14ac:dyDescent="0.25">
      <c r="G638" s="19"/>
      <c r="J638" s="19"/>
      <c r="K638" s="19"/>
      <c r="L638" s="19"/>
      <c r="R638" s="19"/>
    </row>
    <row r="639" spans="7:18" x14ac:dyDescent="0.25">
      <c r="G639" s="19"/>
      <c r="J639" s="19"/>
      <c r="K639" s="19"/>
      <c r="L639" s="19"/>
      <c r="R639" s="19"/>
    </row>
    <row r="640" spans="7:18" x14ac:dyDescent="0.25">
      <c r="G640" s="19"/>
      <c r="J640" s="19"/>
      <c r="K640" s="19"/>
      <c r="L640" s="19"/>
      <c r="R640" s="19"/>
    </row>
    <row r="641" spans="7:18" x14ac:dyDescent="0.25">
      <c r="G641" s="19"/>
      <c r="J641" s="19"/>
      <c r="K641" s="19"/>
      <c r="L641" s="19"/>
      <c r="R641" s="19"/>
    </row>
    <row r="642" spans="7:18" x14ac:dyDescent="0.25">
      <c r="G642" s="19"/>
      <c r="J642" s="19"/>
      <c r="K642" s="19"/>
      <c r="L642" s="19"/>
      <c r="R642" s="19"/>
    </row>
    <row r="643" spans="7:18" x14ac:dyDescent="0.25">
      <c r="G643" s="19"/>
      <c r="J643" s="19"/>
      <c r="K643" s="19"/>
      <c r="L643" s="19"/>
      <c r="R643" s="19"/>
    </row>
    <row r="644" spans="7:18" x14ac:dyDescent="0.25">
      <c r="G644" s="19"/>
      <c r="J644" s="19"/>
      <c r="K644" s="19"/>
      <c r="L644" s="19"/>
      <c r="R644" s="19"/>
    </row>
    <row r="645" spans="7:18" x14ac:dyDescent="0.25">
      <c r="G645" s="19"/>
      <c r="J645" s="19"/>
      <c r="K645" s="19"/>
      <c r="L645" s="19"/>
      <c r="R645" s="19"/>
    </row>
    <row r="646" spans="7:18" x14ac:dyDescent="0.25">
      <c r="G646" s="19"/>
      <c r="J646" s="19"/>
      <c r="K646" s="19"/>
      <c r="L646" s="19"/>
      <c r="R646" s="19"/>
    </row>
    <row r="647" spans="7:18" x14ac:dyDescent="0.25">
      <c r="G647" s="19"/>
      <c r="J647" s="19"/>
      <c r="K647" s="19"/>
      <c r="L647" s="19"/>
      <c r="R647" s="19"/>
    </row>
    <row r="648" spans="7:18" x14ac:dyDescent="0.25">
      <c r="G648" s="19"/>
      <c r="J648" s="19"/>
      <c r="K648" s="19"/>
      <c r="L648" s="19"/>
      <c r="R648" s="19"/>
    </row>
    <row r="649" spans="7:18" x14ac:dyDescent="0.25">
      <c r="G649" s="19"/>
      <c r="J649" s="19"/>
      <c r="K649" s="19"/>
      <c r="L649" s="19"/>
      <c r="R649" s="19"/>
    </row>
    <row r="650" spans="7:18" x14ac:dyDescent="0.25">
      <c r="G650" s="19"/>
      <c r="J650" s="19"/>
      <c r="K650" s="19"/>
      <c r="L650" s="19"/>
      <c r="R650" s="19"/>
    </row>
    <row r="651" spans="7:18" x14ac:dyDescent="0.25">
      <c r="G651" s="19"/>
      <c r="J651" s="19"/>
      <c r="K651" s="19"/>
      <c r="L651" s="19"/>
      <c r="R651" s="19"/>
    </row>
    <row r="652" spans="7:18" x14ac:dyDescent="0.25">
      <c r="G652" s="19"/>
      <c r="J652" s="19"/>
      <c r="K652" s="19"/>
      <c r="L652" s="19"/>
      <c r="R652" s="19"/>
    </row>
    <row r="653" spans="7:18" x14ac:dyDescent="0.25">
      <c r="G653" s="19"/>
      <c r="J653" s="19"/>
      <c r="K653" s="19"/>
      <c r="L653" s="19"/>
      <c r="R653" s="19"/>
    </row>
    <row r="654" spans="7:18" x14ac:dyDescent="0.25">
      <c r="G654" s="19"/>
      <c r="J654" s="19"/>
      <c r="K654" s="19"/>
      <c r="L654" s="19"/>
      <c r="R654" s="19"/>
    </row>
    <row r="655" spans="7:18" x14ac:dyDescent="0.25">
      <c r="G655" s="19"/>
      <c r="J655" s="19"/>
      <c r="K655" s="19"/>
      <c r="L655" s="19"/>
      <c r="R655" s="19"/>
    </row>
    <row r="656" spans="7:18" x14ac:dyDescent="0.25">
      <c r="G656" s="19"/>
      <c r="J656" s="19"/>
      <c r="K656" s="19"/>
      <c r="L656" s="19"/>
      <c r="R656" s="19"/>
    </row>
    <row r="657" spans="7:18" x14ac:dyDescent="0.25">
      <c r="G657" s="19"/>
      <c r="J657" s="19"/>
      <c r="K657" s="19"/>
      <c r="L657" s="19"/>
      <c r="R657" s="19"/>
    </row>
    <row r="658" spans="7:18" x14ac:dyDescent="0.25">
      <c r="G658" s="19"/>
      <c r="J658" s="19"/>
      <c r="K658" s="19"/>
      <c r="L658" s="19"/>
      <c r="R658" s="19"/>
    </row>
    <row r="659" spans="7:18" x14ac:dyDescent="0.25">
      <c r="G659" s="19"/>
      <c r="J659" s="19"/>
      <c r="K659" s="19"/>
      <c r="L659" s="19"/>
      <c r="R659" s="19"/>
    </row>
    <row r="660" spans="7:18" x14ac:dyDescent="0.25">
      <c r="G660" s="19"/>
      <c r="J660" s="19"/>
      <c r="K660" s="19"/>
      <c r="L660" s="19"/>
      <c r="R660" s="19"/>
    </row>
    <row r="661" spans="7:18" x14ac:dyDescent="0.25">
      <c r="G661" s="19"/>
      <c r="J661" s="19"/>
      <c r="K661" s="19"/>
      <c r="L661" s="19"/>
      <c r="R661" s="19"/>
    </row>
    <row r="662" spans="7:18" x14ac:dyDescent="0.25">
      <c r="G662" s="19"/>
      <c r="J662" s="19"/>
      <c r="K662" s="19"/>
      <c r="L662" s="19"/>
      <c r="R662" s="19"/>
    </row>
    <row r="663" spans="7:18" x14ac:dyDescent="0.25">
      <c r="G663" s="19"/>
      <c r="J663" s="19"/>
      <c r="K663" s="19"/>
      <c r="L663" s="19"/>
      <c r="R663" s="19"/>
    </row>
    <row r="664" spans="7:18" x14ac:dyDescent="0.25">
      <c r="G664" s="19"/>
      <c r="J664" s="19"/>
      <c r="K664" s="19"/>
      <c r="L664" s="19"/>
      <c r="R664" s="19"/>
    </row>
    <row r="665" spans="7:18" x14ac:dyDescent="0.25">
      <c r="G665" s="19"/>
      <c r="J665" s="19"/>
      <c r="K665" s="19"/>
      <c r="L665" s="19"/>
      <c r="R665" s="19"/>
    </row>
    <row r="666" spans="7:18" x14ac:dyDescent="0.25">
      <c r="G666" s="19"/>
      <c r="J666" s="19"/>
      <c r="K666" s="19"/>
      <c r="L666" s="19"/>
      <c r="R666" s="19"/>
    </row>
    <row r="667" spans="7:18" x14ac:dyDescent="0.25">
      <c r="G667" s="19"/>
      <c r="J667" s="19"/>
      <c r="K667" s="19"/>
      <c r="L667" s="19"/>
      <c r="R667" s="19"/>
    </row>
    <row r="668" spans="7:18" x14ac:dyDescent="0.25">
      <c r="G668" s="19"/>
      <c r="J668" s="19"/>
      <c r="K668" s="19"/>
      <c r="L668" s="19"/>
      <c r="R668" s="19"/>
    </row>
    <row r="669" spans="7:18" x14ac:dyDescent="0.25">
      <c r="G669" s="19"/>
      <c r="J669" s="19"/>
      <c r="K669" s="19"/>
      <c r="L669" s="19"/>
      <c r="R669" s="19"/>
    </row>
    <row r="670" spans="7:18" x14ac:dyDescent="0.25">
      <c r="G670" s="19"/>
      <c r="J670" s="19"/>
      <c r="K670" s="19"/>
      <c r="L670" s="19"/>
      <c r="R670" s="19"/>
    </row>
    <row r="671" spans="7:18" x14ac:dyDescent="0.25">
      <c r="G671" s="19"/>
      <c r="J671" s="19"/>
      <c r="K671" s="19"/>
      <c r="L671" s="19"/>
      <c r="R671" s="19"/>
    </row>
    <row r="672" spans="7:18" x14ac:dyDescent="0.25">
      <c r="G672" s="19"/>
      <c r="J672" s="19"/>
      <c r="K672" s="19"/>
      <c r="L672" s="19"/>
      <c r="R672" s="19"/>
    </row>
    <row r="673" spans="7:18" x14ac:dyDescent="0.25">
      <c r="G673" s="19"/>
      <c r="J673" s="19"/>
      <c r="K673" s="19"/>
      <c r="L673" s="19"/>
      <c r="R673" s="19"/>
    </row>
    <row r="674" spans="7:18" x14ac:dyDescent="0.25">
      <c r="G674" s="19"/>
      <c r="J674" s="19"/>
      <c r="K674" s="19"/>
      <c r="L674" s="19"/>
      <c r="R674" s="19"/>
    </row>
    <row r="675" spans="7:18" x14ac:dyDescent="0.25">
      <c r="G675" s="19"/>
      <c r="J675" s="19"/>
      <c r="K675" s="19"/>
      <c r="L675" s="19"/>
      <c r="R675" s="19"/>
    </row>
    <row r="676" spans="7:18" x14ac:dyDescent="0.25">
      <c r="G676" s="19"/>
      <c r="J676" s="19"/>
      <c r="K676" s="19"/>
      <c r="L676" s="19"/>
      <c r="R676" s="19"/>
    </row>
    <row r="677" spans="7:18" x14ac:dyDescent="0.25">
      <c r="G677" s="19"/>
      <c r="J677" s="19"/>
      <c r="K677" s="19"/>
      <c r="L677" s="19"/>
      <c r="R677" s="19"/>
    </row>
    <row r="678" spans="7:18" x14ac:dyDescent="0.25">
      <c r="G678" s="19"/>
      <c r="J678" s="19"/>
      <c r="K678" s="19"/>
      <c r="L678" s="19"/>
      <c r="R678" s="19"/>
    </row>
    <row r="679" spans="7:18" x14ac:dyDescent="0.25">
      <c r="G679" s="19"/>
      <c r="J679" s="19"/>
      <c r="K679" s="19"/>
      <c r="L679" s="19"/>
      <c r="R679" s="19"/>
    </row>
    <row r="680" spans="7:18" x14ac:dyDescent="0.25">
      <c r="G680" s="19"/>
      <c r="J680" s="19"/>
      <c r="K680" s="19"/>
      <c r="L680" s="19"/>
      <c r="R680" s="19"/>
    </row>
    <row r="681" spans="7:18" x14ac:dyDescent="0.25">
      <c r="G681" s="19"/>
      <c r="J681" s="19"/>
      <c r="K681" s="19"/>
      <c r="L681" s="19"/>
      <c r="R681" s="19"/>
    </row>
    <row r="682" spans="7:18" x14ac:dyDescent="0.25">
      <c r="G682" s="19"/>
      <c r="J682" s="19"/>
      <c r="K682" s="19"/>
      <c r="L682" s="19"/>
      <c r="R682" s="19"/>
    </row>
    <row r="683" spans="7:18" x14ac:dyDescent="0.25">
      <c r="G683" s="19"/>
      <c r="J683" s="19"/>
      <c r="K683" s="19"/>
      <c r="L683" s="19"/>
      <c r="R683" s="19"/>
    </row>
    <row r="684" spans="7:18" x14ac:dyDescent="0.25">
      <c r="G684" s="19"/>
      <c r="J684" s="19"/>
      <c r="K684" s="19"/>
      <c r="L684" s="19"/>
      <c r="R684" s="19"/>
    </row>
    <row r="685" spans="7:18" x14ac:dyDescent="0.25">
      <c r="G685" s="19"/>
      <c r="J685" s="19"/>
      <c r="K685" s="19"/>
      <c r="L685" s="19"/>
      <c r="R685" s="19"/>
    </row>
    <row r="686" spans="7:18" x14ac:dyDescent="0.25">
      <c r="G686" s="19"/>
      <c r="J686" s="19"/>
      <c r="K686" s="19"/>
      <c r="L686" s="19"/>
      <c r="R686" s="19"/>
    </row>
    <row r="687" spans="7:18" x14ac:dyDescent="0.25">
      <c r="G687" s="19"/>
      <c r="J687" s="19"/>
      <c r="K687" s="19"/>
      <c r="L687" s="19"/>
      <c r="R687" s="19"/>
    </row>
    <row r="688" spans="7:18" x14ac:dyDescent="0.25">
      <c r="G688" s="19"/>
      <c r="J688" s="19"/>
      <c r="K688" s="19"/>
      <c r="L688" s="19"/>
      <c r="R688" s="19"/>
    </row>
    <row r="689" spans="7:18" x14ac:dyDescent="0.25">
      <c r="G689" s="19"/>
      <c r="J689" s="19"/>
      <c r="K689" s="19"/>
      <c r="L689" s="19"/>
      <c r="R689" s="19"/>
    </row>
    <row r="690" spans="7:18" x14ac:dyDescent="0.25">
      <c r="G690" s="19"/>
      <c r="J690" s="19"/>
      <c r="K690" s="19"/>
      <c r="L690" s="19"/>
      <c r="R690" s="19"/>
    </row>
    <row r="691" spans="7:18" x14ac:dyDescent="0.25">
      <c r="G691" s="19"/>
      <c r="J691" s="19"/>
      <c r="K691" s="19"/>
      <c r="L691" s="19"/>
      <c r="R691" s="19"/>
    </row>
    <row r="692" spans="7:18" x14ac:dyDescent="0.25">
      <c r="G692" s="19"/>
      <c r="J692" s="19"/>
      <c r="K692" s="19"/>
      <c r="L692" s="19"/>
      <c r="R692" s="19"/>
    </row>
    <row r="693" spans="7:18" x14ac:dyDescent="0.25">
      <c r="G693" s="19"/>
      <c r="J693" s="19"/>
      <c r="K693" s="19"/>
      <c r="L693" s="19"/>
      <c r="R693" s="19"/>
    </row>
    <row r="694" spans="7:18" x14ac:dyDescent="0.25">
      <c r="G694" s="19"/>
      <c r="J694" s="19"/>
      <c r="K694" s="19"/>
      <c r="L694" s="19"/>
      <c r="R694" s="19"/>
    </row>
    <row r="695" spans="7:18" x14ac:dyDescent="0.25">
      <c r="G695" s="19"/>
      <c r="J695" s="19"/>
      <c r="K695" s="19"/>
      <c r="L695" s="19"/>
      <c r="R695" s="19"/>
    </row>
    <row r="696" spans="7:18" x14ac:dyDescent="0.25">
      <c r="G696" s="19"/>
      <c r="J696" s="19"/>
      <c r="K696" s="19"/>
      <c r="L696" s="19"/>
      <c r="R696" s="19"/>
    </row>
    <row r="697" spans="7:18" x14ac:dyDescent="0.25">
      <c r="G697" s="19"/>
      <c r="J697" s="19"/>
      <c r="K697" s="19"/>
      <c r="L697" s="19"/>
      <c r="R697" s="19"/>
    </row>
    <row r="698" spans="7:18" x14ac:dyDescent="0.25">
      <c r="G698" s="19"/>
      <c r="J698" s="19"/>
      <c r="K698" s="19"/>
      <c r="L698" s="19"/>
      <c r="R698" s="19"/>
    </row>
    <row r="699" spans="7:18" x14ac:dyDescent="0.25">
      <c r="G699" s="19"/>
      <c r="J699" s="19"/>
      <c r="K699" s="19"/>
      <c r="L699" s="19"/>
      <c r="R699" s="19"/>
    </row>
    <row r="700" spans="7:18" x14ac:dyDescent="0.25">
      <c r="G700" s="19"/>
      <c r="J700" s="19"/>
      <c r="K700" s="19"/>
      <c r="L700" s="19"/>
      <c r="R700" s="19"/>
    </row>
    <row r="701" spans="7:18" x14ac:dyDescent="0.25">
      <c r="G701" s="19"/>
      <c r="J701" s="19"/>
      <c r="K701" s="19"/>
      <c r="L701" s="19"/>
      <c r="R701" s="19"/>
    </row>
    <row r="702" spans="7:18" x14ac:dyDescent="0.25">
      <c r="G702" s="19"/>
      <c r="J702" s="19"/>
      <c r="K702" s="19"/>
      <c r="L702" s="19"/>
      <c r="R702" s="19"/>
    </row>
    <row r="703" spans="7:18" x14ac:dyDescent="0.25">
      <c r="G703" s="19"/>
      <c r="J703" s="19"/>
      <c r="K703" s="19"/>
      <c r="L703" s="19"/>
      <c r="R703" s="19"/>
    </row>
    <row r="704" spans="7:18" x14ac:dyDescent="0.25">
      <c r="G704" s="19"/>
      <c r="J704" s="19"/>
      <c r="K704" s="19"/>
      <c r="L704" s="19"/>
      <c r="R704" s="19"/>
    </row>
    <row r="705" spans="7:18" x14ac:dyDescent="0.25">
      <c r="G705" s="19"/>
      <c r="J705" s="19"/>
      <c r="K705" s="19"/>
      <c r="L705" s="19"/>
      <c r="R705" s="19"/>
    </row>
    <row r="706" spans="7:18" x14ac:dyDescent="0.25">
      <c r="G706" s="19"/>
      <c r="J706" s="19"/>
      <c r="K706" s="19"/>
      <c r="L706" s="19"/>
      <c r="R706" s="19"/>
    </row>
    <row r="707" spans="7:18" x14ac:dyDescent="0.25">
      <c r="G707" s="19"/>
      <c r="J707" s="19"/>
      <c r="K707" s="19"/>
      <c r="L707" s="19"/>
      <c r="R707" s="19"/>
    </row>
    <row r="708" spans="7:18" x14ac:dyDescent="0.25">
      <c r="G708" s="19"/>
      <c r="J708" s="19"/>
      <c r="K708" s="19"/>
      <c r="L708" s="19"/>
      <c r="R708" s="19"/>
    </row>
    <row r="709" spans="7:18" x14ac:dyDescent="0.25">
      <c r="G709" s="19"/>
      <c r="J709" s="19"/>
      <c r="K709" s="19"/>
      <c r="L709" s="19"/>
      <c r="R709" s="19"/>
    </row>
    <row r="710" spans="7:18" x14ac:dyDescent="0.25">
      <c r="G710" s="19"/>
      <c r="J710" s="19"/>
      <c r="K710" s="19"/>
      <c r="L710" s="19"/>
      <c r="R710" s="19"/>
    </row>
    <row r="711" spans="7:18" x14ac:dyDescent="0.25">
      <c r="G711" s="19"/>
      <c r="J711" s="19"/>
      <c r="K711" s="19"/>
      <c r="L711" s="19"/>
      <c r="R711" s="19"/>
    </row>
    <row r="712" spans="7:18" x14ac:dyDescent="0.25">
      <c r="G712" s="19"/>
      <c r="J712" s="19"/>
      <c r="K712" s="19"/>
      <c r="L712" s="19"/>
      <c r="R712" s="19"/>
    </row>
    <row r="713" spans="7:18" x14ac:dyDescent="0.25">
      <c r="G713" s="19"/>
      <c r="J713" s="19"/>
      <c r="K713" s="19"/>
      <c r="L713" s="19"/>
      <c r="R713" s="19"/>
    </row>
    <row r="714" spans="7:18" x14ac:dyDescent="0.25">
      <c r="G714" s="19"/>
      <c r="J714" s="19"/>
      <c r="K714" s="19"/>
      <c r="L714" s="19"/>
      <c r="R714" s="19"/>
    </row>
    <row r="715" spans="7:18" x14ac:dyDescent="0.25">
      <c r="G715" s="19"/>
      <c r="J715" s="19"/>
      <c r="K715" s="19"/>
      <c r="L715" s="19"/>
      <c r="R715" s="19"/>
    </row>
    <row r="716" spans="7:18" x14ac:dyDescent="0.25">
      <c r="G716" s="19"/>
      <c r="J716" s="19"/>
      <c r="K716" s="19"/>
      <c r="L716" s="19"/>
      <c r="R716" s="19"/>
    </row>
    <row r="717" spans="7:18" x14ac:dyDescent="0.25">
      <c r="G717" s="19"/>
      <c r="J717" s="19"/>
      <c r="K717" s="19"/>
      <c r="L717" s="19"/>
      <c r="R717" s="19"/>
    </row>
    <row r="718" spans="7:18" x14ac:dyDescent="0.25">
      <c r="G718" s="19"/>
      <c r="J718" s="19"/>
      <c r="K718" s="19"/>
      <c r="L718" s="19"/>
      <c r="R718" s="19"/>
    </row>
    <row r="719" spans="7:18" x14ac:dyDescent="0.25">
      <c r="G719" s="19"/>
      <c r="J719" s="19"/>
      <c r="K719" s="19"/>
      <c r="L719" s="19"/>
      <c r="R719" s="19"/>
    </row>
    <row r="720" spans="7:18" x14ac:dyDescent="0.25">
      <c r="G720" s="19"/>
      <c r="J720" s="19"/>
      <c r="K720" s="19"/>
      <c r="L720" s="19"/>
      <c r="R720" s="19"/>
    </row>
    <row r="721" spans="7:18" x14ac:dyDescent="0.25">
      <c r="G721" s="19"/>
      <c r="J721" s="19"/>
      <c r="K721" s="19"/>
      <c r="L721" s="19"/>
      <c r="R721" s="19"/>
    </row>
    <row r="722" spans="7:18" x14ac:dyDescent="0.25">
      <c r="G722" s="19"/>
      <c r="J722" s="19"/>
      <c r="K722" s="19"/>
      <c r="L722" s="19"/>
      <c r="R722" s="19"/>
    </row>
    <row r="723" spans="7:18" x14ac:dyDescent="0.25">
      <c r="G723" s="19"/>
      <c r="J723" s="19"/>
      <c r="K723" s="19"/>
      <c r="L723" s="19"/>
      <c r="R723" s="19"/>
    </row>
    <row r="724" spans="7:18" x14ac:dyDescent="0.25">
      <c r="G724" s="19"/>
      <c r="J724" s="19"/>
      <c r="K724" s="19"/>
      <c r="L724" s="19"/>
      <c r="R724" s="19"/>
    </row>
    <row r="725" spans="7:18" x14ac:dyDescent="0.25">
      <c r="G725" s="19"/>
      <c r="J725" s="19"/>
      <c r="K725" s="19"/>
      <c r="L725" s="19"/>
      <c r="R725" s="19"/>
    </row>
    <row r="726" spans="7:18" x14ac:dyDescent="0.25">
      <c r="G726" s="19"/>
      <c r="J726" s="19"/>
      <c r="K726" s="19"/>
      <c r="L726" s="19"/>
      <c r="R726" s="19"/>
    </row>
    <row r="727" spans="7:18" x14ac:dyDescent="0.25">
      <c r="G727" s="19"/>
      <c r="J727" s="19"/>
      <c r="K727" s="19"/>
      <c r="L727" s="19"/>
      <c r="R727" s="19"/>
    </row>
    <row r="728" spans="7:18" x14ac:dyDescent="0.25">
      <c r="G728" s="19"/>
      <c r="J728" s="19"/>
      <c r="K728" s="19"/>
      <c r="L728" s="19"/>
      <c r="R728" s="19"/>
    </row>
    <row r="729" spans="7:18" x14ac:dyDescent="0.25">
      <c r="G729" s="19"/>
      <c r="J729" s="19"/>
      <c r="K729" s="19"/>
      <c r="L729" s="19"/>
      <c r="R729" s="19"/>
    </row>
    <row r="730" spans="7:18" x14ac:dyDescent="0.25">
      <c r="G730" s="19"/>
      <c r="J730" s="19"/>
      <c r="K730" s="19"/>
      <c r="L730" s="19"/>
      <c r="R730" s="19"/>
    </row>
    <row r="731" spans="7:18" x14ac:dyDescent="0.25">
      <c r="G731" s="19"/>
      <c r="J731" s="19"/>
      <c r="K731" s="19"/>
      <c r="L731" s="19"/>
      <c r="R731" s="19"/>
    </row>
    <row r="732" spans="7:18" x14ac:dyDescent="0.25">
      <c r="G732" s="19"/>
      <c r="J732" s="19"/>
      <c r="K732" s="19"/>
      <c r="L732" s="19"/>
      <c r="R732" s="19"/>
    </row>
    <row r="733" spans="7:18" x14ac:dyDescent="0.25">
      <c r="G733" s="19"/>
      <c r="J733" s="19"/>
      <c r="K733" s="19"/>
      <c r="L733" s="19"/>
      <c r="R733" s="19"/>
    </row>
    <row r="734" spans="7:18" x14ac:dyDescent="0.25">
      <c r="G734" s="19"/>
      <c r="J734" s="19"/>
      <c r="K734" s="19"/>
      <c r="L734" s="19"/>
      <c r="R734" s="19"/>
    </row>
    <row r="735" spans="7:18" x14ac:dyDescent="0.25">
      <c r="G735" s="19"/>
      <c r="J735" s="19"/>
      <c r="K735" s="19"/>
      <c r="L735" s="19"/>
      <c r="R735" s="19"/>
    </row>
    <row r="736" spans="7:18" x14ac:dyDescent="0.25">
      <c r="G736" s="19"/>
      <c r="J736" s="19"/>
      <c r="K736" s="19"/>
      <c r="L736" s="19"/>
      <c r="R736" s="19"/>
    </row>
    <row r="737" spans="7:18" x14ac:dyDescent="0.25">
      <c r="G737" s="19"/>
      <c r="J737" s="19"/>
      <c r="K737" s="19"/>
      <c r="L737" s="19"/>
      <c r="R737" s="19"/>
    </row>
    <row r="738" spans="7:18" x14ac:dyDescent="0.25">
      <c r="G738" s="19"/>
      <c r="J738" s="19"/>
      <c r="K738" s="19"/>
      <c r="L738" s="19"/>
      <c r="R738" s="19"/>
    </row>
    <row r="739" spans="7:18" x14ac:dyDescent="0.25">
      <c r="G739" s="19"/>
      <c r="J739" s="19"/>
      <c r="K739" s="19"/>
      <c r="L739" s="19"/>
      <c r="R739" s="19"/>
    </row>
    <row r="740" spans="7:18" x14ac:dyDescent="0.25">
      <c r="G740" s="19"/>
      <c r="J740" s="19"/>
      <c r="K740" s="19"/>
      <c r="L740" s="19"/>
      <c r="R740" s="19"/>
    </row>
    <row r="741" spans="7:18" x14ac:dyDescent="0.25">
      <c r="G741" s="19"/>
      <c r="J741" s="19"/>
      <c r="K741" s="19"/>
      <c r="L741" s="19"/>
      <c r="R741" s="19"/>
    </row>
    <row r="742" spans="7:18" x14ac:dyDescent="0.25">
      <c r="G742" s="19"/>
      <c r="J742" s="19"/>
      <c r="K742" s="19"/>
      <c r="L742" s="19"/>
      <c r="R742" s="19"/>
    </row>
    <row r="743" spans="7:18" x14ac:dyDescent="0.25">
      <c r="G743" s="19"/>
      <c r="J743" s="19"/>
      <c r="K743" s="19"/>
      <c r="L743" s="19"/>
      <c r="R743" s="19"/>
    </row>
    <row r="744" spans="7:18" x14ac:dyDescent="0.25">
      <c r="G744" s="19"/>
      <c r="J744" s="19"/>
      <c r="K744" s="19"/>
      <c r="L744" s="19"/>
      <c r="R744" s="19"/>
    </row>
    <row r="745" spans="7:18" x14ac:dyDescent="0.25">
      <c r="G745" s="19"/>
      <c r="J745" s="19"/>
      <c r="K745" s="19"/>
      <c r="L745" s="19"/>
      <c r="R745" s="19"/>
    </row>
    <row r="746" spans="7:18" x14ac:dyDescent="0.25">
      <c r="G746" s="19"/>
      <c r="J746" s="19"/>
      <c r="K746" s="19"/>
      <c r="L746" s="19"/>
      <c r="R746" s="19"/>
    </row>
    <row r="747" spans="7:18" x14ac:dyDescent="0.25">
      <c r="G747" s="19"/>
      <c r="J747" s="19"/>
      <c r="K747" s="19"/>
      <c r="L747" s="19"/>
      <c r="R747" s="19"/>
    </row>
    <row r="748" spans="7:18" x14ac:dyDescent="0.25">
      <c r="G748" s="19"/>
      <c r="J748" s="19"/>
      <c r="K748" s="19"/>
      <c r="L748" s="19"/>
      <c r="R748" s="19"/>
    </row>
    <row r="749" spans="7:18" x14ac:dyDescent="0.25">
      <c r="G749" s="19"/>
      <c r="J749" s="19"/>
      <c r="K749" s="19"/>
      <c r="L749" s="19"/>
      <c r="R749" s="19"/>
    </row>
    <row r="750" spans="7:18" x14ac:dyDescent="0.25">
      <c r="G750" s="19"/>
      <c r="J750" s="19"/>
      <c r="K750" s="19"/>
      <c r="L750" s="19"/>
      <c r="R750" s="19"/>
    </row>
    <row r="752" spans="7:18" x14ac:dyDescent="0.25">
      <c r="G752" s="19"/>
      <c r="J752" s="19"/>
      <c r="K752" s="19"/>
      <c r="L752" s="19"/>
      <c r="R752" s="19"/>
    </row>
    <row r="753" spans="7:18" x14ac:dyDescent="0.25">
      <c r="G753" s="19"/>
      <c r="J753" s="19"/>
      <c r="K753" s="19"/>
      <c r="L753" s="19"/>
      <c r="R753" s="19"/>
    </row>
    <row r="754" spans="7:18" x14ac:dyDescent="0.25">
      <c r="G754" s="19"/>
      <c r="J754" s="19"/>
      <c r="K754" s="19"/>
      <c r="L754" s="19"/>
      <c r="R754" s="19"/>
    </row>
    <row r="755" spans="7:18" x14ac:dyDescent="0.25">
      <c r="G755" s="19"/>
      <c r="J755" s="19"/>
      <c r="K755" s="19"/>
      <c r="L755" s="19"/>
      <c r="R755" s="19"/>
    </row>
    <row r="756" spans="7:18" x14ac:dyDescent="0.25">
      <c r="G756" s="19"/>
      <c r="J756" s="19"/>
      <c r="K756" s="19"/>
      <c r="L756" s="19"/>
      <c r="R756" s="19"/>
    </row>
    <row r="757" spans="7:18" x14ac:dyDescent="0.25">
      <c r="G757" s="19"/>
      <c r="J757" s="19"/>
      <c r="K757" s="19"/>
      <c r="L757" s="19"/>
      <c r="R757" s="19"/>
    </row>
    <row r="758" spans="7:18" x14ac:dyDescent="0.25">
      <c r="G758" s="19"/>
      <c r="J758" s="19"/>
      <c r="K758" s="19"/>
      <c r="L758" s="19"/>
      <c r="R758" s="19"/>
    </row>
    <row r="759" spans="7:18" x14ac:dyDescent="0.25">
      <c r="G759" s="19"/>
      <c r="J759" s="19"/>
      <c r="K759" s="19"/>
      <c r="L759" s="19"/>
      <c r="R759" s="19"/>
    </row>
    <row r="760" spans="7:18" x14ac:dyDescent="0.25">
      <c r="G760" s="19"/>
      <c r="J760" s="19"/>
      <c r="K760" s="19"/>
      <c r="L760" s="19"/>
      <c r="R760" s="19"/>
    </row>
    <row r="761" spans="7:18" x14ac:dyDescent="0.25">
      <c r="G761" s="19"/>
      <c r="J761" s="19"/>
      <c r="K761" s="19"/>
      <c r="L761" s="19"/>
      <c r="R761" s="19"/>
    </row>
    <row r="762" spans="7:18" x14ac:dyDescent="0.25">
      <c r="G762" s="19"/>
      <c r="J762" s="19"/>
      <c r="K762" s="19"/>
      <c r="L762" s="19"/>
      <c r="R762" s="19"/>
    </row>
    <row r="763" spans="7:18" x14ac:dyDescent="0.25">
      <c r="G763" s="19"/>
      <c r="J763" s="19"/>
      <c r="K763" s="19"/>
      <c r="L763" s="19"/>
      <c r="R763" s="19"/>
    </row>
    <row r="764" spans="7:18" x14ac:dyDescent="0.25">
      <c r="G764" s="19"/>
      <c r="J764" s="19"/>
      <c r="K764" s="19"/>
      <c r="L764" s="19"/>
      <c r="R764" s="19"/>
    </row>
    <row r="765" spans="7:18" x14ac:dyDescent="0.25">
      <c r="G765" s="19"/>
      <c r="J765" s="19"/>
      <c r="K765" s="19"/>
      <c r="L765" s="19"/>
      <c r="R765" s="19"/>
    </row>
    <row r="766" spans="7:18" x14ac:dyDescent="0.25">
      <c r="G766" s="19"/>
      <c r="J766" s="19"/>
      <c r="K766" s="19"/>
      <c r="L766" s="19"/>
      <c r="R766" s="19"/>
    </row>
    <row r="767" spans="7:18" x14ac:dyDescent="0.25">
      <c r="G767" s="19"/>
      <c r="J767" s="19"/>
      <c r="K767" s="19"/>
      <c r="L767" s="19"/>
      <c r="R767" s="19"/>
    </row>
    <row r="768" spans="7:18" x14ac:dyDescent="0.25">
      <c r="G768" s="19"/>
      <c r="J768" s="19"/>
      <c r="K768" s="19"/>
      <c r="L768" s="19"/>
      <c r="R768" s="19"/>
    </row>
    <row r="769" spans="7:18" x14ac:dyDescent="0.25">
      <c r="G769" s="19"/>
      <c r="J769" s="19"/>
      <c r="K769" s="19"/>
      <c r="L769" s="19"/>
      <c r="R769" s="19"/>
    </row>
    <row r="770" spans="7:18" x14ac:dyDescent="0.25">
      <c r="G770" s="19"/>
      <c r="J770" s="19"/>
      <c r="K770" s="19"/>
      <c r="L770" s="19"/>
      <c r="R770" s="19"/>
    </row>
    <row r="771" spans="7:18" x14ac:dyDescent="0.25">
      <c r="G771" s="19"/>
      <c r="J771" s="19"/>
      <c r="K771" s="19"/>
      <c r="L771" s="19"/>
      <c r="R771" s="19"/>
    </row>
    <row r="772" spans="7:18" x14ac:dyDescent="0.25">
      <c r="G772" s="19"/>
      <c r="J772" s="19"/>
      <c r="K772" s="19"/>
      <c r="L772" s="19"/>
      <c r="R772" s="19"/>
    </row>
    <row r="773" spans="7:18" x14ac:dyDescent="0.25">
      <c r="G773" s="19"/>
      <c r="J773" s="19"/>
      <c r="K773" s="19"/>
      <c r="L773" s="19"/>
      <c r="R773" s="19"/>
    </row>
    <row r="774" spans="7:18" x14ac:dyDescent="0.25">
      <c r="G774" s="19"/>
      <c r="J774" s="19"/>
      <c r="K774" s="19"/>
      <c r="L774" s="19"/>
      <c r="R774" s="19"/>
    </row>
    <row r="775" spans="7:18" x14ac:dyDescent="0.25">
      <c r="G775" s="19"/>
      <c r="J775" s="19"/>
      <c r="K775" s="19"/>
      <c r="L775" s="19"/>
      <c r="R775" s="19"/>
    </row>
    <row r="776" spans="7:18" x14ac:dyDescent="0.25">
      <c r="G776" s="19"/>
      <c r="J776" s="19"/>
      <c r="K776" s="19"/>
      <c r="L776" s="19"/>
      <c r="R776" s="19"/>
    </row>
    <row r="777" spans="7:18" x14ac:dyDescent="0.25">
      <c r="G777" s="19"/>
      <c r="J777" s="19"/>
      <c r="K777" s="19"/>
      <c r="L777" s="19"/>
      <c r="R777" s="19"/>
    </row>
    <row r="778" spans="7:18" x14ac:dyDescent="0.25">
      <c r="G778" s="19"/>
      <c r="J778" s="19"/>
      <c r="K778" s="19"/>
      <c r="L778" s="19"/>
      <c r="R778" s="19"/>
    </row>
    <row r="779" spans="7:18" x14ac:dyDescent="0.25">
      <c r="G779" s="19"/>
      <c r="J779" s="19"/>
      <c r="K779" s="19"/>
      <c r="L779" s="19"/>
      <c r="R779" s="19"/>
    </row>
    <row r="780" spans="7:18" x14ac:dyDescent="0.25">
      <c r="G780" s="19"/>
      <c r="J780" s="19"/>
      <c r="K780" s="19"/>
      <c r="L780" s="19"/>
      <c r="R780" s="19"/>
    </row>
    <row r="781" spans="7:18" x14ac:dyDescent="0.25">
      <c r="G781" s="19"/>
      <c r="J781" s="19"/>
      <c r="K781" s="19"/>
      <c r="L781" s="19"/>
      <c r="R781" s="19"/>
    </row>
    <row r="782" spans="7:18" x14ac:dyDescent="0.25">
      <c r="G782" s="19"/>
      <c r="J782" s="19"/>
      <c r="K782" s="19"/>
      <c r="L782" s="19"/>
      <c r="R782" s="19"/>
    </row>
    <row r="783" spans="7:18" x14ac:dyDescent="0.25">
      <c r="G783" s="19"/>
      <c r="J783" s="19"/>
      <c r="K783" s="19"/>
      <c r="L783" s="19"/>
      <c r="R783" s="19"/>
    </row>
    <row r="784" spans="7:18" x14ac:dyDescent="0.25">
      <c r="G784" s="19"/>
      <c r="J784" s="19"/>
      <c r="K784" s="19"/>
      <c r="L784" s="19"/>
      <c r="R784" s="19"/>
    </row>
    <row r="785" spans="7:18" x14ac:dyDescent="0.25">
      <c r="G785" s="19"/>
      <c r="J785" s="19"/>
      <c r="K785" s="19"/>
      <c r="L785" s="19"/>
      <c r="R785" s="19"/>
    </row>
    <row r="786" spans="7:18" x14ac:dyDescent="0.25">
      <c r="G786" s="19"/>
      <c r="J786" s="19"/>
      <c r="K786" s="19"/>
      <c r="L786" s="19"/>
      <c r="R786" s="19"/>
    </row>
    <row r="787" spans="7:18" x14ac:dyDescent="0.25">
      <c r="G787" s="19"/>
      <c r="J787" s="19"/>
      <c r="K787" s="19"/>
      <c r="L787" s="19"/>
      <c r="R787" s="19"/>
    </row>
    <row r="788" spans="7:18" x14ac:dyDescent="0.25">
      <c r="G788" s="19"/>
      <c r="J788" s="19"/>
      <c r="K788" s="19"/>
      <c r="L788" s="19"/>
      <c r="R788" s="19"/>
    </row>
    <row r="789" spans="7:18" x14ac:dyDescent="0.25">
      <c r="G789" s="19"/>
      <c r="J789" s="19"/>
      <c r="K789" s="19"/>
      <c r="L789" s="19"/>
      <c r="R789" s="19"/>
    </row>
    <row r="790" spans="7:18" x14ac:dyDescent="0.25">
      <c r="G790" s="19"/>
      <c r="J790" s="19"/>
      <c r="K790" s="19"/>
      <c r="L790" s="19"/>
      <c r="R790" s="19"/>
    </row>
    <row r="791" spans="7:18" x14ac:dyDescent="0.25">
      <c r="G791" s="19"/>
      <c r="J791" s="19"/>
      <c r="K791" s="19"/>
      <c r="L791" s="19"/>
      <c r="R791" s="19"/>
    </row>
    <row r="792" spans="7:18" x14ac:dyDescent="0.25">
      <c r="G792" s="19"/>
      <c r="J792" s="19"/>
      <c r="K792" s="19"/>
      <c r="L792" s="19"/>
      <c r="R792" s="19"/>
    </row>
    <row r="793" spans="7:18" x14ac:dyDescent="0.25">
      <c r="G793" s="19"/>
      <c r="J793" s="19"/>
      <c r="K793" s="19"/>
      <c r="L793" s="19"/>
      <c r="R793" s="19"/>
    </row>
    <row r="794" spans="7:18" x14ac:dyDescent="0.25">
      <c r="G794" s="19"/>
      <c r="J794" s="19"/>
      <c r="K794" s="19"/>
      <c r="L794" s="19"/>
      <c r="R794" s="19"/>
    </row>
    <row r="795" spans="7:18" x14ac:dyDescent="0.25">
      <c r="G795" s="19"/>
      <c r="J795" s="19"/>
      <c r="K795" s="19"/>
      <c r="L795" s="19"/>
      <c r="R795" s="19"/>
    </row>
    <row r="796" spans="7:18" x14ac:dyDescent="0.25">
      <c r="G796" s="19"/>
      <c r="J796" s="19"/>
      <c r="K796" s="19"/>
      <c r="L796" s="19"/>
      <c r="R796" s="19"/>
    </row>
    <row r="797" spans="7:18" x14ac:dyDescent="0.25">
      <c r="G797" s="19"/>
      <c r="J797" s="19"/>
      <c r="K797" s="19"/>
      <c r="L797" s="19"/>
      <c r="R797" s="19"/>
    </row>
    <row r="798" spans="7:18" x14ac:dyDescent="0.25">
      <c r="G798" s="19"/>
      <c r="J798" s="19"/>
      <c r="K798" s="19"/>
      <c r="L798" s="19"/>
      <c r="R798" s="19"/>
    </row>
    <row r="799" spans="7:18" x14ac:dyDescent="0.25">
      <c r="G799" s="19"/>
      <c r="J799" s="19"/>
      <c r="K799" s="19"/>
      <c r="L799" s="19"/>
      <c r="R799" s="19"/>
    </row>
    <row r="800" spans="7:18" x14ac:dyDescent="0.25">
      <c r="G800" s="19"/>
      <c r="J800" s="19"/>
      <c r="K800" s="19"/>
      <c r="L800" s="19"/>
      <c r="R800" s="19"/>
    </row>
    <row r="801" spans="7:18" x14ac:dyDescent="0.25">
      <c r="G801" s="19"/>
      <c r="J801" s="19"/>
      <c r="K801" s="19"/>
      <c r="L801" s="19"/>
      <c r="R801" s="19"/>
    </row>
    <row r="802" spans="7:18" x14ac:dyDescent="0.25">
      <c r="G802" s="19"/>
      <c r="J802" s="19"/>
      <c r="K802" s="19"/>
      <c r="L802" s="19"/>
      <c r="R802" s="19"/>
    </row>
    <row r="803" spans="7:18" x14ac:dyDescent="0.25">
      <c r="G803" s="19"/>
      <c r="J803" s="19"/>
      <c r="K803" s="19"/>
      <c r="L803" s="19"/>
      <c r="R803" s="19"/>
    </row>
    <row r="804" spans="7:18" x14ac:dyDescent="0.25">
      <c r="G804" s="19"/>
      <c r="J804" s="19"/>
      <c r="K804" s="19"/>
      <c r="L804" s="19"/>
      <c r="R804" s="19"/>
    </row>
    <row r="805" spans="7:18" x14ac:dyDescent="0.25">
      <c r="G805" s="19"/>
      <c r="J805" s="19"/>
      <c r="K805" s="19"/>
      <c r="L805" s="19"/>
      <c r="R805" s="19"/>
    </row>
    <row r="806" spans="7:18" x14ac:dyDescent="0.25">
      <c r="G806" s="19"/>
      <c r="J806" s="19"/>
      <c r="K806" s="19"/>
      <c r="L806" s="19"/>
      <c r="R806" s="19"/>
    </row>
    <row r="807" spans="7:18" x14ac:dyDescent="0.25">
      <c r="G807" s="19"/>
      <c r="J807" s="19"/>
      <c r="K807" s="19"/>
      <c r="L807" s="19"/>
      <c r="R807" s="19"/>
    </row>
    <row r="808" spans="7:18" x14ac:dyDescent="0.25">
      <c r="G808" s="19"/>
      <c r="J808" s="19"/>
      <c r="K808" s="19"/>
      <c r="L808" s="19"/>
      <c r="R808" s="19"/>
    </row>
    <row r="809" spans="7:18" x14ac:dyDescent="0.25">
      <c r="G809" s="19"/>
      <c r="J809" s="19"/>
      <c r="K809" s="19"/>
      <c r="L809" s="19"/>
      <c r="R809" s="19"/>
    </row>
    <row r="810" spans="7:18" x14ac:dyDescent="0.25">
      <c r="G810" s="19"/>
      <c r="J810" s="19"/>
      <c r="K810" s="19"/>
      <c r="L810" s="19"/>
      <c r="R810" s="19"/>
    </row>
    <row r="811" spans="7:18" x14ac:dyDescent="0.25">
      <c r="G811" s="19"/>
      <c r="J811" s="19"/>
      <c r="K811" s="19"/>
      <c r="L811" s="19"/>
      <c r="R811" s="19"/>
    </row>
    <row r="812" spans="7:18" x14ac:dyDescent="0.25">
      <c r="G812" s="19"/>
      <c r="J812" s="19"/>
      <c r="K812" s="19"/>
      <c r="L812" s="19"/>
      <c r="R812" s="19"/>
    </row>
    <row r="813" spans="7:18" x14ac:dyDescent="0.25">
      <c r="G813" s="19"/>
      <c r="J813" s="19"/>
      <c r="K813" s="19"/>
      <c r="L813" s="19"/>
      <c r="R813" s="19"/>
    </row>
    <row r="814" spans="7:18" x14ac:dyDescent="0.25">
      <c r="G814" s="19"/>
      <c r="J814" s="19"/>
      <c r="K814" s="19"/>
      <c r="L814" s="19"/>
      <c r="R814" s="19"/>
    </row>
    <row r="815" spans="7:18" x14ac:dyDescent="0.25">
      <c r="G815" s="19"/>
      <c r="J815" s="19"/>
      <c r="K815" s="19"/>
      <c r="L815" s="19"/>
      <c r="R815" s="19"/>
    </row>
    <row r="816" spans="7:18" x14ac:dyDescent="0.25">
      <c r="G816" s="19"/>
      <c r="J816" s="19"/>
      <c r="K816" s="19"/>
      <c r="L816" s="19"/>
      <c r="R816" s="19"/>
    </row>
    <row r="817" spans="7:18" x14ac:dyDescent="0.25">
      <c r="G817" s="19"/>
      <c r="J817" s="19"/>
      <c r="K817" s="19"/>
      <c r="L817" s="19"/>
      <c r="R817" s="19"/>
    </row>
    <row r="818" spans="7:18" x14ac:dyDescent="0.25">
      <c r="G818" s="19"/>
      <c r="J818" s="19"/>
      <c r="K818" s="19"/>
      <c r="L818" s="19"/>
      <c r="R818" s="19"/>
    </row>
    <row r="819" spans="7:18" x14ac:dyDescent="0.25">
      <c r="G819" s="19"/>
      <c r="J819" s="19"/>
      <c r="K819" s="19"/>
      <c r="L819" s="19"/>
      <c r="R819" s="19"/>
    </row>
    <row r="820" spans="7:18" x14ac:dyDescent="0.25">
      <c r="G820" s="19"/>
      <c r="J820" s="19"/>
      <c r="K820" s="19"/>
      <c r="L820" s="19"/>
      <c r="R820" s="19"/>
    </row>
    <row r="821" spans="7:18" x14ac:dyDescent="0.25">
      <c r="G821" s="19"/>
      <c r="J821" s="19"/>
      <c r="K821" s="19"/>
      <c r="L821" s="19"/>
      <c r="R821" s="19"/>
    </row>
    <row r="822" spans="7:18" x14ac:dyDescent="0.25">
      <c r="G822" s="19"/>
      <c r="J822" s="19"/>
      <c r="K822" s="19"/>
      <c r="L822" s="19"/>
      <c r="R822" s="19"/>
    </row>
    <row r="823" spans="7:18" x14ac:dyDescent="0.25">
      <c r="G823" s="19"/>
      <c r="J823" s="19"/>
      <c r="K823" s="19"/>
      <c r="L823" s="19"/>
      <c r="R823" s="19"/>
    </row>
    <row r="824" spans="7:18" x14ac:dyDescent="0.25">
      <c r="G824" s="19"/>
      <c r="J824" s="19"/>
      <c r="K824" s="19"/>
      <c r="L824" s="19"/>
      <c r="R824" s="19"/>
    </row>
    <row r="825" spans="7:18" x14ac:dyDescent="0.25">
      <c r="G825" s="19"/>
      <c r="J825" s="19"/>
      <c r="K825" s="19"/>
      <c r="L825" s="19"/>
      <c r="R825" s="19"/>
    </row>
    <row r="826" spans="7:18" x14ac:dyDescent="0.25">
      <c r="G826" s="19"/>
      <c r="J826" s="19"/>
      <c r="K826" s="19"/>
      <c r="L826" s="19"/>
      <c r="R826" s="19"/>
    </row>
    <row r="827" spans="7:18" x14ac:dyDescent="0.25">
      <c r="G827" s="19"/>
      <c r="J827" s="19"/>
      <c r="K827" s="19"/>
      <c r="L827" s="19"/>
      <c r="R827" s="19"/>
    </row>
    <row r="828" spans="7:18" x14ac:dyDescent="0.25">
      <c r="G828" s="19"/>
      <c r="J828" s="19"/>
      <c r="K828" s="19"/>
      <c r="L828" s="19"/>
      <c r="R828" s="19"/>
    </row>
    <row r="829" spans="7:18" x14ac:dyDescent="0.25">
      <c r="G829" s="19"/>
      <c r="J829" s="19"/>
      <c r="K829" s="19"/>
      <c r="L829" s="19"/>
      <c r="R829" s="19"/>
    </row>
    <row r="830" spans="7:18" x14ac:dyDescent="0.25">
      <c r="G830" s="19"/>
      <c r="J830" s="19"/>
      <c r="K830" s="19"/>
      <c r="L830" s="19"/>
      <c r="R830" s="19"/>
    </row>
    <row r="831" spans="7:18" x14ac:dyDescent="0.25">
      <c r="G831" s="19"/>
      <c r="J831" s="19"/>
      <c r="K831" s="19"/>
      <c r="L831" s="19"/>
      <c r="R831" s="19"/>
    </row>
    <row r="832" spans="7:18" x14ac:dyDescent="0.25">
      <c r="G832" s="19"/>
      <c r="J832" s="19"/>
      <c r="K832" s="19"/>
      <c r="L832" s="19"/>
      <c r="R832" s="19"/>
    </row>
    <row r="833" spans="7:18" x14ac:dyDescent="0.25">
      <c r="G833" s="19"/>
      <c r="J833" s="19"/>
      <c r="K833" s="19"/>
      <c r="L833" s="19"/>
      <c r="R833" s="19"/>
    </row>
    <row r="834" spans="7:18" x14ac:dyDescent="0.25">
      <c r="G834" s="19"/>
      <c r="J834" s="19"/>
      <c r="K834" s="19"/>
      <c r="L834" s="19"/>
      <c r="R834" s="19"/>
    </row>
    <row r="835" spans="7:18" x14ac:dyDescent="0.25">
      <c r="G835" s="19"/>
      <c r="J835" s="19"/>
      <c r="K835" s="19"/>
      <c r="L835" s="19"/>
      <c r="R835" s="19"/>
    </row>
    <row r="836" spans="7:18" x14ac:dyDescent="0.25">
      <c r="G836" s="19"/>
      <c r="J836" s="19"/>
      <c r="K836" s="19"/>
      <c r="L836" s="19"/>
      <c r="R836" s="19"/>
    </row>
    <row r="837" spans="7:18" x14ac:dyDescent="0.25">
      <c r="G837" s="19"/>
      <c r="J837" s="19"/>
      <c r="K837" s="19"/>
      <c r="L837" s="19"/>
      <c r="R837" s="19"/>
    </row>
    <row r="838" spans="7:18" x14ac:dyDescent="0.25">
      <c r="G838" s="19"/>
      <c r="J838" s="19"/>
      <c r="K838" s="19"/>
      <c r="L838" s="19"/>
      <c r="R838" s="19"/>
    </row>
    <row r="839" spans="7:18" x14ac:dyDescent="0.25">
      <c r="G839" s="19"/>
      <c r="J839" s="19"/>
      <c r="K839" s="19"/>
      <c r="L839" s="19"/>
      <c r="R839" s="19"/>
    </row>
    <row r="840" spans="7:18" x14ac:dyDescent="0.25">
      <c r="G840" s="19"/>
      <c r="J840" s="19"/>
      <c r="K840" s="19"/>
      <c r="L840" s="19"/>
      <c r="R840" s="19"/>
    </row>
    <row r="841" spans="7:18" x14ac:dyDescent="0.25">
      <c r="G841" s="19"/>
      <c r="J841" s="19"/>
      <c r="K841" s="19"/>
      <c r="L841" s="19"/>
      <c r="R841" s="19"/>
    </row>
    <row r="842" spans="7:18" x14ac:dyDescent="0.25">
      <c r="G842" s="19"/>
      <c r="J842" s="19"/>
      <c r="K842" s="19"/>
      <c r="L842" s="19"/>
      <c r="R842" s="19"/>
    </row>
    <row r="843" spans="7:18" x14ac:dyDescent="0.25">
      <c r="G843" s="19"/>
      <c r="J843" s="19"/>
      <c r="K843" s="19"/>
      <c r="L843" s="19"/>
      <c r="R843" s="19"/>
    </row>
    <row r="844" spans="7:18" x14ac:dyDescent="0.25">
      <c r="G844" s="19"/>
      <c r="J844" s="19"/>
      <c r="K844" s="19"/>
      <c r="L844" s="19"/>
      <c r="R844" s="19"/>
    </row>
    <row r="845" spans="7:18" x14ac:dyDescent="0.25">
      <c r="G845" s="19"/>
      <c r="J845" s="19"/>
      <c r="K845" s="19"/>
      <c r="L845" s="19"/>
      <c r="R845" s="19"/>
    </row>
    <row r="846" spans="7:18" x14ac:dyDescent="0.25">
      <c r="G846" s="19"/>
      <c r="J846" s="19"/>
      <c r="K846" s="19"/>
      <c r="L846" s="19"/>
      <c r="R846" s="19"/>
    </row>
    <row r="847" spans="7:18" x14ac:dyDescent="0.25">
      <c r="G847" s="19"/>
      <c r="J847" s="19"/>
      <c r="K847" s="19"/>
      <c r="L847" s="19"/>
      <c r="R847" s="19"/>
    </row>
    <row r="848" spans="7:18" x14ac:dyDescent="0.25">
      <c r="G848" s="19"/>
      <c r="J848" s="19"/>
      <c r="K848" s="19"/>
      <c r="L848" s="19"/>
      <c r="R848" s="19"/>
    </row>
    <row r="849" spans="7:18" x14ac:dyDescent="0.25">
      <c r="G849" s="19"/>
      <c r="J849" s="19"/>
      <c r="K849" s="19"/>
      <c r="L849" s="19"/>
      <c r="R849" s="19"/>
    </row>
    <row r="850" spans="7:18" x14ac:dyDescent="0.25">
      <c r="G850" s="19"/>
      <c r="J850" s="19"/>
      <c r="K850" s="19"/>
      <c r="L850" s="19"/>
      <c r="R850" s="19"/>
    </row>
    <row r="851" spans="7:18" x14ac:dyDescent="0.25">
      <c r="G851" s="19"/>
      <c r="J851" s="19"/>
      <c r="K851" s="19"/>
      <c r="L851" s="19"/>
      <c r="R851" s="19"/>
    </row>
    <row r="852" spans="7:18" x14ac:dyDescent="0.25">
      <c r="G852" s="19"/>
      <c r="J852" s="19"/>
      <c r="K852" s="19"/>
      <c r="L852" s="19"/>
      <c r="R852" s="19"/>
    </row>
    <row r="853" spans="7:18" x14ac:dyDescent="0.25">
      <c r="G853" s="19"/>
      <c r="J853" s="19"/>
      <c r="K853" s="19"/>
      <c r="L853" s="19"/>
      <c r="R853" s="19"/>
    </row>
    <row r="854" spans="7:18" x14ac:dyDescent="0.25">
      <c r="G854" s="19"/>
      <c r="J854" s="19"/>
      <c r="K854" s="19"/>
      <c r="L854" s="19"/>
      <c r="R854" s="19"/>
    </row>
    <row r="855" spans="7:18" x14ac:dyDescent="0.25">
      <c r="G855" s="19"/>
      <c r="J855" s="19"/>
      <c r="K855" s="19"/>
      <c r="L855" s="19"/>
      <c r="R855" s="19"/>
    </row>
    <row r="856" spans="7:18" x14ac:dyDescent="0.25">
      <c r="G856" s="19"/>
      <c r="J856" s="19"/>
      <c r="K856" s="19"/>
      <c r="L856" s="19"/>
      <c r="R856" s="19"/>
    </row>
    <row r="857" spans="7:18" x14ac:dyDescent="0.25">
      <c r="G857" s="19"/>
      <c r="J857" s="19"/>
      <c r="K857" s="19"/>
      <c r="L857" s="19"/>
      <c r="R857" s="19"/>
    </row>
    <row r="858" spans="7:18" x14ac:dyDescent="0.25">
      <c r="G858" s="19"/>
      <c r="J858" s="19"/>
      <c r="K858" s="19"/>
      <c r="L858" s="19"/>
      <c r="R858" s="19"/>
    </row>
    <row r="859" spans="7:18" x14ac:dyDescent="0.25">
      <c r="G859" s="19"/>
      <c r="J859" s="19"/>
      <c r="K859" s="19"/>
      <c r="L859" s="19"/>
      <c r="R859" s="19"/>
    </row>
    <row r="860" spans="7:18" x14ac:dyDescent="0.25">
      <c r="G860" s="19"/>
      <c r="J860" s="19"/>
      <c r="K860" s="19"/>
      <c r="L860" s="19"/>
      <c r="R860" s="19"/>
    </row>
    <row r="861" spans="7:18" x14ac:dyDescent="0.25">
      <c r="G861" s="19"/>
      <c r="J861" s="19"/>
      <c r="K861" s="19"/>
      <c r="L861" s="19"/>
      <c r="R861" s="19"/>
    </row>
    <row r="862" spans="7:18" x14ac:dyDescent="0.25">
      <c r="G862" s="19"/>
      <c r="J862" s="19"/>
      <c r="K862" s="19"/>
      <c r="L862" s="19"/>
      <c r="R862" s="19"/>
    </row>
    <row r="863" spans="7:18" x14ac:dyDescent="0.25">
      <c r="G863" s="19"/>
      <c r="J863" s="19"/>
      <c r="K863" s="19"/>
      <c r="L863" s="19"/>
      <c r="R863" s="19"/>
    </row>
    <row r="864" spans="7:18" x14ac:dyDescent="0.25">
      <c r="G864" s="19"/>
      <c r="J864" s="19"/>
      <c r="K864" s="19"/>
      <c r="L864" s="19"/>
      <c r="R864" s="19"/>
    </row>
    <row r="865" spans="7:18" x14ac:dyDescent="0.25">
      <c r="G865" s="19"/>
      <c r="J865" s="19"/>
      <c r="K865" s="19"/>
      <c r="L865" s="19"/>
      <c r="R865" s="19"/>
    </row>
    <row r="866" spans="7:18" x14ac:dyDescent="0.25">
      <c r="G866" s="19"/>
      <c r="J866" s="19"/>
      <c r="K866" s="19"/>
      <c r="L866" s="19"/>
      <c r="R866" s="19"/>
    </row>
    <row r="867" spans="7:18" x14ac:dyDescent="0.25">
      <c r="G867" s="19"/>
      <c r="J867" s="19"/>
      <c r="K867" s="19"/>
      <c r="L867" s="19"/>
      <c r="R867" s="19"/>
    </row>
    <row r="868" spans="7:18" x14ac:dyDescent="0.25">
      <c r="G868" s="19"/>
      <c r="J868" s="19"/>
      <c r="K868" s="19"/>
      <c r="L868" s="19"/>
      <c r="R868" s="19"/>
    </row>
    <row r="869" spans="7:18" x14ac:dyDescent="0.25">
      <c r="G869" s="19"/>
      <c r="J869" s="19"/>
      <c r="K869" s="19"/>
      <c r="L869" s="19"/>
      <c r="R869" s="19"/>
    </row>
    <row r="870" spans="7:18" x14ac:dyDescent="0.25">
      <c r="G870" s="19"/>
      <c r="J870" s="19"/>
      <c r="K870" s="19"/>
      <c r="L870" s="19"/>
      <c r="R870" s="19"/>
    </row>
    <row r="871" spans="7:18" x14ac:dyDescent="0.25">
      <c r="G871" s="19"/>
      <c r="J871" s="19"/>
      <c r="K871" s="19"/>
      <c r="L871" s="19"/>
      <c r="R871" s="19"/>
    </row>
    <row r="872" spans="7:18" x14ac:dyDescent="0.25">
      <c r="G872" s="19"/>
      <c r="J872" s="19"/>
      <c r="K872" s="19"/>
      <c r="L872" s="19"/>
      <c r="R872" s="19"/>
    </row>
    <row r="873" spans="7:18" x14ac:dyDescent="0.25">
      <c r="G873" s="19"/>
      <c r="J873" s="19"/>
      <c r="K873" s="19"/>
      <c r="L873" s="19"/>
      <c r="R873" s="19"/>
    </row>
    <row r="874" spans="7:18" x14ac:dyDescent="0.25">
      <c r="G874" s="19"/>
      <c r="J874" s="19"/>
      <c r="K874" s="19"/>
      <c r="L874" s="19"/>
      <c r="R874" s="19"/>
    </row>
    <row r="875" spans="7:18" x14ac:dyDescent="0.25">
      <c r="G875" s="19"/>
      <c r="J875" s="19"/>
      <c r="K875" s="19"/>
      <c r="L875" s="19"/>
      <c r="R875" s="19"/>
    </row>
    <row r="876" spans="7:18" x14ac:dyDescent="0.25">
      <c r="G876" s="19"/>
      <c r="J876" s="19"/>
      <c r="K876" s="19"/>
      <c r="L876" s="19"/>
      <c r="R876" s="19"/>
    </row>
    <row r="877" spans="7:18" x14ac:dyDescent="0.25">
      <c r="G877" s="19"/>
      <c r="J877" s="19"/>
      <c r="K877" s="19"/>
      <c r="L877" s="19"/>
      <c r="R877" s="19"/>
    </row>
    <row r="878" spans="7:18" x14ac:dyDescent="0.25">
      <c r="G878" s="19"/>
      <c r="J878" s="19"/>
      <c r="K878" s="19"/>
      <c r="L878" s="19"/>
      <c r="R878" s="19"/>
    </row>
    <row r="879" spans="7:18" x14ac:dyDescent="0.25">
      <c r="G879" s="19"/>
      <c r="J879" s="19"/>
      <c r="K879" s="19"/>
      <c r="L879" s="19"/>
      <c r="R879" s="19"/>
    </row>
    <row r="880" spans="7:18" x14ac:dyDescent="0.25">
      <c r="G880" s="19"/>
      <c r="J880" s="19"/>
      <c r="K880" s="19"/>
      <c r="L880" s="19"/>
      <c r="R880" s="19"/>
    </row>
    <row r="881" spans="7:18" x14ac:dyDescent="0.25">
      <c r="G881" s="19"/>
      <c r="J881" s="19"/>
      <c r="K881" s="19"/>
      <c r="L881" s="19"/>
      <c r="R881" s="19"/>
    </row>
    <row r="882" spans="7:18" x14ac:dyDescent="0.25">
      <c r="G882" s="19"/>
      <c r="J882" s="19"/>
      <c r="K882" s="19"/>
      <c r="L882" s="19"/>
      <c r="R882" s="19"/>
    </row>
    <row r="883" spans="7:18" x14ac:dyDescent="0.25">
      <c r="G883" s="19"/>
      <c r="J883" s="19"/>
      <c r="K883" s="19"/>
      <c r="L883" s="19"/>
      <c r="R883" s="19"/>
    </row>
    <row r="884" spans="7:18" x14ac:dyDescent="0.25">
      <c r="G884" s="19"/>
      <c r="J884" s="19"/>
      <c r="K884" s="19"/>
      <c r="L884" s="19"/>
      <c r="R884" s="19"/>
    </row>
    <row r="885" spans="7:18" x14ac:dyDescent="0.25">
      <c r="G885" s="19"/>
      <c r="J885" s="19"/>
      <c r="K885" s="19"/>
      <c r="L885" s="19"/>
      <c r="R885" s="19"/>
    </row>
    <row r="886" spans="7:18" x14ac:dyDescent="0.25">
      <c r="G886" s="19"/>
      <c r="J886" s="19"/>
      <c r="K886" s="19"/>
      <c r="L886" s="19"/>
      <c r="R886" s="19"/>
    </row>
    <row r="887" spans="7:18" x14ac:dyDescent="0.25">
      <c r="G887" s="19"/>
      <c r="J887" s="19"/>
      <c r="K887" s="19"/>
      <c r="L887" s="19"/>
      <c r="R887" s="19"/>
    </row>
    <row r="888" spans="7:18" x14ac:dyDescent="0.25">
      <c r="G888" s="19"/>
      <c r="J888" s="19"/>
      <c r="K888" s="19"/>
      <c r="L888" s="19"/>
      <c r="R888" s="19"/>
    </row>
    <row r="889" spans="7:18" x14ac:dyDescent="0.25">
      <c r="G889" s="19"/>
      <c r="J889" s="19"/>
      <c r="K889" s="19"/>
      <c r="L889" s="19"/>
      <c r="R889" s="19"/>
    </row>
    <row r="890" spans="7:18" x14ac:dyDescent="0.25">
      <c r="G890" s="19"/>
      <c r="J890" s="19"/>
      <c r="K890" s="19"/>
      <c r="L890" s="19"/>
      <c r="R890" s="19"/>
    </row>
    <row r="891" spans="7:18" x14ac:dyDescent="0.25">
      <c r="G891" s="19"/>
      <c r="J891" s="19"/>
      <c r="K891" s="19"/>
      <c r="L891" s="19"/>
      <c r="R891" s="19"/>
    </row>
    <row r="892" spans="7:18" x14ac:dyDescent="0.25">
      <c r="G892" s="19"/>
      <c r="J892" s="19"/>
      <c r="K892" s="19"/>
      <c r="L892" s="19"/>
      <c r="R892" s="19"/>
    </row>
    <row r="893" spans="7:18" x14ac:dyDescent="0.25">
      <c r="G893" s="19"/>
      <c r="J893" s="19"/>
      <c r="K893" s="19"/>
      <c r="L893" s="19"/>
      <c r="R893" s="19"/>
    </row>
    <row r="894" spans="7:18" x14ac:dyDescent="0.25">
      <c r="G894" s="19"/>
      <c r="J894" s="19"/>
      <c r="K894" s="19"/>
      <c r="L894" s="19"/>
      <c r="R894" s="19"/>
    </row>
    <row r="895" spans="7:18" x14ac:dyDescent="0.25">
      <c r="G895" s="19"/>
      <c r="J895" s="19"/>
      <c r="K895" s="19"/>
      <c r="L895" s="19"/>
      <c r="R895" s="19"/>
    </row>
    <row r="896" spans="7:18" x14ac:dyDescent="0.25">
      <c r="G896" s="19"/>
      <c r="J896" s="19"/>
      <c r="K896" s="19"/>
      <c r="L896" s="19"/>
      <c r="R896" s="19"/>
    </row>
    <row r="897" spans="7:18" x14ac:dyDescent="0.25">
      <c r="G897" s="19"/>
      <c r="J897" s="19"/>
      <c r="K897" s="19"/>
      <c r="L897" s="19"/>
      <c r="R897" s="19"/>
    </row>
    <row r="898" spans="7:18" x14ac:dyDescent="0.25">
      <c r="G898" s="19"/>
      <c r="J898" s="19"/>
      <c r="K898" s="19"/>
      <c r="L898" s="19"/>
      <c r="R898" s="19"/>
    </row>
    <row r="899" spans="7:18" x14ac:dyDescent="0.25">
      <c r="G899" s="19"/>
      <c r="J899" s="19"/>
      <c r="K899" s="19"/>
      <c r="L899" s="19"/>
      <c r="R899" s="19"/>
    </row>
    <row r="900" spans="7:18" x14ac:dyDescent="0.25">
      <c r="G900" s="19"/>
      <c r="J900" s="19"/>
      <c r="K900" s="19"/>
      <c r="L900" s="19"/>
      <c r="R900" s="19"/>
    </row>
    <row r="901" spans="7:18" x14ac:dyDescent="0.25">
      <c r="G901" s="19"/>
      <c r="J901" s="19"/>
      <c r="K901" s="19"/>
      <c r="L901" s="19"/>
      <c r="R901" s="19"/>
    </row>
    <row r="902" spans="7:18" x14ac:dyDescent="0.25">
      <c r="G902" s="19"/>
      <c r="J902" s="19"/>
      <c r="K902" s="19"/>
      <c r="L902" s="19"/>
      <c r="R902" s="19"/>
    </row>
    <row r="903" spans="7:18" x14ac:dyDescent="0.25">
      <c r="G903" s="19"/>
      <c r="J903" s="19"/>
      <c r="K903" s="19"/>
      <c r="L903" s="19"/>
      <c r="R903" s="19"/>
    </row>
    <row r="904" spans="7:18" x14ac:dyDescent="0.25">
      <c r="G904" s="19"/>
      <c r="J904" s="19"/>
      <c r="K904" s="19"/>
      <c r="L904" s="19"/>
      <c r="R904" s="19"/>
    </row>
    <row r="905" spans="7:18" x14ac:dyDescent="0.25">
      <c r="G905" s="19"/>
      <c r="J905" s="19"/>
      <c r="K905" s="19"/>
      <c r="L905" s="19"/>
      <c r="R905" s="19"/>
    </row>
    <row r="906" spans="7:18" x14ac:dyDescent="0.25">
      <c r="G906" s="19"/>
      <c r="J906" s="19"/>
      <c r="K906" s="19"/>
      <c r="L906" s="19"/>
      <c r="R906" s="19"/>
    </row>
    <row r="907" spans="7:18" x14ac:dyDescent="0.25">
      <c r="G907" s="19"/>
      <c r="J907" s="19"/>
      <c r="K907" s="19"/>
      <c r="L907" s="19"/>
      <c r="R907" s="19"/>
    </row>
    <row r="908" spans="7:18" x14ac:dyDescent="0.25">
      <c r="G908" s="19"/>
      <c r="J908" s="19"/>
      <c r="K908" s="19"/>
      <c r="L908" s="19"/>
      <c r="R908" s="19"/>
    </row>
    <row r="909" spans="7:18" x14ac:dyDescent="0.25">
      <c r="G909" s="19"/>
      <c r="J909" s="19"/>
      <c r="K909" s="19"/>
      <c r="L909" s="19"/>
      <c r="R909" s="19"/>
    </row>
    <row r="910" spans="7:18" x14ac:dyDescent="0.25">
      <c r="G910" s="19"/>
      <c r="J910" s="19"/>
      <c r="K910" s="19"/>
      <c r="L910" s="19"/>
      <c r="R910" s="19"/>
    </row>
    <row r="911" spans="7:18" x14ac:dyDescent="0.25">
      <c r="G911" s="19"/>
      <c r="J911" s="19"/>
      <c r="K911" s="19"/>
      <c r="L911" s="19"/>
      <c r="R911" s="19"/>
    </row>
    <row r="912" spans="7:18" x14ac:dyDescent="0.25">
      <c r="G912" s="19"/>
      <c r="J912" s="19"/>
      <c r="K912" s="19"/>
      <c r="L912" s="19"/>
      <c r="R912" s="19"/>
    </row>
    <row r="913" spans="7:18" x14ac:dyDescent="0.25">
      <c r="G913" s="19"/>
      <c r="J913" s="19"/>
      <c r="K913" s="19"/>
      <c r="L913" s="19"/>
      <c r="R913" s="19"/>
    </row>
    <row r="914" spans="7:18" x14ac:dyDescent="0.25">
      <c r="G914" s="19"/>
      <c r="J914" s="19"/>
      <c r="K914" s="19"/>
      <c r="L914" s="19"/>
      <c r="R914" s="19"/>
    </row>
    <row r="915" spans="7:18" x14ac:dyDescent="0.25">
      <c r="G915" s="19"/>
      <c r="J915" s="19"/>
      <c r="K915" s="19"/>
      <c r="L915" s="19"/>
      <c r="R915" s="19"/>
    </row>
    <row r="916" spans="7:18" x14ac:dyDescent="0.25">
      <c r="G916" s="19"/>
      <c r="J916" s="19"/>
      <c r="K916" s="19"/>
      <c r="L916" s="19"/>
      <c r="R916" s="19"/>
    </row>
    <row r="917" spans="7:18" x14ac:dyDescent="0.25">
      <c r="G917" s="19"/>
      <c r="J917" s="19"/>
      <c r="K917" s="19"/>
      <c r="L917" s="19"/>
      <c r="R917" s="19"/>
    </row>
    <row r="918" spans="7:18" x14ac:dyDescent="0.25">
      <c r="G918" s="19"/>
      <c r="J918" s="19"/>
      <c r="K918" s="19"/>
      <c r="L918" s="19"/>
      <c r="R918" s="19"/>
    </row>
    <row r="919" spans="7:18" x14ac:dyDescent="0.25">
      <c r="G919" s="19"/>
      <c r="J919" s="19"/>
      <c r="K919" s="19"/>
      <c r="L919" s="19"/>
      <c r="R919" s="19"/>
    </row>
    <row r="920" spans="7:18" x14ac:dyDescent="0.25">
      <c r="G920" s="19"/>
      <c r="J920" s="19"/>
      <c r="K920" s="19"/>
      <c r="L920" s="19"/>
      <c r="R920" s="19"/>
    </row>
    <row r="921" spans="7:18" x14ac:dyDescent="0.25">
      <c r="G921" s="19"/>
      <c r="J921" s="19"/>
      <c r="K921" s="19"/>
      <c r="L921" s="19"/>
      <c r="R921" s="19"/>
    </row>
    <row r="922" spans="7:18" x14ac:dyDescent="0.25">
      <c r="G922" s="19"/>
      <c r="J922" s="19"/>
      <c r="K922" s="19"/>
      <c r="L922" s="19"/>
      <c r="R922" s="19"/>
    </row>
    <row r="923" spans="7:18" x14ac:dyDescent="0.25">
      <c r="G923" s="19"/>
      <c r="J923" s="19"/>
      <c r="K923" s="19"/>
      <c r="L923" s="19"/>
      <c r="R923" s="19"/>
    </row>
    <row r="924" spans="7:18" x14ac:dyDescent="0.25">
      <c r="G924" s="19"/>
      <c r="J924" s="19"/>
      <c r="K924" s="19"/>
      <c r="L924" s="19"/>
      <c r="R924" s="19"/>
    </row>
    <row r="925" spans="7:18" x14ac:dyDescent="0.25">
      <c r="G925" s="19"/>
      <c r="J925" s="19"/>
      <c r="K925" s="19"/>
      <c r="L925" s="19"/>
      <c r="R925" s="19"/>
    </row>
    <row r="926" spans="7:18" x14ac:dyDescent="0.25">
      <c r="G926" s="19"/>
      <c r="J926" s="19"/>
      <c r="K926" s="19"/>
      <c r="L926" s="19"/>
      <c r="R926" s="19"/>
    </row>
    <row r="927" spans="7:18" x14ac:dyDescent="0.25">
      <c r="G927" s="19"/>
      <c r="J927" s="19"/>
      <c r="K927" s="19"/>
      <c r="L927" s="19"/>
      <c r="R927" s="19"/>
    </row>
    <row r="928" spans="7:18" x14ac:dyDescent="0.25">
      <c r="G928" s="19"/>
      <c r="J928" s="19"/>
      <c r="K928" s="19"/>
      <c r="L928" s="19"/>
      <c r="R928" s="19"/>
    </row>
    <row r="929" spans="7:18" x14ac:dyDescent="0.25">
      <c r="G929" s="19"/>
      <c r="J929" s="19"/>
      <c r="K929" s="19"/>
      <c r="L929" s="19"/>
      <c r="R929" s="19"/>
    </row>
    <row r="930" spans="7:18" x14ac:dyDescent="0.25">
      <c r="G930" s="19"/>
      <c r="J930" s="19"/>
      <c r="K930" s="19"/>
      <c r="L930" s="19"/>
      <c r="R930" s="19"/>
    </row>
    <row r="931" spans="7:18" x14ac:dyDescent="0.25">
      <c r="G931" s="19"/>
      <c r="J931" s="19"/>
      <c r="K931" s="19"/>
      <c r="L931" s="19"/>
      <c r="R931" s="19"/>
    </row>
    <row r="932" spans="7:18" x14ac:dyDescent="0.25">
      <c r="G932" s="19"/>
      <c r="J932" s="19"/>
      <c r="K932" s="19"/>
      <c r="L932" s="19"/>
      <c r="R932" s="19"/>
    </row>
    <row r="933" spans="7:18" x14ac:dyDescent="0.25">
      <c r="G933" s="19"/>
      <c r="J933" s="19"/>
      <c r="K933" s="19"/>
      <c r="L933" s="19"/>
      <c r="R933" s="19"/>
    </row>
    <row r="934" spans="7:18" x14ac:dyDescent="0.25">
      <c r="G934" s="19"/>
      <c r="J934" s="19"/>
      <c r="K934" s="19"/>
      <c r="L934" s="19"/>
      <c r="R934" s="19"/>
    </row>
    <row r="935" spans="7:18" x14ac:dyDescent="0.25">
      <c r="G935" s="19"/>
      <c r="J935" s="19"/>
      <c r="K935" s="19"/>
      <c r="L935" s="19"/>
      <c r="R935" s="19"/>
    </row>
    <row r="936" spans="7:18" x14ac:dyDescent="0.25">
      <c r="G936" s="19"/>
      <c r="J936" s="19"/>
      <c r="K936" s="19"/>
      <c r="L936" s="19"/>
      <c r="R936" s="19"/>
    </row>
    <row r="937" spans="7:18" x14ac:dyDescent="0.25">
      <c r="G937" s="19"/>
      <c r="J937" s="19"/>
      <c r="K937" s="19"/>
      <c r="L937" s="19"/>
      <c r="R937" s="19"/>
    </row>
    <row r="938" spans="7:18" x14ac:dyDescent="0.25">
      <c r="G938" s="19"/>
      <c r="J938" s="19"/>
      <c r="K938" s="19"/>
      <c r="L938" s="19"/>
      <c r="R938" s="19"/>
    </row>
    <row r="939" spans="7:18" x14ac:dyDescent="0.25">
      <c r="G939" s="19"/>
      <c r="J939" s="19"/>
      <c r="K939" s="19"/>
      <c r="L939" s="19"/>
      <c r="R939" s="19"/>
    </row>
    <row r="940" spans="7:18" x14ac:dyDescent="0.25">
      <c r="G940" s="19"/>
      <c r="J940" s="19"/>
      <c r="K940" s="19"/>
      <c r="L940" s="19"/>
      <c r="R940" s="19"/>
    </row>
    <row r="941" spans="7:18" x14ac:dyDescent="0.25">
      <c r="G941" s="19"/>
      <c r="J941" s="19"/>
      <c r="K941" s="19"/>
      <c r="L941" s="19"/>
      <c r="R941" s="19"/>
    </row>
    <row r="942" spans="7:18" x14ac:dyDescent="0.25">
      <c r="G942" s="19"/>
      <c r="J942" s="19"/>
      <c r="K942" s="19"/>
      <c r="L942" s="19"/>
      <c r="R942" s="19"/>
    </row>
    <row r="943" spans="7:18" x14ac:dyDescent="0.25">
      <c r="G943" s="19"/>
      <c r="J943" s="19"/>
      <c r="K943" s="19"/>
      <c r="L943" s="19"/>
      <c r="R943" s="19"/>
    </row>
    <row r="944" spans="7:18" x14ac:dyDescent="0.25">
      <c r="G944" s="19"/>
      <c r="J944" s="19"/>
      <c r="K944" s="19"/>
      <c r="L944" s="19"/>
      <c r="R944" s="19"/>
    </row>
    <row r="945" spans="7:18" x14ac:dyDescent="0.25">
      <c r="G945" s="19"/>
      <c r="J945" s="19"/>
      <c r="K945" s="19"/>
      <c r="L945" s="19"/>
      <c r="R945" s="19"/>
    </row>
    <row r="946" spans="7:18" x14ac:dyDescent="0.25">
      <c r="G946" s="19"/>
      <c r="J946" s="19"/>
      <c r="K946" s="19"/>
      <c r="L946" s="19"/>
      <c r="R946" s="19"/>
    </row>
    <row r="947" spans="7:18" x14ac:dyDescent="0.25">
      <c r="G947" s="19"/>
      <c r="J947" s="19"/>
      <c r="K947" s="19"/>
      <c r="L947" s="19"/>
      <c r="R947" s="19"/>
    </row>
    <row r="948" spans="7:18" x14ac:dyDescent="0.25">
      <c r="G948" s="19"/>
      <c r="J948" s="19"/>
      <c r="K948" s="19"/>
      <c r="L948" s="19"/>
      <c r="R948" s="19"/>
    </row>
    <row r="949" spans="7:18" x14ac:dyDescent="0.25">
      <c r="G949" s="19"/>
      <c r="J949" s="19"/>
      <c r="K949" s="19"/>
      <c r="L949" s="19"/>
      <c r="R949" s="19"/>
    </row>
    <row r="950" spans="7:18" x14ac:dyDescent="0.25">
      <c r="G950" s="19"/>
      <c r="J950" s="19"/>
      <c r="K950" s="19"/>
      <c r="L950" s="19"/>
      <c r="R950" s="19"/>
    </row>
    <row r="951" spans="7:18" x14ac:dyDescent="0.25">
      <c r="G951" s="19"/>
      <c r="J951" s="19"/>
      <c r="K951" s="19"/>
      <c r="L951" s="19"/>
      <c r="R951" s="19"/>
    </row>
    <row r="952" spans="7:18" x14ac:dyDescent="0.25">
      <c r="G952" s="19"/>
      <c r="J952" s="19"/>
      <c r="K952" s="19"/>
      <c r="L952" s="19"/>
      <c r="R952" s="19"/>
    </row>
    <row r="953" spans="7:18" x14ac:dyDescent="0.25">
      <c r="G953" s="19"/>
      <c r="J953" s="19"/>
      <c r="K953" s="19"/>
      <c r="L953" s="19"/>
      <c r="R953" s="19"/>
    </row>
    <row r="954" spans="7:18" x14ac:dyDescent="0.25">
      <c r="G954" s="19"/>
      <c r="J954" s="19"/>
      <c r="K954" s="19"/>
      <c r="L954" s="19"/>
      <c r="R954" s="19"/>
    </row>
    <row r="955" spans="7:18" x14ac:dyDescent="0.25">
      <c r="G955" s="19"/>
      <c r="J955" s="19"/>
      <c r="K955" s="19"/>
      <c r="L955" s="19"/>
      <c r="R955" s="19"/>
    </row>
    <row r="956" spans="7:18" x14ac:dyDescent="0.25">
      <c r="G956" s="19"/>
      <c r="J956" s="19"/>
      <c r="K956" s="19"/>
      <c r="L956" s="19"/>
      <c r="R956" s="19"/>
    </row>
    <row r="957" spans="7:18" x14ac:dyDescent="0.25">
      <c r="G957" s="19"/>
      <c r="J957" s="19"/>
      <c r="K957" s="19"/>
      <c r="L957" s="19"/>
      <c r="R957" s="19"/>
    </row>
    <row r="958" spans="7:18" x14ac:dyDescent="0.25">
      <c r="G958" s="19"/>
      <c r="J958" s="19"/>
      <c r="K958" s="19"/>
      <c r="L958" s="19"/>
      <c r="R958" s="19"/>
    </row>
    <row r="959" spans="7:18" x14ac:dyDescent="0.25">
      <c r="G959" s="19"/>
      <c r="J959" s="19"/>
      <c r="K959" s="19"/>
      <c r="L959" s="19"/>
      <c r="R959" s="19"/>
    </row>
    <row r="960" spans="7:18" x14ac:dyDescent="0.25">
      <c r="G960" s="19"/>
      <c r="J960" s="19"/>
      <c r="K960" s="19"/>
      <c r="L960" s="19"/>
      <c r="R960" s="19"/>
    </row>
    <row r="961" spans="7:18" x14ac:dyDescent="0.25">
      <c r="G961" s="19"/>
      <c r="J961" s="19"/>
      <c r="K961" s="19"/>
      <c r="L961" s="19"/>
      <c r="R961" s="19"/>
    </row>
    <row r="962" spans="7:18" x14ac:dyDescent="0.25">
      <c r="G962" s="19"/>
      <c r="J962" s="19"/>
      <c r="K962" s="19"/>
      <c r="L962" s="19"/>
      <c r="R962" s="19"/>
    </row>
    <row r="963" spans="7:18" x14ac:dyDescent="0.25">
      <c r="G963" s="19"/>
      <c r="J963" s="19"/>
      <c r="K963" s="19"/>
      <c r="L963" s="19"/>
      <c r="R963" s="19"/>
    </row>
    <row r="964" spans="7:18" x14ac:dyDescent="0.25">
      <c r="G964" s="19"/>
      <c r="J964" s="19"/>
      <c r="K964" s="19"/>
      <c r="L964" s="19"/>
      <c r="R964" s="19"/>
    </row>
    <row r="965" spans="7:18" x14ac:dyDescent="0.25">
      <c r="G965" s="19"/>
      <c r="J965" s="19"/>
      <c r="K965" s="19"/>
      <c r="L965" s="19"/>
      <c r="R965" s="19"/>
    </row>
    <row r="966" spans="7:18" x14ac:dyDescent="0.25">
      <c r="G966" s="19"/>
      <c r="J966" s="19"/>
      <c r="K966" s="19"/>
      <c r="L966" s="19"/>
      <c r="R966" s="19"/>
    </row>
    <row r="967" spans="7:18" x14ac:dyDescent="0.25">
      <c r="G967" s="19"/>
      <c r="J967" s="19"/>
      <c r="K967" s="19"/>
      <c r="L967" s="19"/>
      <c r="R967" s="19"/>
    </row>
    <row r="968" spans="7:18" x14ac:dyDescent="0.25">
      <c r="G968" s="19"/>
      <c r="J968" s="19"/>
      <c r="K968" s="19"/>
      <c r="L968" s="19"/>
      <c r="R968" s="19"/>
    </row>
    <row r="969" spans="7:18" x14ac:dyDescent="0.25">
      <c r="G969" s="19"/>
      <c r="J969" s="19"/>
      <c r="K969" s="19"/>
      <c r="L969" s="19"/>
      <c r="R969" s="19"/>
    </row>
    <row r="970" spans="7:18" x14ac:dyDescent="0.25">
      <c r="G970" s="19"/>
      <c r="J970" s="19"/>
      <c r="K970" s="19"/>
      <c r="L970" s="19"/>
      <c r="R970" s="19"/>
    </row>
    <row r="971" spans="7:18" x14ac:dyDescent="0.25">
      <c r="G971" s="19"/>
      <c r="J971" s="19"/>
      <c r="K971" s="19"/>
      <c r="L971" s="19"/>
      <c r="R971" s="19"/>
    </row>
    <row r="972" spans="7:18" x14ac:dyDescent="0.25">
      <c r="G972" s="19"/>
      <c r="J972" s="19"/>
      <c r="K972" s="19"/>
      <c r="L972" s="19"/>
      <c r="R972" s="19"/>
    </row>
    <row r="973" spans="7:18" x14ac:dyDescent="0.25">
      <c r="G973" s="19"/>
      <c r="J973" s="19"/>
      <c r="K973" s="19"/>
      <c r="L973" s="19"/>
      <c r="R973" s="19"/>
    </row>
    <row r="974" spans="7:18" x14ac:dyDescent="0.25">
      <c r="G974" s="19"/>
      <c r="J974" s="19"/>
      <c r="K974" s="19"/>
      <c r="L974" s="19"/>
      <c r="R974" s="19"/>
    </row>
    <row r="975" spans="7:18" x14ac:dyDescent="0.25">
      <c r="G975" s="19"/>
      <c r="J975" s="19"/>
      <c r="K975" s="19"/>
      <c r="L975" s="19"/>
      <c r="R975" s="19"/>
    </row>
    <row r="976" spans="7:18" x14ac:dyDescent="0.25">
      <c r="G976" s="19"/>
      <c r="J976" s="19"/>
      <c r="K976" s="19"/>
      <c r="L976" s="19"/>
      <c r="R976" s="19"/>
    </row>
    <row r="977" spans="7:18" x14ac:dyDescent="0.25">
      <c r="G977" s="19"/>
      <c r="J977" s="19"/>
      <c r="K977" s="19"/>
      <c r="L977" s="19"/>
      <c r="R977" s="19"/>
    </row>
    <row r="978" spans="7:18" x14ac:dyDescent="0.25">
      <c r="G978" s="19"/>
      <c r="J978" s="19"/>
      <c r="K978" s="19"/>
      <c r="L978" s="19"/>
      <c r="R978" s="19"/>
    </row>
    <row r="979" spans="7:18" x14ac:dyDescent="0.25">
      <c r="G979" s="19"/>
      <c r="J979" s="19"/>
      <c r="K979" s="19"/>
      <c r="L979" s="19"/>
      <c r="R979" s="19"/>
    </row>
    <row r="980" spans="7:18" x14ac:dyDescent="0.25">
      <c r="G980" s="19"/>
      <c r="J980" s="19"/>
      <c r="K980" s="19"/>
      <c r="L980" s="19"/>
      <c r="R980" s="19"/>
    </row>
    <row r="981" spans="7:18" x14ac:dyDescent="0.25">
      <c r="G981" s="19"/>
      <c r="J981" s="19"/>
      <c r="K981" s="19"/>
      <c r="L981" s="19"/>
      <c r="R981" s="19"/>
    </row>
    <row r="982" spans="7:18" x14ac:dyDescent="0.25">
      <c r="G982" s="19"/>
      <c r="J982" s="19"/>
      <c r="K982" s="19"/>
      <c r="L982" s="19"/>
      <c r="R982" s="19"/>
    </row>
    <row r="983" spans="7:18" x14ac:dyDescent="0.25">
      <c r="G983" s="19"/>
      <c r="J983" s="19"/>
      <c r="K983" s="19"/>
      <c r="L983" s="19"/>
      <c r="R983" s="19"/>
    </row>
    <row r="984" spans="7:18" x14ac:dyDescent="0.25">
      <c r="G984" s="19"/>
      <c r="J984" s="19"/>
      <c r="K984" s="19"/>
      <c r="L984" s="19"/>
      <c r="R984" s="19"/>
    </row>
    <row r="985" spans="7:18" x14ac:dyDescent="0.25">
      <c r="G985" s="19"/>
      <c r="J985" s="19"/>
      <c r="K985" s="19"/>
      <c r="L985" s="19"/>
      <c r="R985" s="19"/>
    </row>
    <row r="986" spans="7:18" x14ac:dyDescent="0.25">
      <c r="G986" s="19"/>
      <c r="J986" s="19"/>
      <c r="K986" s="19"/>
      <c r="L986" s="19"/>
      <c r="R986" s="19"/>
    </row>
    <row r="987" spans="7:18" x14ac:dyDescent="0.25">
      <c r="G987" s="19"/>
      <c r="J987" s="19"/>
      <c r="K987" s="19"/>
      <c r="L987" s="19"/>
      <c r="R987" s="19"/>
    </row>
    <row r="988" spans="7:18" x14ac:dyDescent="0.25">
      <c r="G988" s="19"/>
      <c r="J988" s="19"/>
      <c r="K988" s="19"/>
      <c r="L988" s="19"/>
      <c r="R988" s="19"/>
    </row>
    <row r="989" spans="7:18" x14ac:dyDescent="0.25">
      <c r="G989" s="19"/>
      <c r="J989" s="19"/>
      <c r="K989" s="19"/>
      <c r="L989" s="19"/>
      <c r="R989" s="19"/>
    </row>
    <row r="990" spans="7:18" x14ac:dyDescent="0.25">
      <c r="G990" s="19"/>
      <c r="J990" s="19"/>
      <c r="K990" s="19"/>
      <c r="L990" s="19"/>
      <c r="R990" s="19"/>
    </row>
    <row r="991" spans="7:18" x14ac:dyDescent="0.25">
      <c r="G991" s="19"/>
      <c r="J991" s="19"/>
      <c r="K991" s="19"/>
      <c r="L991" s="19"/>
      <c r="R991" s="19"/>
    </row>
    <row r="992" spans="7:18" x14ac:dyDescent="0.25">
      <c r="G992" s="19"/>
      <c r="J992" s="19"/>
      <c r="K992" s="19"/>
      <c r="L992" s="19"/>
      <c r="R992" s="19"/>
    </row>
    <row r="993" spans="7:18" x14ac:dyDescent="0.25">
      <c r="G993" s="19"/>
      <c r="J993" s="19"/>
      <c r="K993" s="19"/>
      <c r="L993" s="19"/>
      <c r="R993" s="19"/>
    </row>
    <row r="994" spans="7:18" x14ac:dyDescent="0.25">
      <c r="G994" s="19"/>
      <c r="J994" s="19"/>
      <c r="K994" s="19"/>
      <c r="L994" s="19"/>
      <c r="R994" s="19"/>
    </row>
    <row r="995" spans="7:18" x14ac:dyDescent="0.25">
      <c r="G995" s="19"/>
      <c r="J995" s="19"/>
      <c r="K995" s="19"/>
      <c r="L995" s="19"/>
      <c r="R995" s="19"/>
    </row>
    <row r="996" spans="7:18" x14ac:dyDescent="0.25">
      <c r="G996" s="19"/>
      <c r="J996" s="19"/>
      <c r="K996" s="19"/>
      <c r="L996" s="19"/>
      <c r="R996" s="19"/>
    </row>
    <row r="997" spans="7:18" x14ac:dyDescent="0.25">
      <c r="G997" s="19"/>
      <c r="J997" s="19"/>
      <c r="K997" s="19"/>
      <c r="L997" s="19"/>
      <c r="R997" s="19"/>
    </row>
    <row r="998" spans="7:18" x14ac:dyDescent="0.25">
      <c r="G998" s="19"/>
      <c r="J998" s="19"/>
      <c r="K998" s="19"/>
      <c r="L998" s="19"/>
      <c r="R998" s="19"/>
    </row>
    <row r="999" spans="7:18" x14ac:dyDescent="0.25">
      <c r="G999" s="19"/>
      <c r="J999" s="19"/>
      <c r="K999" s="19"/>
      <c r="L999" s="19"/>
      <c r="R999" s="19"/>
    </row>
    <row r="1000" spans="7:18" x14ac:dyDescent="0.25">
      <c r="G1000" s="19"/>
      <c r="J1000" s="19"/>
      <c r="K1000" s="19"/>
      <c r="L1000" s="19"/>
      <c r="R1000" s="19"/>
    </row>
    <row r="1002" spans="7:18" x14ac:dyDescent="0.25">
      <c r="G1002" s="19"/>
      <c r="J1002" s="19"/>
      <c r="K1002" s="19"/>
      <c r="L1002" s="19"/>
      <c r="R1002" s="19"/>
    </row>
    <row r="1003" spans="7:18" x14ac:dyDescent="0.25">
      <c r="G1003" s="19"/>
      <c r="J1003" s="19"/>
      <c r="K1003" s="19"/>
      <c r="L1003" s="19"/>
      <c r="R1003" s="19"/>
    </row>
    <row r="1004" spans="7:18" x14ac:dyDescent="0.25">
      <c r="G1004" s="19"/>
      <c r="J1004" s="19"/>
      <c r="K1004" s="19"/>
      <c r="L1004" s="19"/>
      <c r="R1004" s="19"/>
    </row>
    <row r="1005" spans="7:18" x14ac:dyDescent="0.25">
      <c r="G1005" s="19"/>
      <c r="J1005" s="19"/>
      <c r="K1005" s="19"/>
      <c r="L1005" s="19"/>
      <c r="R1005" s="19"/>
    </row>
    <row r="1006" spans="7:18" x14ac:dyDescent="0.25">
      <c r="G1006" s="19"/>
      <c r="J1006" s="19"/>
      <c r="K1006" s="19"/>
      <c r="L1006" s="19"/>
      <c r="R1006" s="19"/>
    </row>
    <row r="1007" spans="7:18" x14ac:dyDescent="0.25">
      <c r="G1007" s="19"/>
      <c r="J1007" s="19"/>
      <c r="K1007" s="19"/>
      <c r="L1007" s="19"/>
      <c r="R1007" s="19"/>
    </row>
    <row r="1008" spans="7:18" x14ac:dyDescent="0.25">
      <c r="G1008" s="19"/>
      <c r="J1008" s="19"/>
      <c r="K1008" s="19"/>
      <c r="L1008" s="19"/>
      <c r="R1008" s="19"/>
    </row>
    <row r="1009" spans="7:18" x14ac:dyDescent="0.25">
      <c r="G1009" s="19"/>
      <c r="J1009" s="19"/>
      <c r="K1009" s="19"/>
      <c r="L1009" s="19"/>
      <c r="R1009" s="19"/>
    </row>
    <row r="1010" spans="7:18" x14ac:dyDescent="0.25">
      <c r="G1010" s="19"/>
      <c r="J1010" s="19"/>
      <c r="K1010" s="19"/>
      <c r="L1010" s="19"/>
      <c r="R1010" s="19"/>
    </row>
    <row r="1011" spans="7:18" x14ac:dyDescent="0.25">
      <c r="G1011" s="19"/>
      <c r="J1011" s="19"/>
      <c r="K1011" s="19"/>
      <c r="L1011" s="19"/>
      <c r="R1011" s="19"/>
    </row>
    <row r="1012" spans="7:18" x14ac:dyDescent="0.25">
      <c r="G1012" s="19"/>
      <c r="J1012" s="19"/>
      <c r="K1012" s="19"/>
      <c r="L1012" s="19"/>
      <c r="R1012" s="19"/>
    </row>
    <row r="1013" spans="7:18" x14ac:dyDescent="0.25">
      <c r="G1013" s="19"/>
      <c r="J1013" s="19"/>
      <c r="K1013" s="19"/>
      <c r="L1013" s="19"/>
      <c r="R1013" s="19"/>
    </row>
    <row r="1014" spans="7:18" x14ac:dyDescent="0.25">
      <c r="G1014" s="19"/>
      <c r="J1014" s="19"/>
      <c r="K1014" s="19"/>
      <c r="L1014" s="19"/>
      <c r="R1014" s="19"/>
    </row>
    <row r="1015" spans="7:18" x14ac:dyDescent="0.25">
      <c r="G1015" s="19"/>
      <c r="J1015" s="19"/>
      <c r="K1015" s="19"/>
      <c r="L1015" s="19"/>
      <c r="R1015" s="19"/>
    </row>
    <row r="1016" spans="7:18" x14ac:dyDescent="0.25">
      <c r="G1016" s="19"/>
      <c r="J1016" s="19"/>
      <c r="K1016" s="19"/>
      <c r="L1016" s="19"/>
      <c r="R1016" s="19"/>
    </row>
    <row r="1017" spans="7:18" x14ac:dyDescent="0.25">
      <c r="G1017" s="19"/>
      <c r="J1017" s="19"/>
      <c r="K1017" s="19"/>
      <c r="L1017" s="19"/>
      <c r="R1017" s="19"/>
    </row>
    <row r="1018" spans="7:18" x14ac:dyDescent="0.25">
      <c r="G1018" s="19"/>
      <c r="J1018" s="19"/>
      <c r="K1018" s="19"/>
      <c r="L1018" s="19"/>
      <c r="R1018" s="19"/>
    </row>
    <row r="1019" spans="7:18" x14ac:dyDescent="0.25">
      <c r="G1019" s="19"/>
      <c r="J1019" s="19"/>
      <c r="K1019" s="19"/>
      <c r="L1019" s="19"/>
      <c r="R1019" s="19"/>
    </row>
    <row r="1020" spans="7:18" x14ac:dyDescent="0.25">
      <c r="G1020" s="19"/>
      <c r="J1020" s="19"/>
      <c r="K1020" s="19"/>
      <c r="L1020" s="19"/>
      <c r="R1020" s="19"/>
    </row>
    <row r="1021" spans="7:18" x14ac:dyDescent="0.25">
      <c r="G1021" s="19"/>
      <c r="J1021" s="19"/>
      <c r="K1021" s="19"/>
      <c r="L1021" s="19"/>
      <c r="R1021" s="19"/>
    </row>
    <row r="1022" spans="7:18" x14ac:dyDescent="0.25">
      <c r="G1022" s="19"/>
      <c r="J1022" s="19"/>
      <c r="K1022" s="19"/>
      <c r="L1022" s="19"/>
      <c r="R1022" s="19"/>
    </row>
    <row r="1023" spans="7:18" x14ac:dyDescent="0.25">
      <c r="G1023" s="19"/>
      <c r="J1023" s="19"/>
      <c r="K1023" s="19"/>
      <c r="L1023" s="19"/>
      <c r="R1023" s="19"/>
    </row>
    <row r="1024" spans="7:18" x14ac:dyDescent="0.25">
      <c r="G1024" s="19"/>
      <c r="J1024" s="19"/>
      <c r="K1024" s="19"/>
      <c r="L1024" s="19"/>
      <c r="R1024" s="19"/>
    </row>
    <row r="1025" spans="7:18" x14ac:dyDescent="0.25">
      <c r="G1025" s="19"/>
      <c r="J1025" s="19"/>
      <c r="K1025" s="19"/>
      <c r="L1025" s="19"/>
      <c r="R1025" s="19"/>
    </row>
    <row r="1026" spans="7:18" x14ac:dyDescent="0.25">
      <c r="G1026" s="19"/>
      <c r="J1026" s="19"/>
      <c r="K1026" s="19"/>
      <c r="L1026" s="19"/>
      <c r="R1026" s="19"/>
    </row>
    <row r="1027" spans="7:18" x14ac:dyDescent="0.25">
      <c r="G1027" s="19"/>
      <c r="J1027" s="19"/>
      <c r="K1027" s="19"/>
      <c r="L1027" s="19"/>
      <c r="R1027" s="19"/>
    </row>
    <row r="1028" spans="7:18" x14ac:dyDescent="0.25">
      <c r="G1028" s="19"/>
      <c r="J1028" s="19"/>
      <c r="K1028" s="19"/>
      <c r="L1028" s="19"/>
      <c r="R1028" s="19"/>
    </row>
    <row r="1029" spans="7:18" x14ac:dyDescent="0.25">
      <c r="G1029" s="19"/>
      <c r="J1029" s="19"/>
      <c r="K1029" s="19"/>
      <c r="L1029" s="19"/>
      <c r="R1029" s="19"/>
    </row>
    <row r="1030" spans="7:18" x14ac:dyDescent="0.25">
      <c r="G1030" s="19"/>
      <c r="J1030" s="19"/>
      <c r="K1030" s="19"/>
      <c r="L1030" s="19"/>
      <c r="R1030" s="19"/>
    </row>
    <row r="1031" spans="7:18" x14ac:dyDescent="0.25">
      <c r="G1031" s="19"/>
      <c r="J1031" s="19"/>
      <c r="K1031" s="19"/>
      <c r="L1031" s="19"/>
      <c r="R1031" s="19"/>
    </row>
    <row r="1032" spans="7:18" x14ac:dyDescent="0.25">
      <c r="G1032" s="19"/>
      <c r="J1032" s="19"/>
      <c r="K1032" s="19"/>
      <c r="L1032" s="19"/>
      <c r="R1032" s="19"/>
    </row>
    <row r="1033" spans="7:18" x14ac:dyDescent="0.25">
      <c r="G1033" s="19"/>
      <c r="J1033" s="19"/>
      <c r="K1033" s="19"/>
      <c r="L1033" s="19"/>
      <c r="R1033" s="19"/>
    </row>
    <row r="1034" spans="7:18" x14ac:dyDescent="0.25">
      <c r="G1034" s="19"/>
      <c r="J1034" s="19"/>
      <c r="K1034" s="19"/>
      <c r="L1034" s="19"/>
      <c r="R1034" s="19"/>
    </row>
    <row r="1035" spans="7:18" x14ac:dyDescent="0.25">
      <c r="G1035" s="19"/>
      <c r="J1035" s="19"/>
      <c r="K1035" s="19"/>
      <c r="L1035" s="19"/>
      <c r="R1035" s="19"/>
    </row>
    <row r="1036" spans="7:18" x14ac:dyDescent="0.25">
      <c r="G1036" s="19"/>
      <c r="J1036" s="19"/>
      <c r="K1036" s="19"/>
      <c r="L1036" s="19"/>
      <c r="R1036" s="19"/>
    </row>
    <row r="1037" spans="7:18" x14ac:dyDescent="0.25">
      <c r="G1037" s="19"/>
      <c r="J1037" s="19"/>
      <c r="K1037" s="19"/>
      <c r="L1037" s="19"/>
      <c r="R1037" s="19"/>
    </row>
    <row r="1038" spans="7:18" x14ac:dyDescent="0.25">
      <c r="G1038" s="19"/>
      <c r="J1038" s="19"/>
      <c r="K1038" s="19"/>
      <c r="L1038" s="19"/>
      <c r="R1038" s="19"/>
    </row>
    <row r="1039" spans="7:18" x14ac:dyDescent="0.25">
      <c r="G1039" s="19"/>
      <c r="J1039" s="19"/>
      <c r="K1039" s="19"/>
      <c r="L1039" s="19"/>
      <c r="R1039" s="19"/>
    </row>
    <row r="1040" spans="7:18" x14ac:dyDescent="0.25">
      <c r="G1040" s="19"/>
      <c r="J1040" s="19"/>
      <c r="K1040" s="19"/>
      <c r="L1040" s="19"/>
      <c r="R1040" s="19"/>
    </row>
    <row r="1041" spans="7:18" x14ac:dyDescent="0.25">
      <c r="G1041" s="19"/>
      <c r="J1041" s="19"/>
      <c r="K1041" s="19"/>
      <c r="L1041" s="19"/>
      <c r="R1041" s="19"/>
    </row>
    <row r="1042" spans="7:18" x14ac:dyDescent="0.25">
      <c r="G1042" s="19"/>
      <c r="J1042" s="19"/>
      <c r="K1042" s="19"/>
      <c r="L1042" s="19"/>
      <c r="R1042" s="19"/>
    </row>
    <row r="1043" spans="7:18" x14ac:dyDescent="0.25">
      <c r="G1043" s="19"/>
      <c r="J1043" s="19"/>
      <c r="K1043" s="19"/>
      <c r="L1043" s="19"/>
      <c r="R1043" s="19"/>
    </row>
    <row r="1044" spans="7:18" x14ac:dyDescent="0.25">
      <c r="G1044" s="19"/>
      <c r="J1044" s="19"/>
      <c r="K1044" s="19"/>
      <c r="L1044" s="19"/>
      <c r="R1044" s="19"/>
    </row>
    <row r="1045" spans="7:18" x14ac:dyDescent="0.25">
      <c r="G1045" s="19"/>
      <c r="J1045" s="19"/>
      <c r="K1045" s="19"/>
      <c r="L1045" s="19"/>
      <c r="R1045" s="19"/>
    </row>
    <row r="1046" spans="7:18" x14ac:dyDescent="0.25">
      <c r="G1046" s="19"/>
      <c r="J1046" s="19"/>
      <c r="K1046" s="19"/>
      <c r="L1046" s="19"/>
      <c r="R1046" s="19"/>
    </row>
    <row r="1047" spans="7:18" x14ac:dyDescent="0.25">
      <c r="G1047" s="19"/>
      <c r="J1047" s="19"/>
      <c r="K1047" s="19"/>
      <c r="L1047" s="19"/>
      <c r="R1047" s="19"/>
    </row>
    <row r="1048" spans="7:18" x14ac:dyDescent="0.25">
      <c r="G1048" s="19"/>
      <c r="J1048" s="19"/>
      <c r="K1048" s="19"/>
      <c r="L1048" s="19"/>
      <c r="R1048" s="19"/>
    </row>
    <row r="1049" spans="7:18" x14ac:dyDescent="0.25">
      <c r="G1049" s="19"/>
      <c r="J1049" s="19"/>
      <c r="K1049" s="19"/>
      <c r="L1049" s="19"/>
      <c r="R1049" s="19"/>
    </row>
    <row r="1050" spans="7:18" x14ac:dyDescent="0.25">
      <c r="G1050" s="19"/>
      <c r="J1050" s="19"/>
      <c r="K1050" s="19"/>
      <c r="L1050" s="19"/>
      <c r="R1050" s="19"/>
    </row>
    <row r="1051" spans="7:18" x14ac:dyDescent="0.25">
      <c r="G1051" s="19"/>
      <c r="J1051" s="19"/>
      <c r="K1051" s="19"/>
      <c r="L1051" s="19"/>
      <c r="R1051" s="19"/>
    </row>
    <row r="1052" spans="7:18" x14ac:dyDescent="0.25">
      <c r="G1052" s="19"/>
      <c r="J1052" s="19"/>
      <c r="K1052" s="19"/>
      <c r="L1052" s="19"/>
      <c r="R1052" s="19"/>
    </row>
    <row r="1053" spans="7:18" x14ac:dyDescent="0.25">
      <c r="G1053" s="19"/>
      <c r="J1053" s="19"/>
      <c r="K1053" s="19"/>
      <c r="L1053" s="19"/>
      <c r="R1053" s="19"/>
    </row>
    <row r="1054" spans="7:18" x14ac:dyDescent="0.25">
      <c r="G1054" s="19"/>
      <c r="J1054" s="19"/>
      <c r="K1054" s="19"/>
      <c r="L1054" s="19"/>
      <c r="R1054" s="19"/>
    </row>
    <row r="1055" spans="7:18" x14ac:dyDescent="0.25">
      <c r="G1055" s="19"/>
      <c r="J1055" s="19"/>
      <c r="K1055" s="19"/>
      <c r="L1055" s="19"/>
      <c r="R1055" s="19"/>
    </row>
    <row r="1056" spans="7:18" x14ac:dyDescent="0.25">
      <c r="G1056" s="19"/>
      <c r="J1056" s="19"/>
      <c r="K1056" s="19"/>
      <c r="L1056" s="19"/>
      <c r="R1056" s="19"/>
    </row>
    <row r="1057" spans="7:18" x14ac:dyDescent="0.25">
      <c r="G1057" s="19"/>
      <c r="J1057" s="19"/>
      <c r="K1057" s="19"/>
      <c r="L1057" s="19"/>
      <c r="R1057" s="19"/>
    </row>
    <row r="1058" spans="7:18" x14ac:dyDescent="0.25">
      <c r="G1058" s="19"/>
      <c r="J1058" s="19"/>
      <c r="K1058" s="19"/>
      <c r="L1058" s="19"/>
      <c r="R1058" s="19"/>
    </row>
    <row r="1059" spans="7:18" x14ac:dyDescent="0.25">
      <c r="G1059" s="19"/>
      <c r="J1059" s="19"/>
      <c r="K1059" s="19"/>
      <c r="L1059" s="19"/>
      <c r="R1059" s="19"/>
    </row>
    <row r="1060" spans="7:18" x14ac:dyDescent="0.25">
      <c r="G1060" s="19"/>
      <c r="J1060" s="19"/>
      <c r="K1060" s="19"/>
      <c r="L1060" s="19"/>
      <c r="R1060" s="19"/>
    </row>
    <row r="1061" spans="7:18" x14ac:dyDescent="0.25">
      <c r="G1061" s="19"/>
      <c r="J1061" s="19"/>
      <c r="K1061" s="19"/>
      <c r="L1061" s="19"/>
      <c r="R1061" s="19"/>
    </row>
    <row r="1062" spans="7:18" x14ac:dyDescent="0.25">
      <c r="G1062" s="19"/>
      <c r="J1062" s="19"/>
      <c r="K1062" s="19"/>
      <c r="L1062" s="19"/>
      <c r="R1062" s="19"/>
    </row>
    <row r="1063" spans="7:18" x14ac:dyDescent="0.25">
      <c r="G1063" s="19"/>
      <c r="J1063" s="19"/>
      <c r="K1063" s="19"/>
      <c r="L1063" s="19"/>
      <c r="R1063" s="19"/>
    </row>
    <row r="1064" spans="7:18" x14ac:dyDescent="0.25">
      <c r="G1064" s="19"/>
      <c r="J1064" s="19"/>
      <c r="K1064" s="19"/>
      <c r="L1064" s="19"/>
      <c r="R1064" s="19"/>
    </row>
    <row r="1065" spans="7:18" x14ac:dyDescent="0.25">
      <c r="G1065" s="19"/>
      <c r="J1065" s="19"/>
      <c r="K1065" s="19"/>
      <c r="L1065" s="19"/>
      <c r="R1065" s="19"/>
    </row>
    <row r="1066" spans="7:18" x14ac:dyDescent="0.25">
      <c r="G1066" s="19"/>
      <c r="J1066" s="19"/>
      <c r="K1066" s="19"/>
      <c r="L1066" s="19"/>
      <c r="R1066" s="19"/>
    </row>
    <row r="1067" spans="7:18" x14ac:dyDescent="0.25">
      <c r="G1067" s="19"/>
      <c r="J1067" s="19"/>
      <c r="K1067" s="19"/>
      <c r="L1067" s="19"/>
      <c r="R1067" s="19"/>
    </row>
    <row r="1068" spans="7:18" x14ac:dyDescent="0.25">
      <c r="G1068" s="19"/>
      <c r="J1068" s="19"/>
      <c r="K1068" s="19"/>
      <c r="L1068" s="19"/>
      <c r="R1068" s="19"/>
    </row>
    <row r="1069" spans="7:18" x14ac:dyDescent="0.25">
      <c r="G1069" s="19"/>
      <c r="J1069" s="19"/>
      <c r="K1069" s="19"/>
      <c r="L1069" s="19"/>
      <c r="R1069" s="19"/>
    </row>
    <row r="1070" spans="7:18" x14ac:dyDescent="0.25">
      <c r="G1070" s="19"/>
      <c r="J1070" s="19"/>
      <c r="K1070" s="19"/>
      <c r="L1070" s="19"/>
      <c r="R1070" s="19"/>
    </row>
    <row r="1071" spans="7:18" x14ac:dyDescent="0.25">
      <c r="G1071" s="19"/>
      <c r="J1071" s="19"/>
      <c r="K1071" s="19"/>
      <c r="L1071" s="19"/>
      <c r="R1071" s="19"/>
    </row>
    <row r="1072" spans="7:18" x14ac:dyDescent="0.25">
      <c r="G1072" s="19"/>
      <c r="J1072" s="19"/>
      <c r="K1072" s="19"/>
      <c r="L1072" s="19"/>
      <c r="R1072" s="19"/>
    </row>
    <row r="1073" spans="7:18" x14ac:dyDescent="0.25">
      <c r="G1073" s="19"/>
      <c r="J1073" s="19"/>
      <c r="K1073" s="19"/>
      <c r="L1073" s="19"/>
      <c r="R1073" s="19"/>
    </row>
    <row r="1074" spans="7:18" x14ac:dyDescent="0.25">
      <c r="G1074" s="19"/>
      <c r="J1074" s="19"/>
      <c r="K1074" s="19"/>
      <c r="L1074" s="19"/>
      <c r="R1074" s="19"/>
    </row>
    <row r="1075" spans="7:18" x14ac:dyDescent="0.25">
      <c r="G1075" s="19"/>
      <c r="J1075" s="19"/>
      <c r="K1075" s="19"/>
      <c r="L1075" s="19"/>
      <c r="R1075" s="19"/>
    </row>
    <row r="1076" spans="7:18" x14ac:dyDescent="0.25">
      <c r="G1076" s="19"/>
      <c r="J1076" s="19"/>
      <c r="K1076" s="19"/>
      <c r="L1076" s="19"/>
      <c r="R1076" s="19"/>
    </row>
    <row r="1077" spans="7:18" x14ac:dyDescent="0.25">
      <c r="G1077" s="19"/>
      <c r="J1077" s="19"/>
      <c r="K1077" s="19"/>
      <c r="L1077" s="19"/>
      <c r="R1077" s="19"/>
    </row>
    <row r="1078" spans="7:18" x14ac:dyDescent="0.25">
      <c r="G1078" s="19"/>
      <c r="J1078" s="19"/>
      <c r="K1078" s="19"/>
      <c r="L1078" s="19"/>
      <c r="R1078" s="19"/>
    </row>
    <row r="1079" spans="7:18" x14ac:dyDescent="0.25">
      <c r="G1079" s="19"/>
      <c r="J1079" s="19"/>
      <c r="K1079" s="19"/>
      <c r="L1079" s="19"/>
      <c r="R1079" s="19"/>
    </row>
    <row r="1080" spans="7:18" x14ac:dyDescent="0.25">
      <c r="G1080" s="19"/>
      <c r="J1080" s="19"/>
      <c r="K1080" s="19"/>
      <c r="L1080" s="19"/>
      <c r="R1080" s="19"/>
    </row>
    <row r="1081" spans="7:18" x14ac:dyDescent="0.25">
      <c r="G1081" s="19"/>
      <c r="J1081" s="19"/>
      <c r="K1081" s="19"/>
      <c r="L1081" s="19"/>
      <c r="R1081" s="19"/>
    </row>
    <row r="1082" spans="7:18" x14ac:dyDescent="0.25">
      <c r="G1082" s="19"/>
      <c r="J1082" s="19"/>
      <c r="K1082" s="19"/>
      <c r="L1082" s="19"/>
      <c r="R1082" s="19"/>
    </row>
    <row r="1083" spans="7:18" x14ac:dyDescent="0.25">
      <c r="G1083" s="19"/>
      <c r="J1083" s="19"/>
      <c r="K1083" s="19"/>
      <c r="L1083" s="19"/>
      <c r="R1083" s="19"/>
    </row>
    <row r="1084" spans="7:18" x14ac:dyDescent="0.25">
      <c r="G1084" s="19"/>
      <c r="J1084" s="19"/>
      <c r="K1084" s="19"/>
      <c r="L1084" s="19"/>
      <c r="R1084" s="19"/>
    </row>
    <row r="1085" spans="7:18" x14ac:dyDescent="0.25">
      <c r="G1085" s="19"/>
      <c r="J1085" s="19"/>
      <c r="K1085" s="19"/>
      <c r="L1085" s="19"/>
      <c r="R1085" s="19"/>
    </row>
    <row r="1086" spans="7:18" x14ac:dyDescent="0.25">
      <c r="G1086" s="19"/>
      <c r="J1086" s="19"/>
      <c r="K1086" s="19"/>
      <c r="L1086" s="19"/>
      <c r="R1086" s="19"/>
    </row>
    <row r="1087" spans="7:18" x14ac:dyDescent="0.25">
      <c r="G1087" s="19"/>
      <c r="J1087" s="19"/>
      <c r="K1087" s="19"/>
      <c r="L1087" s="19"/>
      <c r="R1087" s="19"/>
    </row>
    <row r="1088" spans="7:18" x14ac:dyDescent="0.25">
      <c r="G1088" s="19"/>
      <c r="J1088" s="19"/>
      <c r="K1088" s="19"/>
      <c r="L1088" s="19"/>
      <c r="R1088" s="19"/>
    </row>
    <row r="1089" spans="7:18" x14ac:dyDescent="0.25">
      <c r="G1089" s="19"/>
      <c r="J1089" s="19"/>
      <c r="K1089" s="19"/>
      <c r="L1089" s="19"/>
      <c r="R1089" s="19"/>
    </row>
    <row r="1090" spans="7:18" x14ac:dyDescent="0.25">
      <c r="G1090" s="19"/>
      <c r="J1090" s="19"/>
      <c r="K1090" s="19"/>
      <c r="L1090" s="19"/>
      <c r="R1090" s="19"/>
    </row>
    <row r="1091" spans="7:18" x14ac:dyDescent="0.25">
      <c r="G1091" s="19"/>
      <c r="J1091" s="19"/>
      <c r="K1091" s="19"/>
      <c r="L1091" s="19"/>
      <c r="R1091" s="19"/>
    </row>
    <row r="1092" spans="7:18" x14ac:dyDescent="0.25">
      <c r="G1092" s="19"/>
      <c r="J1092" s="19"/>
      <c r="K1092" s="19"/>
      <c r="L1092" s="19"/>
      <c r="R1092" s="19"/>
    </row>
    <row r="1093" spans="7:18" x14ac:dyDescent="0.25">
      <c r="G1093" s="19"/>
      <c r="J1093" s="19"/>
      <c r="K1093" s="19"/>
      <c r="L1093" s="19"/>
      <c r="R1093" s="19"/>
    </row>
    <row r="1094" spans="7:18" x14ac:dyDescent="0.25">
      <c r="G1094" s="19"/>
      <c r="J1094" s="19"/>
      <c r="K1094" s="19"/>
      <c r="L1094" s="19"/>
      <c r="R1094" s="19"/>
    </row>
    <row r="1095" spans="7:18" x14ac:dyDescent="0.25">
      <c r="G1095" s="19"/>
      <c r="J1095" s="19"/>
      <c r="K1095" s="19"/>
      <c r="L1095" s="19"/>
      <c r="R1095" s="19"/>
    </row>
    <row r="1096" spans="7:18" x14ac:dyDescent="0.25">
      <c r="G1096" s="19"/>
      <c r="J1096" s="19"/>
      <c r="K1096" s="19"/>
      <c r="L1096" s="19"/>
      <c r="R1096" s="19"/>
    </row>
    <row r="1097" spans="7:18" x14ac:dyDescent="0.25">
      <c r="G1097" s="19"/>
      <c r="J1097" s="19"/>
      <c r="K1097" s="19"/>
      <c r="L1097" s="19"/>
      <c r="R1097" s="19"/>
    </row>
    <row r="1098" spans="7:18" x14ac:dyDescent="0.25">
      <c r="G1098" s="19"/>
      <c r="J1098" s="19"/>
      <c r="K1098" s="19"/>
      <c r="L1098" s="19"/>
      <c r="R1098" s="19"/>
    </row>
    <row r="1099" spans="7:18" x14ac:dyDescent="0.25">
      <c r="G1099" s="19"/>
      <c r="J1099" s="19"/>
      <c r="K1099" s="19"/>
      <c r="L1099" s="19"/>
      <c r="R1099" s="19"/>
    </row>
    <row r="1100" spans="7:18" x14ac:dyDescent="0.25">
      <c r="G1100" s="19"/>
      <c r="J1100" s="19"/>
      <c r="K1100" s="19"/>
      <c r="L1100" s="19"/>
      <c r="R1100" s="19"/>
    </row>
    <row r="1101" spans="7:18" x14ac:dyDescent="0.25">
      <c r="G1101" s="19"/>
      <c r="J1101" s="19"/>
      <c r="K1101" s="19"/>
      <c r="L1101" s="19"/>
      <c r="R1101" s="19"/>
    </row>
    <row r="1102" spans="7:18" x14ac:dyDescent="0.25">
      <c r="G1102" s="19"/>
      <c r="J1102" s="19"/>
      <c r="K1102" s="19"/>
      <c r="L1102" s="19"/>
      <c r="R1102" s="19"/>
    </row>
    <row r="1103" spans="7:18" x14ac:dyDescent="0.25">
      <c r="G1103" s="19"/>
      <c r="J1103" s="19"/>
      <c r="K1103" s="19"/>
      <c r="L1103" s="19"/>
      <c r="R1103" s="19"/>
    </row>
    <row r="1104" spans="7:18" x14ac:dyDescent="0.25">
      <c r="G1104" s="19"/>
      <c r="J1104" s="19"/>
      <c r="K1104" s="19"/>
      <c r="L1104" s="19"/>
      <c r="R1104" s="19"/>
    </row>
    <row r="1105" spans="7:18" x14ac:dyDescent="0.25">
      <c r="G1105" s="19"/>
      <c r="J1105" s="19"/>
      <c r="K1105" s="19"/>
      <c r="L1105" s="19"/>
      <c r="R1105" s="19"/>
    </row>
    <row r="1106" spans="7:18" x14ac:dyDescent="0.25">
      <c r="G1106" s="19"/>
      <c r="J1106" s="19"/>
      <c r="K1106" s="19"/>
      <c r="L1106" s="19"/>
      <c r="R1106" s="19"/>
    </row>
    <row r="1107" spans="7:18" x14ac:dyDescent="0.25">
      <c r="G1107" s="19"/>
      <c r="J1107" s="19"/>
      <c r="K1107" s="19"/>
      <c r="L1107" s="19"/>
      <c r="R1107" s="19"/>
    </row>
    <row r="1108" spans="7:18" x14ac:dyDescent="0.25">
      <c r="G1108" s="19"/>
      <c r="J1108" s="19"/>
      <c r="K1108" s="19"/>
      <c r="L1108" s="19"/>
      <c r="R1108" s="19"/>
    </row>
    <row r="1109" spans="7:18" x14ac:dyDescent="0.25">
      <c r="G1109" s="19"/>
      <c r="J1109" s="19"/>
      <c r="K1109" s="19"/>
      <c r="L1109" s="19"/>
      <c r="R1109" s="19"/>
    </row>
    <row r="1110" spans="7:18" x14ac:dyDescent="0.25">
      <c r="G1110" s="19"/>
      <c r="J1110" s="19"/>
      <c r="K1110" s="19"/>
      <c r="L1110" s="19"/>
      <c r="R1110" s="19"/>
    </row>
    <row r="1111" spans="7:18" x14ac:dyDescent="0.25">
      <c r="G1111" s="19"/>
      <c r="J1111" s="19"/>
      <c r="K1111" s="19"/>
      <c r="L1111" s="19"/>
      <c r="R1111" s="19"/>
    </row>
    <row r="1112" spans="7:18" x14ac:dyDescent="0.25">
      <c r="G1112" s="19"/>
      <c r="J1112" s="19"/>
      <c r="K1112" s="19"/>
      <c r="L1112" s="19"/>
      <c r="R1112" s="19"/>
    </row>
    <row r="1113" spans="7:18" x14ac:dyDescent="0.25">
      <c r="G1113" s="19"/>
      <c r="J1113" s="19"/>
      <c r="K1113" s="19"/>
      <c r="L1113" s="19"/>
      <c r="R1113" s="19"/>
    </row>
    <row r="1114" spans="7:18" x14ac:dyDescent="0.25">
      <c r="G1114" s="19"/>
      <c r="J1114" s="19"/>
      <c r="K1114" s="19"/>
      <c r="L1114" s="19"/>
      <c r="R1114" s="19"/>
    </row>
    <row r="1115" spans="7:18" x14ac:dyDescent="0.25">
      <c r="G1115" s="19"/>
      <c r="J1115" s="19"/>
      <c r="K1115" s="19"/>
      <c r="L1115" s="19"/>
      <c r="R1115" s="19"/>
    </row>
    <row r="1116" spans="7:18" x14ac:dyDescent="0.25">
      <c r="G1116" s="19"/>
      <c r="J1116" s="19"/>
      <c r="K1116" s="19"/>
      <c r="L1116" s="19"/>
      <c r="R1116" s="19"/>
    </row>
    <row r="1117" spans="7:18" x14ac:dyDescent="0.25">
      <c r="G1117" s="19"/>
      <c r="J1117" s="19"/>
      <c r="K1117" s="19"/>
      <c r="L1117" s="19"/>
      <c r="R1117" s="19"/>
    </row>
    <row r="1118" spans="7:18" x14ac:dyDescent="0.25">
      <c r="G1118" s="19"/>
      <c r="J1118" s="19"/>
      <c r="K1118" s="19"/>
      <c r="L1118" s="19"/>
      <c r="R1118" s="19"/>
    </row>
    <row r="1119" spans="7:18" x14ac:dyDescent="0.25">
      <c r="G1119" s="19"/>
      <c r="J1119" s="19"/>
      <c r="K1119" s="19"/>
      <c r="L1119" s="19"/>
      <c r="R1119" s="19"/>
    </row>
    <row r="1120" spans="7:18" x14ac:dyDescent="0.25">
      <c r="G1120" s="19"/>
      <c r="J1120" s="19"/>
      <c r="K1120" s="19"/>
      <c r="L1120" s="19"/>
      <c r="R1120" s="19"/>
    </row>
    <row r="1121" spans="7:18" x14ac:dyDescent="0.25">
      <c r="G1121" s="19"/>
      <c r="J1121" s="19"/>
      <c r="K1121" s="19"/>
      <c r="L1121" s="19"/>
      <c r="R1121" s="19"/>
    </row>
    <row r="1122" spans="7:18" x14ac:dyDescent="0.25">
      <c r="G1122" s="19"/>
      <c r="J1122" s="19"/>
      <c r="K1122" s="19"/>
      <c r="L1122" s="19"/>
      <c r="R1122" s="19"/>
    </row>
    <row r="1123" spans="7:18" x14ac:dyDescent="0.25">
      <c r="G1123" s="19"/>
      <c r="J1123" s="19"/>
      <c r="K1123" s="19"/>
      <c r="L1123" s="19"/>
      <c r="R1123" s="19"/>
    </row>
    <row r="1124" spans="7:18" x14ac:dyDescent="0.25">
      <c r="G1124" s="19"/>
      <c r="J1124" s="19"/>
      <c r="K1124" s="19"/>
      <c r="L1124" s="19"/>
      <c r="R1124" s="19"/>
    </row>
    <row r="1125" spans="7:18" x14ac:dyDescent="0.25">
      <c r="G1125" s="19"/>
      <c r="J1125" s="19"/>
      <c r="K1125" s="19"/>
      <c r="L1125" s="19"/>
      <c r="R1125" s="19"/>
    </row>
    <row r="1126" spans="7:18" x14ac:dyDescent="0.25">
      <c r="G1126" s="19"/>
      <c r="J1126" s="19"/>
      <c r="K1126" s="19"/>
      <c r="L1126" s="19"/>
      <c r="R1126" s="19"/>
    </row>
    <row r="1127" spans="7:18" x14ac:dyDescent="0.25">
      <c r="G1127" s="19"/>
      <c r="J1127" s="19"/>
      <c r="K1127" s="19"/>
      <c r="L1127" s="19"/>
      <c r="R1127" s="19"/>
    </row>
    <row r="1128" spans="7:18" x14ac:dyDescent="0.25">
      <c r="G1128" s="19"/>
      <c r="J1128" s="19"/>
      <c r="K1128" s="19"/>
      <c r="L1128" s="19"/>
      <c r="R1128" s="19"/>
    </row>
    <row r="1129" spans="7:18" x14ac:dyDescent="0.25">
      <c r="G1129" s="19"/>
      <c r="J1129" s="19"/>
      <c r="K1129" s="19"/>
      <c r="L1129" s="19"/>
      <c r="R1129" s="19"/>
    </row>
    <row r="1130" spans="7:18" x14ac:dyDescent="0.25">
      <c r="G1130" s="19"/>
      <c r="J1130" s="19"/>
      <c r="K1130" s="19"/>
      <c r="L1130" s="19"/>
      <c r="R1130" s="19"/>
    </row>
    <row r="1131" spans="7:18" x14ac:dyDescent="0.25">
      <c r="G1131" s="19"/>
      <c r="J1131" s="19"/>
      <c r="K1131" s="19"/>
      <c r="L1131" s="19"/>
      <c r="R1131" s="19"/>
    </row>
    <row r="1132" spans="7:18" x14ac:dyDescent="0.25">
      <c r="G1132" s="19"/>
      <c r="J1132" s="19"/>
      <c r="K1132" s="19"/>
      <c r="L1132" s="19"/>
      <c r="R1132" s="19"/>
    </row>
    <row r="1133" spans="7:18" x14ac:dyDescent="0.25">
      <c r="G1133" s="19"/>
      <c r="J1133" s="19"/>
      <c r="K1133" s="19"/>
      <c r="L1133" s="19"/>
      <c r="R1133" s="19"/>
    </row>
    <row r="1134" spans="7:18" x14ac:dyDescent="0.25">
      <c r="G1134" s="19"/>
      <c r="J1134" s="19"/>
      <c r="K1134" s="19"/>
      <c r="L1134" s="19"/>
      <c r="R1134" s="19"/>
    </row>
    <row r="1135" spans="7:18" x14ac:dyDescent="0.25">
      <c r="G1135" s="19"/>
      <c r="J1135" s="19"/>
      <c r="K1135" s="19"/>
      <c r="L1135" s="19"/>
      <c r="R1135" s="19"/>
    </row>
    <row r="1136" spans="7:18" x14ac:dyDescent="0.25">
      <c r="G1136" s="19"/>
      <c r="J1136" s="19"/>
      <c r="K1136" s="19"/>
      <c r="L1136" s="19"/>
      <c r="R1136" s="19"/>
    </row>
    <row r="1137" spans="7:18" x14ac:dyDescent="0.25">
      <c r="G1137" s="19"/>
      <c r="J1137" s="19"/>
      <c r="K1137" s="19"/>
      <c r="L1137" s="19"/>
      <c r="R1137" s="19"/>
    </row>
    <row r="1138" spans="7:18" x14ac:dyDescent="0.25">
      <c r="G1138" s="19"/>
      <c r="J1138" s="19"/>
      <c r="K1138" s="19"/>
      <c r="L1138" s="19"/>
      <c r="R1138" s="19"/>
    </row>
    <row r="1139" spans="7:18" x14ac:dyDescent="0.25">
      <c r="G1139" s="19"/>
      <c r="J1139" s="19"/>
      <c r="K1139" s="19"/>
      <c r="L1139" s="19"/>
      <c r="R1139" s="19"/>
    </row>
    <row r="1140" spans="7:18" x14ac:dyDescent="0.25">
      <c r="G1140" s="19"/>
      <c r="J1140" s="19"/>
      <c r="K1140" s="19"/>
      <c r="L1140" s="19"/>
      <c r="R1140" s="19"/>
    </row>
    <row r="1141" spans="7:18" x14ac:dyDescent="0.25">
      <c r="G1141" s="19"/>
      <c r="J1141" s="19"/>
      <c r="K1141" s="19"/>
      <c r="L1141" s="19"/>
      <c r="R1141" s="19"/>
    </row>
    <row r="1142" spans="7:18" x14ac:dyDescent="0.25">
      <c r="G1142" s="19"/>
      <c r="J1142" s="19"/>
      <c r="K1142" s="19"/>
      <c r="L1142" s="19"/>
      <c r="R1142" s="19"/>
    </row>
    <row r="1143" spans="7:18" x14ac:dyDescent="0.25">
      <c r="G1143" s="19"/>
      <c r="J1143" s="19"/>
      <c r="K1143" s="19"/>
      <c r="L1143" s="19"/>
      <c r="R1143" s="19"/>
    </row>
    <row r="1144" spans="7:18" x14ac:dyDescent="0.25">
      <c r="G1144" s="19"/>
      <c r="J1144" s="19"/>
      <c r="K1144" s="19"/>
      <c r="L1144" s="19"/>
      <c r="R1144" s="19"/>
    </row>
    <row r="1145" spans="7:18" x14ac:dyDescent="0.25">
      <c r="G1145" s="19"/>
      <c r="J1145" s="19"/>
      <c r="K1145" s="19"/>
      <c r="L1145" s="19"/>
      <c r="R1145" s="19"/>
    </row>
    <row r="1146" spans="7:18" x14ac:dyDescent="0.25">
      <c r="G1146" s="19"/>
      <c r="J1146" s="19"/>
      <c r="K1146" s="19"/>
      <c r="L1146" s="19"/>
      <c r="R1146" s="19"/>
    </row>
    <row r="1147" spans="7:18" x14ac:dyDescent="0.25">
      <c r="G1147" s="19"/>
      <c r="J1147" s="19"/>
      <c r="K1147" s="19"/>
      <c r="L1147" s="19"/>
      <c r="R1147" s="19"/>
    </row>
    <row r="1148" spans="7:18" x14ac:dyDescent="0.25">
      <c r="G1148" s="19"/>
      <c r="J1148" s="19"/>
      <c r="K1148" s="19"/>
      <c r="L1148" s="19"/>
      <c r="R1148" s="19"/>
    </row>
    <row r="1149" spans="7:18" x14ac:dyDescent="0.25">
      <c r="G1149" s="19"/>
      <c r="J1149" s="19"/>
      <c r="K1149" s="19"/>
      <c r="L1149" s="19"/>
      <c r="R1149" s="19"/>
    </row>
    <row r="1150" spans="7:18" x14ac:dyDescent="0.25">
      <c r="G1150" s="19"/>
      <c r="J1150" s="19"/>
      <c r="K1150" s="19"/>
      <c r="L1150" s="19"/>
      <c r="R1150" s="19"/>
    </row>
    <row r="1151" spans="7:18" x14ac:dyDescent="0.25">
      <c r="G1151" s="19"/>
      <c r="J1151" s="19"/>
      <c r="K1151" s="19"/>
      <c r="L1151" s="19"/>
      <c r="R1151" s="19"/>
    </row>
    <row r="1152" spans="7:18" x14ac:dyDescent="0.25">
      <c r="G1152" s="19"/>
      <c r="J1152" s="19"/>
      <c r="K1152" s="19"/>
      <c r="L1152" s="19"/>
      <c r="R1152" s="19"/>
    </row>
    <row r="1153" spans="7:18" x14ac:dyDescent="0.25">
      <c r="G1153" s="19"/>
      <c r="J1153" s="19"/>
      <c r="K1153" s="19"/>
      <c r="L1153" s="19"/>
      <c r="R1153" s="19"/>
    </row>
    <row r="1154" spans="7:18" x14ac:dyDescent="0.25">
      <c r="G1154" s="19"/>
      <c r="J1154" s="19"/>
      <c r="K1154" s="19"/>
      <c r="L1154" s="19"/>
      <c r="R1154" s="19"/>
    </row>
    <row r="1155" spans="7:18" x14ac:dyDescent="0.25">
      <c r="G1155" s="19"/>
      <c r="J1155" s="19"/>
      <c r="K1155" s="19"/>
      <c r="L1155" s="19"/>
      <c r="R1155" s="19"/>
    </row>
    <row r="1156" spans="7:18" x14ac:dyDescent="0.25">
      <c r="G1156" s="19"/>
      <c r="J1156" s="19"/>
      <c r="K1156" s="19"/>
      <c r="L1156" s="19"/>
      <c r="R1156" s="19"/>
    </row>
    <row r="1157" spans="7:18" x14ac:dyDescent="0.25">
      <c r="G1157" s="19"/>
      <c r="J1157" s="19"/>
      <c r="K1157" s="19"/>
      <c r="L1157" s="19"/>
      <c r="R1157" s="19"/>
    </row>
    <row r="1158" spans="7:18" x14ac:dyDescent="0.25">
      <c r="G1158" s="19"/>
      <c r="J1158" s="19"/>
      <c r="K1158" s="19"/>
      <c r="L1158" s="19"/>
      <c r="R1158" s="19"/>
    </row>
    <row r="1159" spans="7:18" x14ac:dyDescent="0.25">
      <c r="G1159" s="19"/>
      <c r="J1159" s="19"/>
      <c r="K1159" s="19"/>
      <c r="L1159" s="19"/>
      <c r="R1159" s="19"/>
    </row>
    <row r="1160" spans="7:18" x14ac:dyDescent="0.25">
      <c r="G1160" s="19"/>
      <c r="J1160" s="19"/>
      <c r="K1160" s="19"/>
      <c r="L1160" s="19"/>
      <c r="R1160" s="19"/>
    </row>
    <row r="1161" spans="7:18" x14ac:dyDescent="0.25">
      <c r="G1161" s="19"/>
      <c r="J1161" s="19"/>
      <c r="K1161" s="19"/>
      <c r="L1161" s="19"/>
      <c r="R1161" s="19"/>
    </row>
    <row r="1162" spans="7:18" x14ac:dyDescent="0.25">
      <c r="G1162" s="19"/>
      <c r="J1162" s="19"/>
      <c r="K1162" s="19"/>
      <c r="L1162" s="19"/>
      <c r="R1162" s="19"/>
    </row>
    <row r="1163" spans="7:18" x14ac:dyDescent="0.25">
      <c r="G1163" s="19"/>
      <c r="J1163" s="19"/>
      <c r="K1163" s="19"/>
      <c r="L1163" s="19"/>
      <c r="R1163" s="19"/>
    </row>
    <row r="1164" spans="7:18" x14ac:dyDescent="0.25">
      <c r="G1164" s="19"/>
      <c r="J1164" s="19"/>
      <c r="K1164" s="19"/>
      <c r="L1164" s="19"/>
      <c r="R1164" s="19"/>
    </row>
    <row r="1165" spans="7:18" x14ac:dyDescent="0.25">
      <c r="G1165" s="19"/>
      <c r="J1165" s="19"/>
      <c r="K1165" s="19"/>
      <c r="L1165" s="19"/>
      <c r="R1165" s="19"/>
    </row>
    <row r="1166" spans="7:18" x14ac:dyDescent="0.25">
      <c r="G1166" s="19"/>
      <c r="J1166" s="19"/>
      <c r="K1166" s="19"/>
      <c r="L1166" s="19"/>
      <c r="R1166" s="19"/>
    </row>
    <row r="1167" spans="7:18" x14ac:dyDescent="0.25">
      <c r="G1167" s="19"/>
      <c r="J1167" s="19"/>
      <c r="K1167" s="19"/>
      <c r="L1167" s="19"/>
      <c r="R1167" s="19"/>
    </row>
    <row r="1168" spans="7:18" x14ac:dyDescent="0.25">
      <c r="G1168" s="19"/>
      <c r="J1168" s="19"/>
      <c r="K1168" s="19"/>
      <c r="L1168" s="19"/>
      <c r="R1168" s="19"/>
    </row>
    <row r="1169" spans="7:18" x14ac:dyDescent="0.25">
      <c r="G1169" s="19"/>
      <c r="J1169" s="19"/>
      <c r="K1169" s="19"/>
      <c r="L1169" s="19"/>
      <c r="R1169" s="19"/>
    </row>
    <row r="1170" spans="7:18" x14ac:dyDescent="0.25">
      <c r="G1170" s="19"/>
      <c r="J1170" s="19"/>
      <c r="K1170" s="19"/>
      <c r="L1170" s="19"/>
      <c r="R1170" s="19"/>
    </row>
    <row r="1171" spans="7:18" x14ac:dyDescent="0.25">
      <c r="G1171" s="19"/>
      <c r="J1171" s="19"/>
      <c r="K1171" s="19"/>
      <c r="L1171" s="19"/>
      <c r="R1171" s="19"/>
    </row>
    <row r="1172" spans="7:18" x14ac:dyDescent="0.25">
      <c r="G1172" s="19"/>
      <c r="J1172" s="19"/>
      <c r="K1172" s="19"/>
      <c r="L1172" s="19"/>
      <c r="R1172" s="19"/>
    </row>
    <row r="1173" spans="7:18" x14ac:dyDescent="0.25">
      <c r="G1173" s="19"/>
      <c r="J1173" s="19"/>
      <c r="K1173" s="19"/>
      <c r="L1173" s="19"/>
      <c r="R1173" s="19"/>
    </row>
    <row r="1174" spans="7:18" x14ac:dyDescent="0.25">
      <c r="G1174" s="19"/>
      <c r="J1174" s="19"/>
      <c r="K1174" s="19"/>
      <c r="L1174" s="19"/>
      <c r="R1174" s="19"/>
    </row>
    <row r="1175" spans="7:18" x14ac:dyDescent="0.25">
      <c r="G1175" s="19"/>
      <c r="J1175" s="19"/>
      <c r="K1175" s="19"/>
      <c r="L1175" s="19"/>
      <c r="R1175" s="19"/>
    </row>
    <row r="1176" spans="7:18" x14ac:dyDescent="0.25">
      <c r="G1176" s="19"/>
      <c r="J1176" s="19"/>
      <c r="K1176" s="19"/>
      <c r="L1176" s="19"/>
      <c r="R1176" s="19"/>
    </row>
    <row r="1177" spans="7:18" x14ac:dyDescent="0.25">
      <c r="G1177" s="19"/>
      <c r="J1177" s="19"/>
      <c r="K1177" s="19"/>
      <c r="L1177" s="19"/>
      <c r="R1177" s="19"/>
    </row>
    <row r="1178" spans="7:18" x14ac:dyDescent="0.25">
      <c r="G1178" s="19"/>
      <c r="J1178" s="19"/>
      <c r="K1178" s="19"/>
      <c r="L1178" s="19"/>
      <c r="R1178" s="19"/>
    </row>
    <row r="1179" spans="7:18" x14ac:dyDescent="0.25">
      <c r="G1179" s="19"/>
      <c r="J1179" s="19"/>
      <c r="K1179" s="19"/>
      <c r="L1179" s="19"/>
      <c r="R1179" s="19"/>
    </row>
    <row r="1180" spans="7:18" x14ac:dyDescent="0.25">
      <c r="G1180" s="19"/>
      <c r="J1180" s="19"/>
      <c r="K1180" s="19"/>
      <c r="L1180" s="19"/>
      <c r="R1180" s="19"/>
    </row>
    <row r="1181" spans="7:18" x14ac:dyDescent="0.25">
      <c r="G1181" s="19"/>
      <c r="J1181" s="19"/>
      <c r="K1181" s="19"/>
      <c r="L1181" s="19"/>
      <c r="R1181" s="19"/>
    </row>
    <row r="1182" spans="7:18" x14ac:dyDescent="0.25">
      <c r="G1182" s="19"/>
      <c r="J1182" s="19"/>
      <c r="K1182" s="19"/>
      <c r="L1182" s="19"/>
      <c r="R1182" s="19"/>
    </row>
    <row r="1183" spans="7:18" x14ac:dyDescent="0.25">
      <c r="G1183" s="19"/>
      <c r="J1183" s="19"/>
      <c r="K1183" s="19"/>
      <c r="L1183" s="19"/>
      <c r="R1183" s="19"/>
    </row>
    <row r="1184" spans="7:18" x14ac:dyDescent="0.25">
      <c r="G1184" s="19"/>
      <c r="J1184" s="19"/>
      <c r="K1184" s="19"/>
      <c r="L1184" s="19"/>
      <c r="R1184" s="19"/>
    </row>
    <row r="1185" spans="7:18" x14ac:dyDescent="0.25">
      <c r="G1185" s="19"/>
      <c r="J1185" s="19"/>
      <c r="K1185" s="19"/>
      <c r="L1185" s="19"/>
      <c r="R1185" s="19"/>
    </row>
    <row r="1186" spans="7:18" x14ac:dyDescent="0.25">
      <c r="G1186" s="19"/>
      <c r="J1186" s="19"/>
      <c r="K1186" s="19"/>
      <c r="L1186" s="19"/>
      <c r="R1186" s="19"/>
    </row>
    <row r="1187" spans="7:18" x14ac:dyDescent="0.25">
      <c r="G1187" s="19"/>
      <c r="J1187" s="19"/>
      <c r="K1187" s="19"/>
      <c r="L1187" s="19"/>
      <c r="R1187" s="19"/>
    </row>
    <row r="1188" spans="7:18" x14ac:dyDescent="0.25">
      <c r="G1188" s="19"/>
      <c r="J1188" s="19"/>
      <c r="K1188" s="19"/>
      <c r="L1188" s="19"/>
      <c r="R1188" s="19"/>
    </row>
    <row r="1189" spans="7:18" x14ac:dyDescent="0.25">
      <c r="G1189" s="19"/>
      <c r="J1189" s="19"/>
      <c r="K1189" s="19"/>
      <c r="L1189" s="19"/>
      <c r="R1189" s="19"/>
    </row>
    <row r="1190" spans="7:18" x14ac:dyDescent="0.25">
      <c r="G1190" s="19"/>
      <c r="J1190" s="19"/>
      <c r="K1190" s="19"/>
      <c r="L1190" s="19"/>
      <c r="R1190" s="19"/>
    </row>
    <row r="1191" spans="7:18" x14ac:dyDescent="0.25">
      <c r="G1191" s="19"/>
      <c r="J1191" s="19"/>
      <c r="K1191" s="19"/>
      <c r="L1191" s="19"/>
      <c r="R1191" s="19"/>
    </row>
    <row r="1192" spans="7:18" x14ac:dyDescent="0.25">
      <c r="G1192" s="19"/>
      <c r="J1192" s="19"/>
      <c r="K1192" s="19"/>
      <c r="L1192" s="19"/>
      <c r="R1192" s="19"/>
    </row>
    <row r="1193" spans="7:18" x14ac:dyDescent="0.25">
      <c r="G1193" s="19"/>
      <c r="J1193" s="19"/>
      <c r="K1193" s="19"/>
      <c r="L1193" s="19"/>
      <c r="R1193" s="19"/>
    </row>
    <row r="1194" spans="7:18" x14ac:dyDescent="0.25">
      <c r="G1194" s="19"/>
      <c r="J1194" s="19"/>
      <c r="K1194" s="19"/>
      <c r="L1194" s="19"/>
      <c r="R1194" s="19"/>
    </row>
    <row r="1195" spans="7:18" x14ac:dyDescent="0.25">
      <c r="G1195" s="19"/>
      <c r="J1195" s="19"/>
      <c r="K1195" s="19"/>
      <c r="L1195" s="19"/>
      <c r="R1195" s="19"/>
    </row>
    <row r="1196" spans="7:18" x14ac:dyDescent="0.25">
      <c r="G1196" s="19"/>
      <c r="J1196" s="19"/>
      <c r="K1196" s="19"/>
      <c r="L1196" s="19"/>
      <c r="R1196" s="19"/>
    </row>
    <row r="1197" spans="7:18" x14ac:dyDescent="0.25">
      <c r="G1197" s="19"/>
      <c r="J1197" s="19"/>
      <c r="K1197" s="19"/>
      <c r="L1197" s="19"/>
      <c r="R1197" s="19"/>
    </row>
    <row r="1198" spans="7:18" x14ac:dyDescent="0.25">
      <c r="G1198" s="19"/>
      <c r="J1198" s="19"/>
      <c r="K1198" s="19"/>
      <c r="L1198" s="19"/>
      <c r="R1198" s="19"/>
    </row>
    <row r="1199" spans="7:18" x14ac:dyDescent="0.25">
      <c r="G1199" s="19"/>
      <c r="J1199" s="19"/>
      <c r="K1199" s="19"/>
      <c r="L1199" s="19"/>
      <c r="R1199" s="19"/>
    </row>
    <row r="1200" spans="7:18" x14ac:dyDescent="0.25">
      <c r="G1200" s="19"/>
      <c r="J1200" s="19"/>
      <c r="K1200" s="19"/>
      <c r="L1200" s="19"/>
      <c r="R1200" s="19"/>
    </row>
    <row r="1201" spans="7:18" x14ac:dyDescent="0.25">
      <c r="G1201" s="19"/>
      <c r="J1201" s="19"/>
      <c r="K1201" s="19"/>
      <c r="L1201" s="19"/>
      <c r="R1201" s="19"/>
    </row>
    <row r="1202" spans="7:18" x14ac:dyDescent="0.25">
      <c r="G1202" s="19"/>
      <c r="J1202" s="19"/>
      <c r="K1202" s="19"/>
      <c r="L1202" s="19"/>
      <c r="R1202" s="19"/>
    </row>
    <row r="1203" spans="7:18" x14ac:dyDescent="0.25">
      <c r="G1203" s="19"/>
      <c r="J1203" s="19"/>
      <c r="K1203" s="19"/>
      <c r="L1203" s="19"/>
      <c r="R1203" s="19"/>
    </row>
    <row r="1204" spans="7:18" x14ac:dyDescent="0.25">
      <c r="G1204" s="19"/>
      <c r="J1204" s="19"/>
      <c r="K1204" s="19"/>
      <c r="L1204" s="19"/>
      <c r="R1204" s="19"/>
    </row>
    <row r="1205" spans="7:18" x14ac:dyDescent="0.25">
      <c r="G1205" s="19"/>
      <c r="J1205" s="19"/>
      <c r="K1205" s="19"/>
      <c r="L1205" s="19"/>
      <c r="R1205" s="19"/>
    </row>
    <row r="1206" spans="7:18" x14ac:dyDescent="0.25">
      <c r="G1206" s="19"/>
      <c r="J1206" s="19"/>
      <c r="K1206" s="19"/>
      <c r="L1206" s="19"/>
      <c r="R1206" s="19"/>
    </row>
    <row r="1207" spans="7:18" x14ac:dyDescent="0.25">
      <c r="G1207" s="19"/>
      <c r="J1207" s="19"/>
      <c r="K1207" s="19"/>
      <c r="L1207" s="19"/>
      <c r="R1207" s="19"/>
    </row>
    <row r="1208" spans="7:18" x14ac:dyDescent="0.25">
      <c r="G1208" s="19"/>
      <c r="J1208" s="19"/>
      <c r="K1208" s="19"/>
      <c r="L1208" s="19"/>
      <c r="R1208" s="19"/>
    </row>
    <row r="1209" spans="7:18" x14ac:dyDescent="0.25">
      <c r="G1209" s="19"/>
      <c r="J1209" s="19"/>
      <c r="K1209" s="19"/>
      <c r="L1209" s="19"/>
      <c r="R1209" s="19"/>
    </row>
    <row r="1210" spans="7:18" x14ac:dyDescent="0.25">
      <c r="G1210" s="19"/>
      <c r="J1210" s="19"/>
      <c r="K1210" s="19"/>
      <c r="L1210" s="19"/>
      <c r="R1210" s="19"/>
    </row>
    <row r="1211" spans="7:18" x14ac:dyDescent="0.25">
      <c r="G1211" s="19"/>
      <c r="J1211" s="19"/>
      <c r="K1211" s="19"/>
      <c r="L1211" s="19"/>
      <c r="R1211" s="19"/>
    </row>
    <row r="1212" spans="7:18" x14ac:dyDescent="0.25">
      <c r="G1212" s="19"/>
      <c r="J1212" s="19"/>
      <c r="K1212" s="19"/>
      <c r="L1212" s="19"/>
      <c r="R1212" s="19"/>
    </row>
    <row r="1213" spans="7:18" x14ac:dyDescent="0.25">
      <c r="G1213" s="19"/>
      <c r="J1213" s="19"/>
      <c r="K1213" s="19"/>
      <c r="L1213" s="19"/>
      <c r="R1213" s="19"/>
    </row>
    <row r="1214" spans="7:18" x14ac:dyDescent="0.25">
      <c r="G1214" s="19"/>
      <c r="J1214" s="19"/>
      <c r="K1214" s="19"/>
      <c r="L1214" s="19"/>
      <c r="R1214" s="19"/>
    </row>
    <row r="1215" spans="7:18" x14ac:dyDescent="0.25">
      <c r="G1215" s="19"/>
      <c r="J1215" s="19"/>
      <c r="K1215" s="19"/>
      <c r="L1215" s="19"/>
      <c r="R1215" s="19"/>
    </row>
    <row r="1216" spans="7:18" x14ac:dyDescent="0.25">
      <c r="G1216" s="19"/>
      <c r="J1216" s="19"/>
      <c r="K1216" s="19"/>
      <c r="L1216" s="19"/>
      <c r="R1216" s="19"/>
    </row>
    <row r="1217" spans="7:18" x14ac:dyDescent="0.25">
      <c r="G1217" s="19"/>
      <c r="J1217" s="19"/>
      <c r="K1217" s="19"/>
      <c r="L1217" s="19"/>
      <c r="R1217" s="19"/>
    </row>
    <row r="1218" spans="7:18" x14ac:dyDescent="0.25">
      <c r="G1218" s="19"/>
      <c r="J1218" s="19"/>
      <c r="K1218" s="19"/>
      <c r="L1218" s="19"/>
      <c r="R1218" s="19"/>
    </row>
    <row r="1219" spans="7:18" x14ac:dyDescent="0.25">
      <c r="G1219" s="19"/>
      <c r="J1219" s="19"/>
      <c r="K1219" s="19"/>
      <c r="L1219" s="19"/>
      <c r="R1219" s="19"/>
    </row>
    <row r="1220" spans="7:18" x14ac:dyDescent="0.25">
      <c r="G1220" s="19"/>
      <c r="J1220" s="19"/>
      <c r="K1220" s="19"/>
      <c r="L1220" s="19"/>
      <c r="R1220" s="19"/>
    </row>
    <row r="1221" spans="7:18" x14ac:dyDescent="0.25">
      <c r="G1221" s="19"/>
      <c r="J1221" s="19"/>
      <c r="K1221" s="19"/>
      <c r="L1221" s="19"/>
      <c r="R1221" s="19"/>
    </row>
    <row r="1222" spans="7:18" x14ac:dyDescent="0.25">
      <c r="G1222" s="19"/>
      <c r="J1222" s="19"/>
      <c r="K1222" s="19"/>
      <c r="L1222" s="19"/>
      <c r="R1222" s="19"/>
    </row>
    <row r="1223" spans="7:18" x14ac:dyDescent="0.25">
      <c r="G1223" s="19"/>
      <c r="J1223" s="19"/>
      <c r="K1223" s="19"/>
      <c r="L1223" s="19"/>
      <c r="R1223" s="19"/>
    </row>
    <row r="1224" spans="7:18" x14ac:dyDescent="0.25">
      <c r="G1224" s="19"/>
      <c r="J1224" s="19"/>
      <c r="K1224" s="19"/>
      <c r="L1224" s="19"/>
      <c r="R1224" s="19"/>
    </row>
    <row r="1225" spans="7:18" x14ac:dyDescent="0.25">
      <c r="G1225" s="19"/>
      <c r="J1225" s="19"/>
      <c r="K1225" s="19"/>
      <c r="L1225" s="19"/>
      <c r="R1225" s="19"/>
    </row>
    <row r="1226" spans="7:18" x14ac:dyDescent="0.25">
      <c r="G1226" s="19"/>
      <c r="J1226" s="19"/>
      <c r="K1226" s="19"/>
      <c r="L1226" s="19"/>
      <c r="R1226" s="19"/>
    </row>
    <row r="1227" spans="7:18" x14ac:dyDescent="0.25">
      <c r="G1227" s="19"/>
      <c r="J1227" s="19"/>
      <c r="K1227" s="19"/>
      <c r="L1227" s="19"/>
      <c r="R1227" s="19"/>
    </row>
    <row r="1228" spans="7:18" x14ac:dyDescent="0.25">
      <c r="G1228" s="19"/>
      <c r="J1228" s="19"/>
      <c r="K1228" s="19"/>
      <c r="L1228" s="19"/>
      <c r="R1228" s="19"/>
    </row>
    <row r="1229" spans="7:18" x14ac:dyDescent="0.25">
      <c r="G1229" s="19"/>
      <c r="J1229" s="19"/>
      <c r="K1229" s="19"/>
      <c r="L1229" s="19"/>
      <c r="R1229" s="19"/>
    </row>
    <row r="1230" spans="7:18" x14ac:dyDescent="0.25">
      <c r="G1230" s="19"/>
      <c r="J1230" s="19"/>
      <c r="K1230" s="19"/>
      <c r="L1230" s="19"/>
      <c r="R1230" s="19"/>
    </row>
    <row r="1231" spans="7:18" x14ac:dyDescent="0.25">
      <c r="G1231" s="19"/>
      <c r="J1231" s="19"/>
      <c r="K1231" s="19"/>
      <c r="L1231" s="19"/>
      <c r="R1231" s="19"/>
    </row>
    <row r="1232" spans="7:18" x14ac:dyDescent="0.25">
      <c r="G1232" s="19"/>
      <c r="J1232" s="19"/>
      <c r="K1232" s="19"/>
      <c r="L1232" s="19"/>
      <c r="R1232" s="19"/>
    </row>
    <row r="1233" spans="7:18" x14ac:dyDescent="0.25">
      <c r="G1233" s="19"/>
      <c r="J1233" s="19"/>
      <c r="K1233" s="19"/>
      <c r="L1233" s="19"/>
      <c r="R1233" s="19"/>
    </row>
    <row r="1234" spans="7:18" x14ac:dyDescent="0.25">
      <c r="G1234" s="19"/>
      <c r="J1234" s="19"/>
      <c r="K1234" s="19"/>
      <c r="L1234" s="19"/>
      <c r="R1234" s="19"/>
    </row>
    <row r="1235" spans="7:18" x14ac:dyDescent="0.25">
      <c r="G1235" s="19"/>
      <c r="J1235" s="19"/>
      <c r="K1235" s="19"/>
      <c r="L1235" s="19"/>
      <c r="R1235" s="19"/>
    </row>
    <row r="1236" spans="7:18" x14ac:dyDescent="0.25">
      <c r="G1236" s="19"/>
      <c r="J1236" s="19"/>
      <c r="K1236" s="19"/>
      <c r="L1236" s="19"/>
      <c r="R1236" s="19"/>
    </row>
    <row r="1237" spans="7:18" x14ac:dyDescent="0.25">
      <c r="G1237" s="19"/>
      <c r="J1237" s="19"/>
      <c r="K1237" s="19"/>
      <c r="L1237" s="19"/>
      <c r="R1237" s="19"/>
    </row>
    <row r="1238" spans="7:18" x14ac:dyDescent="0.25">
      <c r="G1238" s="19"/>
      <c r="J1238" s="19"/>
      <c r="K1238" s="19"/>
      <c r="L1238" s="19"/>
      <c r="R1238" s="19"/>
    </row>
    <row r="1239" spans="7:18" x14ac:dyDescent="0.25">
      <c r="G1239" s="19"/>
      <c r="J1239" s="19"/>
      <c r="K1239" s="19"/>
      <c r="L1239" s="19"/>
      <c r="R1239" s="19"/>
    </row>
    <row r="1240" spans="7:18" x14ac:dyDescent="0.25">
      <c r="G1240" s="19"/>
      <c r="J1240" s="19"/>
      <c r="K1240" s="19"/>
      <c r="L1240" s="19"/>
      <c r="R1240" s="19"/>
    </row>
    <row r="1241" spans="7:18" x14ac:dyDescent="0.25">
      <c r="G1241" s="19"/>
      <c r="J1241" s="19"/>
      <c r="K1241" s="19"/>
      <c r="L1241" s="19"/>
      <c r="R1241" s="19"/>
    </row>
    <row r="1242" spans="7:18" x14ac:dyDescent="0.25">
      <c r="G1242" s="19"/>
      <c r="J1242" s="19"/>
      <c r="K1242" s="19"/>
      <c r="L1242" s="19"/>
      <c r="R1242" s="19"/>
    </row>
    <row r="1243" spans="7:18" x14ac:dyDescent="0.25">
      <c r="G1243" s="19"/>
      <c r="J1243" s="19"/>
      <c r="K1243" s="19"/>
      <c r="L1243" s="19"/>
      <c r="R1243" s="19"/>
    </row>
    <row r="1244" spans="7:18" x14ac:dyDescent="0.25">
      <c r="G1244" s="19"/>
      <c r="J1244" s="19"/>
      <c r="K1244" s="19"/>
      <c r="L1244" s="19"/>
      <c r="R1244" s="19"/>
    </row>
    <row r="1245" spans="7:18" x14ac:dyDescent="0.25">
      <c r="G1245" s="19"/>
      <c r="J1245" s="19"/>
      <c r="K1245" s="19"/>
      <c r="L1245" s="19"/>
      <c r="R1245" s="19"/>
    </row>
    <row r="1246" spans="7:18" x14ac:dyDescent="0.25">
      <c r="G1246" s="19"/>
      <c r="J1246" s="19"/>
      <c r="K1246" s="19"/>
      <c r="L1246" s="19"/>
      <c r="R1246" s="19"/>
    </row>
    <row r="1247" spans="7:18" x14ac:dyDescent="0.25">
      <c r="G1247" s="19"/>
      <c r="J1247" s="19"/>
      <c r="K1247" s="19"/>
      <c r="L1247" s="19"/>
      <c r="R1247" s="19"/>
    </row>
    <row r="1248" spans="7:18" x14ac:dyDescent="0.25">
      <c r="G1248" s="19"/>
      <c r="J1248" s="19"/>
      <c r="K1248" s="19"/>
      <c r="L1248" s="19"/>
      <c r="R1248" s="19"/>
    </row>
    <row r="1249" spans="7:18" x14ac:dyDescent="0.25">
      <c r="G1249" s="19"/>
      <c r="J1249" s="19"/>
      <c r="K1249" s="19"/>
      <c r="L1249" s="19"/>
      <c r="R1249" s="19"/>
    </row>
    <row r="1250" spans="7:18" x14ac:dyDescent="0.25">
      <c r="G1250" s="19"/>
      <c r="J1250" s="19"/>
      <c r="K1250" s="19"/>
      <c r="L1250" s="19"/>
      <c r="R1250" s="19"/>
    </row>
    <row r="1252" spans="7:18" x14ac:dyDescent="0.25">
      <c r="G1252" s="19"/>
      <c r="J1252" s="19"/>
      <c r="K1252" s="19"/>
      <c r="L1252" s="19"/>
      <c r="R1252" s="19"/>
    </row>
    <row r="1253" spans="7:18" x14ac:dyDescent="0.25">
      <c r="G1253" s="19"/>
      <c r="J1253" s="19"/>
      <c r="K1253" s="19"/>
      <c r="L1253" s="19"/>
      <c r="R1253" s="19"/>
    </row>
    <row r="1254" spans="7:18" x14ac:dyDescent="0.25">
      <c r="G1254" s="19"/>
      <c r="J1254" s="19"/>
      <c r="K1254" s="19"/>
      <c r="L1254" s="19"/>
      <c r="R1254" s="19"/>
    </row>
    <row r="1255" spans="7:18" x14ac:dyDescent="0.25">
      <c r="G1255" s="19"/>
      <c r="J1255" s="19"/>
      <c r="K1255" s="19"/>
      <c r="L1255" s="19"/>
      <c r="R1255" s="19"/>
    </row>
    <row r="1256" spans="7:18" x14ac:dyDescent="0.25">
      <c r="G1256" s="19"/>
      <c r="J1256" s="19"/>
      <c r="K1256" s="19"/>
      <c r="L1256" s="19"/>
      <c r="R1256" s="19"/>
    </row>
    <row r="1257" spans="7:18" x14ac:dyDescent="0.25">
      <c r="G1257" s="19"/>
      <c r="J1257" s="19"/>
      <c r="K1257" s="19"/>
      <c r="L1257" s="19"/>
      <c r="R1257" s="19"/>
    </row>
    <row r="1258" spans="7:18" x14ac:dyDescent="0.25">
      <c r="G1258" s="19"/>
      <c r="J1258" s="19"/>
      <c r="K1258" s="19"/>
      <c r="L1258" s="19"/>
      <c r="R1258" s="19"/>
    </row>
    <row r="1259" spans="7:18" x14ac:dyDescent="0.25">
      <c r="G1259" s="19"/>
      <c r="J1259" s="19"/>
      <c r="K1259" s="19"/>
      <c r="L1259" s="19"/>
      <c r="R1259" s="19"/>
    </row>
    <row r="1260" spans="7:18" x14ac:dyDescent="0.25">
      <c r="G1260" s="19"/>
      <c r="J1260" s="19"/>
      <c r="K1260" s="19"/>
      <c r="L1260" s="19"/>
      <c r="R1260" s="19"/>
    </row>
    <row r="1261" spans="7:18" x14ac:dyDescent="0.25">
      <c r="G1261" s="19"/>
      <c r="J1261" s="19"/>
      <c r="K1261" s="19"/>
      <c r="L1261" s="19"/>
      <c r="R1261" s="19"/>
    </row>
    <row r="1262" spans="7:18" x14ac:dyDescent="0.25">
      <c r="G1262" s="19"/>
      <c r="J1262" s="19"/>
      <c r="K1262" s="19"/>
      <c r="L1262" s="19"/>
      <c r="R1262" s="19"/>
    </row>
    <row r="1263" spans="7:18" x14ac:dyDescent="0.25">
      <c r="G1263" s="19"/>
      <c r="J1263" s="19"/>
      <c r="K1263" s="19"/>
      <c r="L1263" s="19"/>
      <c r="R1263" s="19"/>
    </row>
    <row r="1264" spans="7:18" x14ac:dyDescent="0.25">
      <c r="G1264" s="19"/>
      <c r="J1264" s="19"/>
      <c r="K1264" s="19"/>
      <c r="L1264" s="19"/>
      <c r="R1264" s="19"/>
    </row>
    <row r="1265" spans="7:18" x14ac:dyDescent="0.25">
      <c r="G1265" s="19"/>
      <c r="J1265" s="19"/>
      <c r="K1265" s="19"/>
      <c r="L1265" s="19"/>
      <c r="R1265" s="19"/>
    </row>
    <row r="1266" spans="7:18" x14ac:dyDescent="0.25">
      <c r="G1266" s="19"/>
      <c r="J1266" s="19"/>
      <c r="K1266" s="19"/>
      <c r="L1266" s="19"/>
      <c r="R1266" s="19"/>
    </row>
    <row r="1267" spans="7:18" x14ac:dyDescent="0.25">
      <c r="G1267" s="19"/>
      <c r="J1267" s="19"/>
      <c r="K1267" s="19"/>
      <c r="L1267" s="19"/>
      <c r="R1267" s="19"/>
    </row>
    <row r="1268" spans="7:18" x14ac:dyDescent="0.25">
      <c r="G1268" s="19"/>
      <c r="J1268" s="19"/>
      <c r="K1268" s="19"/>
      <c r="L1268" s="19"/>
      <c r="R1268" s="19"/>
    </row>
    <row r="1269" spans="7:18" x14ac:dyDescent="0.25">
      <c r="G1269" s="19"/>
      <c r="J1269" s="19"/>
      <c r="K1269" s="19"/>
      <c r="L1269" s="19"/>
      <c r="R1269" s="19"/>
    </row>
    <row r="1270" spans="7:18" x14ac:dyDescent="0.25">
      <c r="G1270" s="19"/>
      <c r="J1270" s="19"/>
      <c r="K1270" s="19"/>
      <c r="L1270" s="19"/>
      <c r="R1270" s="19"/>
    </row>
    <row r="1271" spans="7:18" x14ac:dyDescent="0.25">
      <c r="G1271" s="19"/>
      <c r="J1271" s="19"/>
      <c r="K1271" s="19"/>
      <c r="L1271" s="19"/>
      <c r="R1271" s="19"/>
    </row>
    <row r="1272" spans="7:18" x14ac:dyDescent="0.25">
      <c r="G1272" s="19"/>
      <c r="J1272" s="19"/>
      <c r="K1272" s="19"/>
      <c r="L1272" s="19"/>
      <c r="R1272" s="19"/>
    </row>
    <row r="1273" spans="7:18" x14ac:dyDescent="0.25">
      <c r="G1273" s="19"/>
      <c r="J1273" s="19"/>
      <c r="K1273" s="19"/>
      <c r="L1273" s="19"/>
      <c r="R1273" s="19"/>
    </row>
    <row r="1274" spans="7:18" x14ac:dyDescent="0.25">
      <c r="G1274" s="19"/>
      <c r="J1274" s="19"/>
      <c r="K1274" s="19"/>
      <c r="L1274" s="19"/>
      <c r="R1274" s="19"/>
    </row>
    <row r="1275" spans="7:18" x14ac:dyDescent="0.25">
      <c r="G1275" s="19"/>
      <c r="J1275" s="19"/>
      <c r="K1275" s="19"/>
      <c r="L1275" s="19"/>
      <c r="R1275" s="19"/>
    </row>
    <row r="1276" spans="7:18" x14ac:dyDescent="0.25">
      <c r="G1276" s="19"/>
      <c r="J1276" s="19"/>
      <c r="K1276" s="19"/>
      <c r="L1276" s="19"/>
      <c r="R1276" s="19"/>
    </row>
    <row r="1277" spans="7:18" x14ac:dyDescent="0.25">
      <c r="G1277" s="19"/>
      <c r="J1277" s="19"/>
      <c r="K1277" s="19"/>
      <c r="L1277" s="19"/>
      <c r="R1277" s="19"/>
    </row>
    <row r="1278" spans="7:18" x14ac:dyDescent="0.25">
      <c r="G1278" s="19"/>
      <c r="J1278" s="19"/>
      <c r="K1278" s="19"/>
      <c r="L1278" s="19"/>
      <c r="R1278" s="19"/>
    </row>
    <row r="1279" spans="7:18" x14ac:dyDescent="0.25">
      <c r="G1279" s="19"/>
      <c r="J1279" s="19"/>
      <c r="K1279" s="19"/>
      <c r="L1279" s="19"/>
      <c r="R1279" s="19"/>
    </row>
    <row r="1280" spans="7:18" x14ac:dyDescent="0.25">
      <c r="G1280" s="19"/>
      <c r="J1280" s="19"/>
      <c r="K1280" s="19"/>
      <c r="L1280" s="19"/>
      <c r="R1280" s="19"/>
    </row>
    <row r="1281" spans="7:18" x14ac:dyDescent="0.25">
      <c r="G1281" s="19"/>
      <c r="J1281" s="19"/>
      <c r="K1281" s="19"/>
      <c r="L1281" s="19"/>
      <c r="R1281" s="19"/>
    </row>
    <row r="1282" spans="7:18" x14ac:dyDescent="0.25">
      <c r="G1282" s="19"/>
      <c r="J1282" s="19"/>
      <c r="K1282" s="19"/>
      <c r="L1282" s="19"/>
      <c r="R1282" s="19"/>
    </row>
    <row r="1283" spans="7:18" x14ac:dyDescent="0.25">
      <c r="G1283" s="19"/>
      <c r="J1283" s="19"/>
      <c r="K1283" s="19"/>
      <c r="L1283" s="19"/>
      <c r="R1283" s="19"/>
    </row>
    <row r="1284" spans="7:18" x14ac:dyDescent="0.25">
      <c r="G1284" s="19"/>
      <c r="J1284" s="19"/>
      <c r="K1284" s="19"/>
      <c r="L1284" s="19"/>
      <c r="R1284" s="19"/>
    </row>
    <row r="1285" spans="7:18" x14ac:dyDescent="0.25">
      <c r="G1285" s="19"/>
      <c r="J1285" s="19"/>
      <c r="K1285" s="19"/>
      <c r="L1285" s="19"/>
      <c r="R1285" s="19"/>
    </row>
    <row r="1286" spans="7:18" x14ac:dyDescent="0.25">
      <c r="G1286" s="19"/>
      <c r="J1286" s="19"/>
      <c r="K1286" s="19"/>
      <c r="L1286" s="19"/>
      <c r="R1286" s="19"/>
    </row>
    <row r="1287" spans="7:18" x14ac:dyDescent="0.25">
      <c r="G1287" s="19"/>
      <c r="J1287" s="19"/>
      <c r="K1287" s="19"/>
      <c r="L1287" s="19"/>
      <c r="R1287" s="19"/>
    </row>
    <row r="1288" spans="7:18" x14ac:dyDescent="0.25">
      <c r="G1288" s="19"/>
      <c r="J1288" s="19"/>
      <c r="K1288" s="19"/>
      <c r="L1288" s="19"/>
      <c r="R1288" s="19"/>
    </row>
    <row r="1289" spans="7:18" x14ac:dyDescent="0.25">
      <c r="G1289" s="19"/>
      <c r="J1289" s="19"/>
      <c r="K1289" s="19"/>
      <c r="L1289" s="19"/>
      <c r="R1289" s="19"/>
    </row>
    <row r="1290" spans="7:18" x14ac:dyDescent="0.25">
      <c r="G1290" s="19"/>
      <c r="J1290" s="19"/>
      <c r="K1290" s="19"/>
      <c r="L1290" s="19"/>
      <c r="R1290" s="19"/>
    </row>
    <row r="1291" spans="7:18" x14ac:dyDescent="0.25">
      <c r="G1291" s="19"/>
      <c r="J1291" s="19"/>
      <c r="K1291" s="19"/>
      <c r="L1291" s="19"/>
      <c r="R1291" s="19"/>
    </row>
    <row r="1292" spans="7:18" x14ac:dyDescent="0.25">
      <c r="G1292" s="19"/>
      <c r="J1292" s="19"/>
      <c r="K1292" s="19"/>
      <c r="L1292" s="19"/>
      <c r="R1292" s="19"/>
    </row>
    <row r="1293" spans="7:18" x14ac:dyDescent="0.25">
      <c r="G1293" s="19"/>
      <c r="J1293" s="19"/>
      <c r="K1293" s="19"/>
      <c r="L1293" s="19"/>
      <c r="R1293" s="19"/>
    </row>
    <row r="1294" spans="7:18" x14ac:dyDescent="0.25">
      <c r="G1294" s="19"/>
      <c r="J1294" s="19"/>
      <c r="K1294" s="19"/>
      <c r="L1294" s="19"/>
      <c r="R1294" s="19"/>
    </row>
    <row r="1295" spans="7:18" x14ac:dyDescent="0.25">
      <c r="G1295" s="19"/>
      <c r="J1295" s="19"/>
      <c r="K1295" s="19"/>
      <c r="L1295" s="19"/>
      <c r="R1295" s="19"/>
    </row>
    <row r="1296" spans="7:18" x14ac:dyDescent="0.25">
      <c r="G1296" s="19"/>
      <c r="J1296" s="19"/>
      <c r="K1296" s="19"/>
      <c r="L1296" s="19"/>
      <c r="R1296" s="19"/>
    </row>
    <row r="1297" spans="7:18" x14ac:dyDescent="0.25">
      <c r="G1297" s="19"/>
      <c r="J1297" s="19"/>
      <c r="K1297" s="19"/>
      <c r="L1297" s="19"/>
      <c r="R1297" s="19"/>
    </row>
    <row r="1298" spans="7:18" x14ac:dyDescent="0.25">
      <c r="G1298" s="19"/>
      <c r="J1298" s="19"/>
      <c r="K1298" s="19"/>
      <c r="L1298" s="19"/>
      <c r="R1298" s="19"/>
    </row>
    <row r="1299" spans="7:18" x14ac:dyDescent="0.25">
      <c r="G1299" s="19"/>
      <c r="J1299" s="19"/>
      <c r="K1299" s="19"/>
      <c r="L1299" s="19"/>
      <c r="R1299" s="19"/>
    </row>
    <row r="1300" spans="7:18" x14ac:dyDescent="0.25">
      <c r="G1300" s="19"/>
      <c r="J1300" s="19"/>
      <c r="K1300" s="19"/>
      <c r="L1300" s="19"/>
      <c r="R1300" s="19"/>
    </row>
    <row r="1301" spans="7:18" x14ac:dyDescent="0.25">
      <c r="G1301" s="19"/>
      <c r="J1301" s="19"/>
      <c r="K1301" s="19"/>
      <c r="L1301" s="19"/>
      <c r="R1301" s="19"/>
    </row>
    <row r="1302" spans="7:18" x14ac:dyDescent="0.25">
      <c r="G1302" s="19"/>
      <c r="J1302" s="19"/>
      <c r="K1302" s="19"/>
      <c r="L1302" s="19"/>
      <c r="R1302" s="19"/>
    </row>
    <row r="1303" spans="7:18" x14ac:dyDescent="0.25">
      <c r="G1303" s="19"/>
      <c r="J1303" s="19"/>
      <c r="K1303" s="19"/>
      <c r="L1303" s="19"/>
      <c r="R1303" s="19"/>
    </row>
    <row r="1304" spans="7:18" x14ac:dyDescent="0.25">
      <c r="G1304" s="19"/>
      <c r="J1304" s="19"/>
      <c r="K1304" s="19"/>
      <c r="L1304" s="19"/>
      <c r="R1304" s="19"/>
    </row>
    <row r="1305" spans="7:18" x14ac:dyDescent="0.25">
      <c r="G1305" s="19"/>
      <c r="J1305" s="19"/>
      <c r="K1305" s="19"/>
      <c r="L1305" s="19"/>
      <c r="R1305" s="19"/>
    </row>
    <row r="1306" spans="7:18" x14ac:dyDescent="0.25">
      <c r="G1306" s="19"/>
      <c r="J1306" s="19"/>
      <c r="K1306" s="19"/>
      <c r="L1306" s="19"/>
      <c r="R1306" s="19"/>
    </row>
    <row r="1307" spans="7:18" x14ac:dyDescent="0.25">
      <c r="G1307" s="19"/>
      <c r="J1307" s="19"/>
      <c r="K1307" s="19"/>
      <c r="L1307" s="19"/>
      <c r="R1307" s="19"/>
    </row>
    <row r="1308" spans="7:18" x14ac:dyDescent="0.25">
      <c r="G1308" s="19"/>
      <c r="J1308" s="19"/>
      <c r="K1308" s="19"/>
      <c r="L1308" s="19"/>
      <c r="R1308" s="19"/>
    </row>
    <row r="1309" spans="7:18" x14ac:dyDescent="0.25">
      <c r="G1309" s="19"/>
      <c r="J1309" s="19"/>
      <c r="K1309" s="19"/>
      <c r="L1309" s="19"/>
      <c r="R1309" s="19"/>
    </row>
    <row r="1310" spans="7:18" x14ac:dyDescent="0.25">
      <c r="G1310" s="19"/>
      <c r="J1310" s="19"/>
      <c r="K1310" s="19"/>
      <c r="L1310" s="19"/>
      <c r="R1310" s="19"/>
    </row>
    <row r="1311" spans="7:18" x14ac:dyDescent="0.25">
      <c r="G1311" s="19"/>
      <c r="J1311" s="19"/>
      <c r="K1311" s="19"/>
      <c r="L1311" s="19"/>
      <c r="R1311" s="19"/>
    </row>
    <row r="1312" spans="7:18" x14ac:dyDescent="0.25">
      <c r="G1312" s="19"/>
      <c r="J1312" s="19"/>
      <c r="K1312" s="19"/>
      <c r="L1312" s="19"/>
      <c r="R1312" s="19"/>
    </row>
    <row r="1313" spans="7:18" x14ac:dyDescent="0.25">
      <c r="G1313" s="19"/>
      <c r="J1313" s="19"/>
      <c r="K1313" s="19"/>
      <c r="L1313" s="19"/>
      <c r="R1313" s="19"/>
    </row>
    <row r="1314" spans="7:18" x14ac:dyDescent="0.25">
      <c r="G1314" s="19"/>
      <c r="J1314" s="19"/>
      <c r="K1314" s="19"/>
      <c r="L1314" s="19"/>
      <c r="R1314" s="19"/>
    </row>
    <row r="1315" spans="7:18" x14ac:dyDescent="0.25">
      <c r="G1315" s="19"/>
      <c r="J1315" s="19"/>
      <c r="K1315" s="19"/>
      <c r="L1315" s="19"/>
      <c r="R1315" s="19"/>
    </row>
    <row r="1316" spans="7:18" x14ac:dyDescent="0.25">
      <c r="G1316" s="19"/>
      <c r="J1316" s="19"/>
      <c r="K1316" s="19"/>
      <c r="L1316" s="19"/>
      <c r="R1316" s="19"/>
    </row>
    <row r="1317" spans="7:18" x14ac:dyDescent="0.25">
      <c r="G1317" s="19"/>
      <c r="J1317" s="19"/>
      <c r="K1317" s="19"/>
      <c r="L1317" s="19"/>
      <c r="R1317" s="19"/>
    </row>
    <row r="1318" spans="7:18" x14ac:dyDescent="0.25">
      <c r="G1318" s="19"/>
      <c r="J1318" s="19"/>
      <c r="K1318" s="19"/>
      <c r="L1318" s="19"/>
      <c r="R1318" s="19"/>
    </row>
    <row r="1319" spans="7:18" x14ac:dyDescent="0.25">
      <c r="G1319" s="19"/>
      <c r="J1319" s="19"/>
      <c r="K1319" s="19"/>
      <c r="L1319" s="19"/>
      <c r="R1319" s="19"/>
    </row>
    <row r="1320" spans="7:18" x14ac:dyDescent="0.25">
      <c r="G1320" s="19"/>
      <c r="J1320" s="19"/>
      <c r="K1320" s="19"/>
      <c r="L1320" s="19"/>
      <c r="R1320" s="19"/>
    </row>
    <row r="1321" spans="7:18" x14ac:dyDescent="0.25">
      <c r="G1321" s="19"/>
      <c r="J1321" s="19"/>
      <c r="K1321" s="19"/>
      <c r="L1321" s="19"/>
      <c r="R1321" s="19"/>
    </row>
    <row r="1322" spans="7:18" x14ac:dyDescent="0.25">
      <c r="G1322" s="19"/>
      <c r="J1322" s="19"/>
      <c r="K1322" s="19"/>
      <c r="L1322" s="19"/>
      <c r="R1322" s="19"/>
    </row>
    <row r="1323" spans="7:18" x14ac:dyDescent="0.25">
      <c r="G1323" s="19"/>
      <c r="J1323" s="19"/>
      <c r="K1323" s="19"/>
      <c r="L1323" s="19"/>
      <c r="R1323" s="19"/>
    </row>
    <row r="1324" spans="7:18" x14ac:dyDescent="0.25">
      <c r="G1324" s="19"/>
      <c r="J1324" s="19"/>
      <c r="K1324" s="19"/>
      <c r="L1324" s="19"/>
      <c r="R1324" s="19"/>
    </row>
    <row r="1325" spans="7:18" x14ac:dyDescent="0.25">
      <c r="G1325" s="19"/>
      <c r="J1325" s="19"/>
      <c r="K1325" s="19"/>
      <c r="L1325" s="19"/>
      <c r="R1325" s="19"/>
    </row>
    <row r="1326" spans="7:18" x14ac:dyDescent="0.25">
      <c r="G1326" s="19"/>
      <c r="J1326" s="19"/>
      <c r="K1326" s="19"/>
      <c r="L1326" s="19"/>
      <c r="R1326" s="19"/>
    </row>
    <row r="1327" spans="7:18" x14ac:dyDescent="0.25">
      <c r="G1327" s="19"/>
      <c r="J1327" s="19"/>
      <c r="K1327" s="19"/>
      <c r="L1327" s="19"/>
      <c r="R1327" s="19"/>
    </row>
    <row r="1328" spans="7:18" x14ac:dyDescent="0.25">
      <c r="G1328" s="19"/>
      <c r="J1328" s="19"/>
      <c r="K1328" s="19"/>
      <c r="L1328" s="19"/>
      <c r="R1328" s="19"/>
    </row>
    <row r="1329" spans="7:18" x14ac:dyDescent="0.25">
      <c r="G1329" s="19"/>
      <c r="J1329" s="19"/>
      <c r="K1329" s="19"/>
      <c r="L1329" s="19"/>
      <c r="R1329" s="19"/>
    </row>
    <row r="1330" spans="7:18" x14ac:dyDescent="0.25">
      <c r="G1330" s="19"/>
      <c r="J1330" s="19"/>
      <c r="K1330" s="19"/>
      <c r="L1330" s="19"/>
      <c r="R1330" s="19"/>
    </row>
    <row r="1331" spans="7:18" x14ac:dyDescent="0.25">
      <c r="G1331" s="19"/>
      <c r="J1331" s="19"/>
      <c r="K1331" s="19"/>
      <c r="L1331" s="19"/>
      <c r="R1331" s="19"/>
    </row>
    <row r="1332" spans="7:18" x14ac:dyDescent="0.25">
      <c r="G1332" s="19"/>
      <c r="J1332" s="19"/>
      <c r="K1332" s="19"/>
      <c r="L1332" s="19"/>
      <c r="R1332" s="19"/>
    </row>
    <row r="1333" spans="7:18" x14ac:dyDescent="0.25">
      <c r="G1333" s="19"/>
      <c r="J1333" s="19"/>
      <c r="K1333" s="19"/>
      <c r="L1333" s="19"/>
      <c r="R1333" s="19"/>
    </row>
    <row r="1334" spans="7:18" x14ac:dyDescent="0.25">
      <c r="G1334" s="19"/>
      <c r="J1334" s="19"/>
      <c r="K1334" s="19"/>
      <c r="L1334" s="19"/>
      <c r="R1334" s="19"/>
    </row>
    <row r="1335" spans="7:18" x14ac:dyDescent="0.25">
      <c r="G1335" s="19"/>
      <c r="J1335" s="19"/>
      <c r="K1335" s="19"/>
      <c r="L1335" s="19"/>
      <c r="R1335" s="19"/>
    </row>
    <row r="1336" spans="7:18" x14ac:dyDescent="0.25">
      <c r="G1336" s="19"/>
      <c r="J1336" s="19"/>
      <c r="K1336" s="19"/>
      <c r="L1336" s="19"/>
      <c r="R1336" s="19"/>
    </row>
    <row r="1337" spans="7:18" x14ac:dyDescent="0.25">
      <c r="G1337" s="19"/>
      <c r="J1337" s="19"/>
      <c r="K1337" s="19"/>
      <c r="L1337" s="19"/>
      <c r="R1337" s="19"/>
    </row>
    <row r="1338" spans="7:18" x14ac:dyDescent="0.25">
      <c r="G1338" s="19"/>
      <c r="J1338" s="19"/>
      <c r="K1338" s="19"/>
      <c r="L1338" s="19"/>
      <c r="R1338" s="19"/>
    </row>
    <row r="1339" spans="7:18" x14ac:dyDescent="0.25">
      <c r="G1339" s="19"/>
      <c r="J1339" s="19"/>
      <c r="K1339" s="19"/>
      <c r="L1339" s="19"/>
      <c r="R1339" s="19"/>
    </row>
    <row r="1340" spans="7:18" x14ac:dyDescent="0.25">
      <c r="G1340" s="19"/>
      <c r="J1340" s="19"/>
      <c r="K1340" s="19"/>
      <c r="L1340" s="19"/>
      <c r="R1340" s="19"/>
    </row>
    <row r="1341" spans="7:18" x14ac:dyDescent="0.25">
      <c r="G1341" s="19"/>
      <c r="J1341" s="19"/>
      <c r="K1341" s="19"/>
      <c r="L1341" s="19"/>
      <c r="R1341" s="19"/>
    </row>
    <row r="1342" spans="7:18" x14ac:dyDescent="0.25">
      <c r="G1342" s="19"/>
      <c r="J1342" s="19"/>
      <c r="K1342" s="19"/>
      <c r="L1342" s="19"/>
      <c r="R1342" s="19"/>
    </row>
    <row r="1343" spans="7:18" x14ac:dyDescent="0.25">
      <c r="G1343" s="19"/>
      <c r="J1343" s="19"/>
      <c r="K1343" s="19"/>
      <c r="L1343" s="19"/>
      <c r="R1343" s="19"/>
    </row>
    <row r="1344" spans="7:18" x14ac:dyDescent="0.25">
      <c r="G1344" s="19"/>
      <c r="J1344" s="19"/>
      <c r="K1344" s="19"/>
      <c r="L1344" s="19"/>
      <c r="R1344" s="19"/>
    </row>
    <row r="1345" spans="7:18" x14ac:dyDescent="0.25">
      <c r="G1345" s="19"/>
      <c r="J1345" s="19"/>
      <c r="K1345" s="19"/>
      <c r="L1345" s="19"/>
      <c r="R1345" s="19"/>
    </row>
    <row r="1346" spans="7:18" x14ac:dyDescent="0.25">
      <c r="G1346" s="19"/>
      <c r="J1346" s="19"/>
      <c r="K1346" s="19"/>
      <c r="L1346" s="19"/>
      <c r="R1346" s="19"/>
    </row>
    <row r="1347" spans="7:18" x14ac:dyDescent="0.25">
      <c r="G1347" s="19"/>
      <c r="J1347" s="19"/>
      <c r="K1347" s="19"/>
      <c r="L1347" s="19"/>
      <c r="R1347" s="19"/>
    </row>
    <row r="1348" spans="7:18" x14ac:dyDescent="0.25">
      <c r="G1348" s="19"/>
      <c r="J1348" s="19"/>
      <c r="K1348" s="19"/>
      <c r="L1348" s="19"/>
      <c r="R1348" s="19"/>
    </row>
    <row r="1349" spans="7:18" x14ac:dyDescent="0.25">
      <c r="G1349" s="19"/>
      <c r="J1349" s="19"/>
      <c r="K1349" s="19"/>
      <c r="L1349" s="19"/>
      <c r="R1349" s="19"/>
    </row>
    <row r="1350" spans="7:18" x14ac:dyDescent="0.25">
      <c r="G1350" s="19"/>
      <c r="J1350" s="19"/>
      <c r="K1350" s="19"/>
      <c r="L1350" s="19"/>
      <c r="R1350" s="19"/>
    </row>
    <row r="1351" spans="7:18" x14ac:dyDescent="0.25">
      <c r="G1351" s="19"/>
      <c r="J1351" s="19"/>
      <c r="K1351" s="19"/>
      <c r="L1351" s="19"/>
      <c r="R1351" s="19"/>
    </row>
    <row r="1352" spans="7:18" x14ac:dyDescent="0.25">
      <c r="G1352" s="19"/>
      <c r="J1352" s="19"/>
      <c r="K1352" s="19"/>
      <c r="L1352" s="19"/>
      <c r="R1352" s="19"/>
    </row>
    <row r="1353" spans="7:18" x14ac:dyDescent="0.25">
      <c r="G1353" s="19"/>
      <c r="J1353" s="19"/>
      <c r="K1353" s="19"/>
      <c r="L1353" s="19"/>
      <c r="R1353" s="19"/>
    </row>
    <row r="1354" spans="7:18" x14ac:dyDescent="0.25">
      <c r="G1354" s="19"/>
      <c r="J1354" s="19"/>
      <c r="K1354" s="19"/>
      <c r="L1354" s="19"/>
      <c r="R1354" s="19"/>
    </row>
    <row r="1355" spans="7:18" x14ac:dyDescent="0.25">
      <c r="G1355" s="19"/>
      <c r="J1355" s="19"/>
      <c r="K1355" s="19"/>
      <c r="L1355" s="19"/>
      <c r="R1355" s="19"/>
    </row>
    <row r="1356" spans="7:18" x14ac:dyDescent="0.25">
      <c r="G1356" s="19"/>
      <c r="J1356" s="19"/>
      <c r="K1356" s="19"/>
      <c r="L1356" s="19"/>
      <c r="R1356" s="19"/>
    </row>
    <row r="1357" spans="7:18" x14ac:dyDescent="0.25">
      <c r="G1357" s="19"/>
      <c r="J1357" s="19"/>
      <c r="K1357" s="19"/>
      <c r="L1357" s="19"/>
      <c r="R1357" s="19"/>
    </row>
    <row r="1358" spans="7:18" x14ac:dyDescent="0.25">
      <c r="G1358" s="19"/>
      <c r="J1358" s="19"/>
      <c r="K1358" s="19"/>
      <c r="L1358" s="19"/>
      <c r="R1358" s="19"/>
    </row>
    <row r="1359" spans="7:18" x14ac:dyDescent="0.25">
      <c r="G1359" s="19"/>
      <c r="J1359" s="19"/>
      <c r="K1359" s="19"/>
      <c r="L1359" s="19"/>
      <c r="R1359" s="19"/>
    </row>
    <row r="1360" spans="7:18" x14ac:dyDescent="0.25">
      <c r="G1360" s="19"/>
      <c r="J1360" s="19"/>
      <c r="K1360" s="19"/>
      <c r="L1360" s="19"/>
      <c r="R1360" s="19"/>
    </row>
    <row r="1361" spans="7:18" x14ac:dyDescent="0.25">
      <c r="G1361" s="19"/>
      <c r="J1361" s="19"/>
      <c r="K1361" s="19"/>
      <c r="L1361" s="19"/>
      <c r="R1361" s="19"/>
    </row>
    <row r="1362" spans="7:18" x14ac:dyDescent="0.25">
      <c r="G1362" s="19"/>
      <c r="J1362" s="19"/>
      <c r="K1362" s="19"/>
      <c r="L1362" s="19"/>
      <c r="R1362" s="19"/>
    </row>
    <row r="1363" spans="7:18" x14ac:dyDescent="0.25">
      <c r="G1363" s="19"/>
      <c r="J1363" s="19"/>
      <c r="K1363" s="19"/>
      <c r="L1363" s="19"/>
      <c r="R1363" s="19"/>
    </row>
    <row r="1364" spans="7:18" x14ac:dyDescent="0.25">
      <c r="G1364" s="19"/>
      <c r="J1364" s="19"/>
      <c r="K1364" s="19"/>
      <c r="L1364" s="19"/>
      <c r="R1364" s="19"/>
    </row>
    <row r="1365" spans="7:18" x14ac:dyDescent="0.25">
      <c r="G1365" s="19"/>
      <c r="J1365" s="19"/>
      <c r="K1365" s="19"/>
      <c r="L1365" s="19"/>
      <c r="R1365" s="19"/>
    </row>
    <row r="1366" spans="7:18" x14ac:dyDescent="0.25">
      <c r="G1366" s="19"/>
      <c r="J1366" s="19"/>
      <c r="K1366" s="19"/>
      <c r="L1366" s="19"/>
      <c r="R1366" s="19"/>
    </row>
    <row r="1367" spans="7:18" x14ac:dyDescent="0.25">
      <c r="G1367" s="19"/>
      <c r="J1367" s="19"/>
      <c r="K1367" s="19"/>
      <c r="L1367" s="19"/>
      <c r="R1367" s="19"/>
    </row>
    <row r="1368" spans="7:18" x14ac:dyDescent="0.25">
      <c r="G1368" s="19"/>
      <c r="J1368" s="19"/>
      <c r="K1368" s="19"/>
      <c r="L1368" s="19"/>
      <c r="R1368" s="19"/>
    </row>
    <row r="1369" spans="7:18" x14ac:dyDescent="0.25">
      <c r="G1369" s="19"/>
      <c r="J1369" s="19"/>
      <c r="K1369" s="19"/>
      <c r="L1369" s="19"/>
      <c r="R1369" s="19"/>
    </row>
    <row r="1370" spans="7:18" x14ac:dyDescent="0.25">
      <c r="G1370" s="19"/>
      <c r="J1370" s="19"/>
      <c r="K1370" s="19"/>
      <c r="L1370" s="19"/>
      <c r="R1370" s="19"/>
    </row>
    <row r="1371" spans="7:18" x14ac:dyDescent="0.25">
      <c r="G1371" s="19"/>
      <c r="J1371" s="19"/>
      <c r="K1371" s="19"/>
      <c r="L1371" s="19"/>
      <c r="R1371" s="19"/>
    </row>
    <row r="1372" spans="7:18" x14ac:dyDescent="0.25">
      <c r="G1372" s="19"/>
      <c r="J1372" s="19"/>
      <c r="K1372" s="19"/>
      <c r="L1372" s="19"/>
      <c r="R1372" s="19"/>
    </row>
    <row r="1373" spans="7:18" x14ac:dyDescent="0.25">
      <c r="G1373" s="19"/>
      <c r="J1373" s="19"/>
      <c r="K1373" s="19"/>
      <c r="L1373" s="19"/>
      <c r="R1373" s="19"/>
    </row>
    <row r="1374" spans="7:18" x14ac:dyDescent="0.25">
      <c r="G1374" s="19"/>
      <c r="J1374" s="19"/>
      <c r="K1374" s="19"/>
      <c r="L1374" s="19"/>
      <c r="R1374" s="19"/>
    </row>
    <row r="1375" spans="7:18" x14ac:dyDescent="0.25">
      <c r="G1375" s="19"/>
      <c r="J1375" s="19"/>
      <c r="K1375" s="19"/>
      <c r="L1375" s="19"/>
      <c r="R1375" s="19"/>
    </row>
    <row r="1376" spans="7:18" x14ac:dyDescent="0.25">
      <c r="G1376" s="19"/>
      <c r="J1376" s="19"/>
      <c r="K1376" s="19"/>
      <c r="L1376" s="19"/>
      <c r="R1376" s="19"/>
    </row>
    <row r="1377" spans="7:18" x14ac:dyDescent="0.25">
      <c r="G1377" s="19"/>
      <c r="J1377" s="19"/>
      <c r="K1377" s="19"/>
      <c r="L1377" s="19"/>
      <c r="R1377" s="19"/>
    </row>
    <row r="1378" spans="7:18" x14ac:dyDescent="0.25">
      <c r="G1378" s="19"/>
      <c r="J1378" s="19"/>
      <c r="K1378" s="19"/>
      <c r="L1378" s="19"/>
      <c r="R1378" s="19"/>
    </row>
    <row r="1379" spans="7:18" x14ac:dyDescent="0.25">
      <c r="G1379" s="19"/>
      <c r="J1379" s="19"/>
      <c r="K1379" s="19"/>
      <c r="L1379" s="19"/>
      <c r="R1379" s="19"/>
    </row>
    <row r="1380" spans="7:18" x14ac:dyDescent="0.25">
      <c r="G1380" s="19"/>
      <c r="J1380" s="19"/>
      <c r="K1380" s="19"/>
      <c r="L1380" s="19"/>
      <c r="R1380" s="19"/>
    </row>
    <row r="1381" spans="7:18" x14ac:dyDescent="0.25">
      <c r="G1381" s="19"/>
      <c r="J1381" s="19"/>
      <c r="K1381" s="19"/>
      <c r="L1381" s="19"/>
      <c r="R1381" s="19"/>
    </row>
    <row r="1382" spans="7:18" x14ac:dyDescent="0.25">
      <c r="G1382" s="19"/>
      <c r="J1382" s="19"/>
      <c r="K1382" s="19"/>
      <c r="L1382" s="19"/>
      <c r="R1382" s="19"/>
    </row>
    <row r="1383" spans="7:18" x14ac:dyDescent="0.25">
      <c r="G1383" s="19"/>
      <c r="J1383" s="19"/>
      <c r="K1383" s="19"/>
      <c r="L1383" s="19"/>
      <c r="R1383" s="19"/>
    </row>
    <row r="1384" spans="7:18" x14ac:dyDescent="0.25">
      <c r="G1384" s="19"/>
      <c r="J1384" s="19"/>
      <c r="K1384" s="19"/>
      <c r="L1384" s="19"/>
      <c r="R1384" s="19"/>
    </row>
    <row r="1385" spans="7:18" x14ac:dyDescent="0.25">
      <c r="G1385" s="19"/>
      <c r="J1385" s="19"/>
      <c r="K1385" s="19"/>
      <c r="L1385" s="19"/>
      <c r="R1385" s="19"/>
    </row>
    <row r="1386" spans="7:18" x14ac:dyDescent="0.25">
      <c r="G1386" s="19"/>
      <c r="J1386" s="19"/>
      <c r="K1386" s="19"/>
      <c r="L1386" s="19"/>
      <c r="R1386" s="19"/>
    </row>
    <row r="1387" spans="7:18" x14ac:dyDescent="0.25">
      <c r="G1387" s="19"/>
      <c r="J1387" s="19"/>
      <c r="K1387" s="19"/>
      <c r="L1387" s="19"/>
      <c r="R1387" s="19"/>
    </row>
    <row r="1388" spans="7:18" x14ac:dyDescent="0.25">
      <c r="G1388" s="19"/>
      <c r="J1388" s="19"/>
      <c r="K1388" s="19"/>
      <c r="L1388" s="19"/>
      <c r="R1388" s="19"/>
    </row>
    <row r="1389" spans="7:18" x14ac:dyDescent="0.25">
      <c r="G1389" s="19"/>
      <c r="J1389" s="19"/>
      <c r="K1389" s="19"/>
      <c r="L1389" s="19"/>
      <c r="R1389" s="19"/>
    </row>
    <row r="1390" spans="7:18" x14ac:dyDescent="0.25">
      <c r="G1390" s="19"/>
      <c r="J1390" s="19"/>
      <c r="K1390" s="19"/>
      <c r="L1390" s="19"/>
      <c r="R1390" s="19"/>
    </row>
    <row r="1391" spans="7:18" x14ac:dyDescent="0.25">
      <c r="G1391" s="19"/>
      <c r="J1391" s="19"/>
      <c r="K1391" s="19"/>
      <c r="L1391" s="19"/>
      <c r="R1391" s="19"/>
    </row>
    <row r="1392" spans="7:18" x14ac:dyDescent="0.25">
      <c r="G1392" s="19"/>
      <c r="J1392" s="19"/>
      <c r="K1392" s="19"/>
      <c r="L1392" s="19"/>
      <c r="R1392" s="19"/>
    </row>
    <row r="1393" spans="7:18" x14ac:dyDescent="0.25">
      <c r="G1393" s="19"/>
      <c r="J1393" s="19"/>
      <c r="K1393" s="19"/>
      <c r="L1393" s="19"/>
      <c r="R1393" s="19"/>
    </row>
    <row r="1394" spans="7:18" x14ac:dyDescent="0.25">
      <c r="G1394" s="19"/>
      <c r="J1394" s="19"/>
      <c r="K1394" s="19"/>
      <c r="L1394" s="19"/>
      <c r="R1394" s="19"/>
    </row>
    <row r="1395" spans="7:18" x14ac:dyDescent="0.25">
      <c r="G1395" s="19"/>
      <c r="J1395" s="19"/>
      <c r="K1395" s="19"/>
      <c r="L1395" s="19"/>
      <c r="R1395" s="19"/>
    </row>
    <row r="1396" spans="7:18" x14ac:dyDescent="0.25">
      <c r="G1396" s="19"/>
      <c r="J1396" s="19"/>
      <c r="K1396" s="19"/>
      <c r="L1396" s="19"/>
      <c r="R1396" s="19"/>
    </row>
    <row r="1397" spans="7:18" x14ac:dyDescent="0.25">
      <c r="G1397" s="19"/>
      <c r="J1397" s="19"/>
      <c r="K1397" s="19"/>
      <c r="L1397" s="19"/>
      <c r="R1397" s="19"/>
    </row>
    <row r="1398" spans="7:18" x14ac:dyDescent="0.25">
      <c r="G1398" s="19"/>
      <c r="J1398" s="19"/>
      <c r="K1398" s="19"/>
      <c r="L1398" s="19"/>
      <c r="R1398" s="19"/>
    </row>
    <row r="1399" spans="7:18" x14ac:dyDescent="0.25">
      <c r="G1399" s="19"/>
      <c r="J1399" s="19"/>
      <c r="K1399" s="19"/>
      <c r="L1399" s="19"/>
      <c r="R1399" s="19"/>
    </row>
    <row r="1400" spans="7:18" x14ac:dyDescent="0.25">
      <c r="G1400" s="19"/>
      <c r="J1400" s="19"/>
      <c r="K1400" s="19"/>
      <c r="L1400" s="19"/>
      <c r="R1400" s="19"/>
    </row>
    <row r="1401" spans="7:18" x14ac:dyDescent="0.25">
      <c r="G1401" s="19"/>
      <c r="J1401" s="19"/>
      <c r="K1401" s="19"/>
      <c r="L1401" s="19"/>
      <c r="R1401" s="19"/>
    </row>
    <row r="1402" spans="7:18" x14ac:dyDescent="0.25">
      <c r="G1402" s="19"/>
      <c r="J1402" s="19"/>
      <c r="K1402" s="19"/>
      <c r="L1402" s="19"/>
      <c r="R1402" s="19"/>
    </row>
    <row r="1403" spans="7:18" x14ac:dyDescent="0.25">
      <c r="G1403" s="19"/>
      <c r="J1403" s="19"/>
      <c r="K1403" s="19"/>
      <c r="L1403" s="19"/>
      <c r="R1403" s="19"/>
    </row>
    <row r="1404" spans="7:18" x14ac:dyDescent="0.25">
      <c r="G1404" s="19"/>
      <c r="J1404" s="19"/>
      <c r="K1404" s="19"/>
      <c r="L1404" s="19"/>
      <c r="R1404" s="19"/>
    </row>
    <row r="1405" spans="7:18" x14ac:dyDescent="0.25">
      <c r="G1405" s="19"/>
      <c r="J1405" s="19"/>
      <c r="K1405" s="19"/>
      <c r="L1405" s="19"/>
      <c r="R1405" s="19"/>
    </row>
    <row r="1406" spans="7:18" x14ac:dyDescent="0.25">
      <c r="G1406" s="19"/>
      <c r="J1406" s="19"/>
      <c r="K1406" s="19"/>
      <c r="L1406" s="19"/>
      <c r="R1406" s="19"/>
    </row>
    <row r="1407" spans="7:18" x14ac:dyDescent="0.25">
      <c r="G1407" s="19"/>
      <c r="J1407" s="19"/>
      <c r="K1407" s="19"/>
      <c r="L1407" s="19"/>
      <c r="R1407" s="19"/>
    </row>
    <row r="1408" spans="7:18" x14ac:dyDescent="0.25">
      <c r="G1408" s="19"/>
      <c r="J1408" s="19"/>
      <c r="K1408" s="19"/>
      <c r="L1408" s="19"/>
      <c r="R1408" s="19"/>
    </row>
    <row r="1409" spans="7:18" x14ac:dyDescent="0.25">
      <c r="G1409" s="19"/>
      <c r="J1409" s="19"/>
      <c r="K1409" s="19"/>
      <c r="L1409" s="19"/>
      <c r="R1409" s="19"/>
    </row>
    <row r="1410" spans="7:18" x14ac:dyDescent="0.25">
      <c r="G1410" s="19"/>
      <c r="J1410" s="19"/>
      <c r="K1410" s="19"/>
      <c r="L1410" s="19"/>
      <c r="R1410" s="19"/>
    </row>
    <row r="1411" spans="7:18" x14ac:dyDescent="0.25">
      <c r="G1411" s="19"/>
      <c r="J1411" s="19"/>
      <c r="K1411" s="19"/>
      <c r="L1411" s="19"/>
      <c r="R1411" s="19"/>
    </row>
    <row r="1412" spans="7:18" x14ac:dyDescent="0.25">
      <c r="G1412" s="19"/>
      <c r="J1412" s="19"/>
      <c r="K1412" s="19"/>
      <c r="L1412" s="19"/>
      <c r="R1412" s="19"/>
    </row>
    <row r="1413" spans="7:18" x14ac:dyDescent="0.25">
      <c r="G1413" s="19"/>
      <c r="J1413" s="19"/>
      <c r="K1413" s="19"/>
      <c r="L1413" s="19"/>
      <c r="R1413" s="19"/>
    </row>
    <row r="1414" spans="7:18" x14ac:dyDescent="0.25">
      <c r="G1414" s="19"/>
      <c r="J1414" s="19"/>
      <c r="K1414" s="19"/>
      <c r="L1414" s="19"/>
      <c r="R1414" s="19"/>
    </row>
    <row r="1415" spans="7:18" x14ac:dyDescent="0.25">
      <c r="G1415" s="19"/>
      <c r="J1415" s="19"/>
      <c r="K1415" s="19"/>
      <c r="L1415" s="19"/>
      <c r="R1415" s="19"/>
    </row>
    <row r="1416" spans="7:18" x14ac:dyDescent="0.25">
      <c r="G1416" s="19"/>
      <c r="J1416" s="19"/>
      <c r="K1416" s="19"/>
      <c r="L1416" s="19"/>
      <c r="R1416" s="19"/>
    </row>
    <row r="1417" spans="7:18" x14ac:dyDescent="0.25">
      <c r="G1417" s="19"/>
      <c r="J1417" s="19"/>
      <c r="K1417" s="19"/>
      <c r="L1417" s="19"/>
      <c r="R1417" s="19"/>
    </row>
    <row r="1418" spans="7:18" x14ac:dyDescent="0.25">
      <c r="G1418" s="19"/>
      <c r="J1418" s="19"/>
      <c r="K1418" s="19"/>
      <c r="L1418" s="19"/>
      <c r="R1418" s="19"/>
    </row>
    <row r="1419" spans="7:18" x14ac:dyDescent="0.25">
      <c r="G1419" s="19"/>
      <c r="J1419" s="19"/>
      <c r="K1419" s="19"/>
      <c r="L1419" s="19"/>
      <c r="R1419" s="19"/>
    </row>
    <row r="1420" spans="7:18" x14ac:dyDescent="0.25">
      <c r="G1420" s="19"/>
      <c r="J1420" s="19"/>
      <c r="K1420" s="19"/>
      <c r="L1420" s="19"/>
      <c r="R1420" s="19"/>
    </row>
    <row r="1421" spans="7:18" x14ac:dyDescent="0.25">
      <c r="G1421" s="19"/>
      <c r="J1421" s="19"/>
      <c r="K1421" s="19"/>
      <c r="L1421" s="19"/>
      <c r="R1421" s="19"/>
    </row>
    <row r="1422" spans="7:18" x14ac:dyDescent="0.25">
      <c r="G1422" s="19"/>
      <c r="J1422" s="19"/>
      <c r="K1422" s="19"/>
      <c r="L1422" s="19"/>
      <c r="R1422" s="19"/>
    </row>
    <row r="1423" spans="7:18" x14ac:dyDescent="0.25">
      <c r="G1423" s="19"/>
      <c r="J1423" s="19"/>
      <c r="K1423" s="19"/>
      <c r="L1423" s="19"/>
      <c r="R1423" s="19"/>
    </row>
    <row r="1424" spans="7:18" x14ac:dyDescent="0.25">
      <c r="G1424" s="19"/>
      <c r="J1424" s="19"/>
      <c r="K1424" s="19"/>
      <c r="L1424" s="19"/>
      <c r="R1424" s="19"/>
    </row>
    <row r="1425" spans="7:18" x14ac:dyDescent="0.25">
      <c r="G1425" s="19"/>
      <c r="J1425" s="19"/>
      <c r="K1425" s="19"/>
      <c r="L1425" s="19"/>
      <c r="R1425" s="19"/>
    </row>
    <row r="1426" spans="7:18" x14ac:dyDescent="0.25">
      <c r="G1426" s="19"/>
      <c r="J1426" s="19"/>
      <c r="K1426" s="19"/>
      <c r="L1426" s="19"/>
      <c r="R1426" s="19"/>
    </row>
    <row r="1427" spans="7:18" x14ac:dyDescent="0.25">
      <c r="G1427" s="19"/>
      <c r="J1427" s="19"/>
      <c r="K1427" s="19"/>
      <c r="L1427" s="19"/>
      <c r="R1427" s="19"/>
    </row>
    <row r="1428" spans="7:18" x14ac:dyDescent="0.25">
      <c r="G1428" s="19"/>
      <c r="J1428" s="19"/>
      <c r="K1428" s="19"/>
      <c r="L1428" s="19"/>
      <c r="R1428" s="19"/>
    </row>
    <row r="1429" spans="7:18" x14ac:dyDescent="0.25">
      <c r="G1429" s="19"/>
      <c r="J1429" s="19"/>
      <c r="K1429" s="19"/>
      <c r="L1429" s="19"/>
      <c r="R1429" s="19"/>
    </row>
    <row r="1430" spans="7:18" x14ac:dyDescent="0.25">
      <c r="G1430" s="19"/>
      <c r="J1430" s="19"/>
      <c r="K1430" s="19"/>
      <c r="L1430" s="19"/>
      <c r="R1430" s="19"/>
    </row>
    <row r="1431" spans="7:18" x14ac:dyDescent="0.25">
      <c r="G1431" s="19"/>
      <c r="J1431" s="19"/>
      <c r="K1431" s="19"/>
      <c r="L1431" s="19"/>
      <c r="R1431" s="19"/>
    </row>
    <row r="1432" spans="7:18" x14ac:dyDescent="0.25">
      <c r="G1432" s="19"/>
      <c r="J1432" s="19"/>
      <c r="K1432" s="19"/>
      <c r="L1432" s="19"/>
      <c r="R1432" s="19"/>
    </row>
    <row r="1433" spans="7:18" x14ac:dyDescent="0.25">
      <c r="G1433" s="19"/>
      <c r="J1433" s="19"/>
      <c r="K1433" s="19"/>
      <c r="L1433" s="19"/>
      <c r="R1433" s="19"/>
    </row>
    <row r="1434" spans="7:18" x14ac:dyDescent="0.25">
      <c r="G1434" s="19"/>
      <c r="J1434" s="19"/>
      <c r="K1434" s="19"/>
      <c r="L1434" s="19"/>
      <c r="R1434" s="19"/>
    </row>
    <row r="1435" spans="7:18" x14ac:dyDescent="0.25">
      <c r="G1435" s="19"/>
      <c r="J1435" s="19"/>
      <c r="K1435" s="19"/>
      <c r="L1435" s="19"/>
      <c r="R1435" s="19"/>
    </row>
    <row r="1436" spans="7:18" x14ac:dyDescent="0.25">
      <c r="G1436" s="19"/>
      <c r="J1436" s="19"/>
      <c r="K1436" s="19"/>
      <c r="L1436" s="19"/>
      <c r="R1436" s="19"/>
    </row>
    <row r="1437" spans="7:18" x14ac:dyDescent="0.25">
      <c r="G1437" s="19"/>
      <c r="J1437" s="19"/>
      <c r="K1437" s="19"/>
      <c r="L1437" s="19"/>
      <c r="R1437" s="19"/>
    </row>
    <row r="1438" spans="7:18" x14ac:dyDescent="0.25">
      <c r="G1438" s="19"/>
      <c r="J1438" s="19"/>
      <c r="K1438" s="19"/>
      <c r="L1438" s="19"/>
      <c r="R1438" s="19"/>
    </row>
    <row r="1439" spans="7:18" x14ac:dyDescent="0.25">
      <c r="G1439" s="19"/>
      <c r="J1439" s="19"/>
      <c r="K1439" s="19"/>
      <c r="L1439" s="19"/>
      <c r="R1439" s="19"/>
    </row>
    <row r="1440" spans="7:18" x14ac:dyDescent="0.25">
      <c r="G1440" s="19"/>
      <c r="J1440" s="19"/>
      <c r="K1440" s="19"/>
      <c r="L1440" s="19"/>
      <c r="R1440" s="19"/>
    </row>
    <row r="1441" spans="7:18" x14ac:dyDescent="0.25">
      <c r="G1441" s="19"/>
      <c r="J1441" s="19"/>
      <c r="K1441" s="19"/>
      <c r="L1441" s="19"/>
      <c r="R1441" s="19"/>
    </row>
    <row r="1442" spans="7:18" x14ac:dyDescent="0.25">
      <c r="G1442" s="19"/>
      <c r="J1442" s="19"/>
      <c r="K1442" s="19"/>
      <c r="L1442" s="19"/>
      <c r="R1442" s="19"/>
    </row>
    <row r="1443" spans="7:18" x14ac:dyDescent="0.25">
      <c r="G1443" s="19"/>
      <c r="J1443" s="19"/>
      <c r="K1443" s="19"/>
      <c r="L1443" s="19"/>
      <c r="R1443" s="19"/>
    </row>
    <row r="1444" spans="7:18" x14ac:dyDescent="0.25">
      <c r="G1444" s="19"/>
      <c r="J1444" s="19"/>
      <c r="K1444" s="19"/>
      <c r="L1444" s="19"/>
      <c r="R1444" s="19"/>
    </row>
    <row r="1445" spans="7:18" x14ac:dyDescent="0.25">
      <c r="G1445" s="19"/>
      <c r="J1445" s="19"/>
      <c r="K1445" s="19"/>
      <c r="L1445" s="19"/>
      <c r="R1445" s="19"/>
    </row>
    <row r="1446" spans="7:18" x14ac:dyDescent="0.25">
      <c r="G1446" s="19"/>
      <c r="J1446" s="19"/>
      <c r="K1446" s="19"/>
      <c r="L1446" s="19"/>
      <c r="R1446" s="19"/>
    </row>
    <row r="1447" spans="7:18" x14ac:dyDescent="0.25">
      <c r="G1447" s="19"/>
      <c r="J1447" s="19"/>
      <c r="K1447" s="19"/>
      <c r="L1447" s="19"/>
      <c r="R1447" s="19"/>
    </row>
    <row r="1448" spans="7:18" x14ac:dyDescent="0.25">
      <c r="G1448" s="19"/>
      <c r="J1448" s="19"/>
      <c r="K1448" s="19"/>
      <c r="L1448" s="19"/>
      <c r="R1448" s="19"/>
    </row>
    <row r="1449" spans="7:18" x14ac:dyDescent="0.25">
      <c r="G1449" s="19"/>
      <c r="J1449" s="19"/>
      <c r="K1449" s="19"/>
      <c r="L1449" s="19"/>
      <c r="R1449" s="19"/>
    </row>
    <row r="1450" spans="7:18" x14ac:dyDescent="0.25">
      <c r="G1450" s="19"/>
      <c r="J1450" s="19"/>
      <c r="K1450" s="19"/>
      <c r="L1450" s="19"/>
      <c r="R1450" s="19"/>
    </row>
    <row r="1451" spans="7:18" x14ac:dyDescent="0.25">
      <c r="G1451" s="19"/>
      <c r="J1451" s="19"/>
      <c r="K1451" s="19"/>
      <c r="L1451" s="19"/>
      <c r="R1451" s="19"/>
    </row>
    <row r="1452" spans="7:18" x14ac:dyDescent="0.25">
      <c r="G1452" s="19"/>
      <c r="J1452" s="19"/>
      <c r="K1452" s="19"/>
      <c r="L1452" s="19"/>
      <c r="R1452" s="19"/>
    </row>
    <row r="1453" spans="7:18" x14ac:dyDescent="0.25">
      <c r="G1453" s="19"/>
      <c r="J1453" s="19"/>
      <c r="K1453" s="19"/>
      <c r="L1453" s="19"/>
      <c r="R1453" s="19"/>
    </row>
    <row r="1454" spans="7:18" x14ac:dyDescent="0.25">
      <c r="G1454" s="19"/>
      <c r="J1454" s="19"/>
      <c r="K1454" s="19"/>
      <c r="L1454" s="19"/>
      <c r="R1454" s="19"/>
    </row>
    <row r="1455" spans="7:18" x14ac:dyDescent="0.25">
      <c r="G1455" s="19"/>
      <c r="J1455" s="19"/>
      <c r="K1455" s="19"/>
      <c r="L1455" s="19"/>
      <c r="R1455" s="19"/>
    </row>
    <row r="1456" spans="7:18" x14ac:dyDescent="0.25">
      <c r="G1456" s="19"/>
      <c r="J1456" s="19"/>
      <c r="K1456" s="19"/>
      <c r="L1456" s="19"/>
      <c r="R1456" s="19"/>
    </row>
    <row r="1457" spans="7:18" x14ac:dyDescent="0.25">
      <c r="G1457" s="19"/>
      <c r="J1457" s="19"/>
      <c r="K1457" s="19"/>
      <c r="L1457" s="19"/>
      <c r="R1457" s="19"/>
    </row>
    <row r="1458" spans="7:18" x14ac:dyDescent="0.25">
      <c r="G1458" s="19"/>
      <c r="J1458" s="19"/>
      <c r="K1458" s="19"/>
      <c r="L1458" s="19"/>
      <c r="R1458" s="19"/>
    </row>
    <row r="1459" spans="7:18" x14ac:dyDescent="0.25">
      <c r="G1459" s="19"/>
      <c r="J1459" s="19"/>
      <c r="K1459" s="19"/>
      <c r="L1459" s="19"/>
      <c r="R1459" s="19"/>
    </row>
    <row r="1460" spans="7:18" x14ac:dyDescent="0.25">
      <c r="G1460" s="19"/>
      <c r="J1460" s="19"/>
      <c r="K1460" s="19"/>
      <c r="L1460" s="19"/>
      <c r="R1460" s="19"/>
    </row>
    <row r="1461" spans="7:18" x14ac:dyDescent="0.25">
      <c r="G1461" s="19"/>
      <c r="J1461" s="19"/>
      <c r="K1461" s="19"/>
      <c r="L1461" s="19"/>
      <c r="R1461" s="19"/>
    </row>
    <row r="1462" spans="7:18" x14ac:dyDescent="0.25">
      <c r="G1462" s="19"/>
      <c r="J1462" s="19"/>
      <c r="K1462" s="19"/>
      <c r="L1462" s="19"/>
      <c r="R1462" s="19"/>
    </row>
    <row r="1463" spans="7:18" x14ac:dyDescent="0.25">
      <c r="G1463" s="19"/>
      <c r="J1463" s="19"/>
      <c r="K1463" s="19"/>
      <c r="L1463" s="19"/>
      <c r="R1463" s="19"/>
    </row>
    <row r="1464" spans="7:18" x14ac:dyDescent="0.25">
      <c r="G1464" s="19"/>
      <c r="J1464" s="19"/>
      <c r="K1464" s="19"/>
      <c r="L1464" s="19"/>
      <c r="R1464" s="19"/>
    </row>
    <row r="1465" spans="7:18" x14ac:dyDescent="0.25">
      <c r="G1465" s="19"/>
      <c r="J1465" s="19"/>
      <c r="K1465" s="19"/>
      <c r="L1465" s="19"/>
      <c r="R1465" s="19"/>
    </row>
    <row r="1466" spans="7:18" x14ac:dyDescent="0.25">
      <c r="G1466" s="19"/>
      <c r="J1466" s="19"/>
      <c r="K1466" s="19"/>
      <c r="L1466" s="19"/>
      <c r="R1466" s="19"/>
    </row>
    <row r="1467" spans="7:18" x14ac:dyDescent="0.25">
      <c r="G1467" s="19"/>
      <c r="J1467" s="19"/>
      <c r="K1467" s="19"/>
      <c r="L1467" s="19"/>
      <c r="R1467" s="19"/>
    </row>
    <row r="1468" spans="7:18" x14ac:dyDescent="0.25">
      <c r="G1468" s="19"/>
      <c r="J1468" s="19"/>
      <c r="K1468" s="19"/>
      <c r="L1468" s="19"/>
      <c r="R1468" s="19"/>
    </row>
    <row r="1469" spans="7:18" x14ac:dyDescent="0.25">
      <c r="G1469" s="19"/>
      <c r="J1469" s="19"/>
      <c r="K1469" s="19"/>
      <c r="L1469" s="19"/>
      <c r="R1469" s="19"/>
    </row>
    <row r="1470" spans="7:18" x14ac:dyDescent="0.25">
      <c r="G1470" s="19"/>
      <c r="J1470" s="19"/>
      <c r="K1470" s="19"/>
      <c r="L1470" s="19"/>
      <c r="R1470" s="19"/>
    </row>
    <row r="1471" spans="7:18" x14ac:dyDescent="0.25">
      <c r="G1471" s="19"/>
      <c r="J1471" s="19"/>
      <c r="K1471" s="19"/>
      <c r="L1471" s="19"/>
      <c r="R1471" s="19"/>
    </row>
    <row r="1472" spans="7:18" x14ac:dyDescent="0.25">
      <c r="G1472" s="19"/>
      <c r="J1472" s="19"/>
      <c r="K1472" s="19"/>
      <c r="L1472" s="19"/>
      <c r="R1472" s="19"/>
    </row>
    <row r="1473" spans="7:18" x14ac:dyDescent="0.25">
      <c r="G1473" s="19"/>
      <c r="J1473" s="19"/>
      <c r="K1473" s="19"/>
      <c r="L1473" s="19"/>
      <c r="R1473" s="19"/>
    </row>
    <row r="1474" spans="7:18" x14ac:dyDescent="0.25">
      <c r="G1474" s="19"/>
      <c r="J1474" s="19"/>
      <c r="K1474" s="19"/>
      <c r="L1474" s="19"/>
      <c r="R1474" s="19"/>
    </row>
    <row r="1475" spans="7:18" x14ac:dyDescent="0.25">
      <c r="G1475" s="19"/>
      <c r="J1475" s="19"/>
      <c r="K1475" s="19"/>
      <c r="L1475" s="19"/>
      <c r="R1475" s="19"/>
    </row>
    <row r="1476" spans="7:18" x14ac:dyDescent="0.25">
      <c r="G1476" s="19"/>
      <c r="J1476" s="19"/>
      <c r="K1476" s="19"/>
      <c r="L1476" s="19"/>
      <c r="R1476" s="19"/>
    </row>
    <row r="1477" spans="7:18" x14ac:dyDescent="0.25">
      <c r="G1477" s="19"/>
      <c r="J1477" s="19"/>
      <c r="K1477" s="19"/>
      <c r="L1477" s="19"/>
      <c r="R1477" s="19"/>
    </row>
    <row r="1478" spans="7:18" x14ac:dyDescent="0.25">
      <c r="G1478" s="19"/>
      <c r="J1478" s="19"/>
      <c r="K1478" s="19"/>
      <c r="L1478" s="19"/>
      <c r="R1478" s="19"/>
    </row>
    <row r="1479" spans="7:18" x14ac:dyDescent="0.25">
      <c r="G1479" s="19"/>
      <c r="J1479" s="19"/>
      <c r="K1479" s="19"/>
      <c r="L1479" s="19"/>
      <c r="R1479" s="19"/>
    </row>
    <row r="1480" spans="7:18" x14ac:dyDescent="0.25">
      <c r="G1480" s="19"/>
      <c r="J1480" s="19"/>
      <c r="K1480" s="19"/>
      <c r="L1480" s="19"/>
      <c r="R1480" s="19"/>
    </row>
    <row r="1481" spans="7:18" x14ac:dyDescent="0.25">
      <c r="G1481" s="19"/>
      <c r="J1481" s="19"/>
      <c r="K1481" s="19"/>
      <c r="L1481" s="19"/>
      <c r="R1481" s="19"/>
    </row>
    <row r="1482" spans="7:18" x14ac:dyDescent="0.25">
      <c r="G1482" s="19"/>
      <c r="J1482" s="19"/>
      <c r="K1482" s="19"/>
      <c r="L1482" s="19"/>
      <c r="R1482" s="19"/>
    </row>
    <row r="1483" spans="7:18" x14ac:dyDescent="0.25">
      <c r="G1483" s="19"/>
      <c r="J1483" s="19"/>
      <c r="K1483" s="19"/>
      <c r="L1483" s="19"/>
      <c r="R1483" s="19"/>
    </row>
    <row r="1484" spans="7:18" x14ac:dyDescent="0.25">
      <c r="G1484" s="19"/>
      <c r="J1484" s="19"/>
      <c r="K1484" s="19"/>
      <c r="L1484" s="19"/>
      <c r="R1484" s="19"/>
    </row>
    <row r="1485" spans="7:18" x14ac:dyDescent="0.25">
      <c r="G1485" s="19"/>
      <c r="J1485" s="19"/>
      <c r="K1485" s="19"/>
      <c r="L1485" s="19"/>
      <c r="R1485" s="19"/>
    </row>
    <row r="1486" spans="7:18" x14ac:dyDescent="0.25">
      <c r="G1486" s="19"/>
      <c r="J1486" s="19"/>
      <c r="K1486" s="19"/>
      <c r="L1486" s="19"/>
      <c r="R1486" s="19"/>
    </row>
    <row r="1487" spans="7:18" x14ac:dyDescent="0.25">
      <c r="G1487" s="19"/>
      <c r="J1487" s="19"/>
      <c r="K1487" s="19"/>
      <c r="L1487" s="19"/>
      <c r="R1487" s="19"/>
    </row>
    <row r="1488" spans="7:18" x14ac:dyDescent="0.25">
      <c r="G1488" s="19"/>
      <c r="J1488" s="19"/>
      <c r="K1488" s="19"/>
      <c r="L1488" s="19"/>
      <c r="R1488" s="19"/>
    </row>
    <row r="1489" spans="7:18" x14ac:dyDescent="0.25">
      <c r="G1489" s="19"/>
      <c r="J1489" s="19"/>
      <c r="K1489" s="19"/>
      <c r="L1489" s="19"/>
      <c r="R1489" s="19"/>
    </row>
    <row r="1490" spans="7:18" x14ac:dyDescent="0.25">
      <c r="G1490" s="19"/>
      <c r="J1490" s="19"/>
      <c r="K1490" s="19"/>
      <c r="L1490" s="19"/>
      <c r="R1490" s="19"/>
    </row>
    <row r="1491" spans="7:18" x14ac:dyDescent="0.25">
      <c r="G1491" s="19"/>
      <c r="J1491" s="19"/>
      <c r="K1491" s="19"/>
      <c r="L1491" s="19"/>
      <c r="R1491" s="19"/>
    </row>
    <row r="1492" spans="7:18" x14ac:dyDescent="0.25">
      <c r="G1492" s="19"/>
      <c r="J1492" s="19"/>
      <c r="K1492" s="19"/>
      <c r="L1492" s="19"/>
      <c r="R1492" s="19"/>
    </row>
    <row r="1493" spans="7:18" x14ac:dyDescent="0.25">
      <c r="G1493" s="19"/>
      <c r="J1493" s="19"/>
      <c r="K1493" s="19"/>
      <c r="L1493" s="19"/>
      <c r="R1493" s="19"/>
    </row>
    <row r="1494" spans="7:18" x14ac:dyDescent="0.25">
      <c r="G1494" s="19"/>
      <c r="J1494" s="19"/>
      <c r="K1494" s="19"/>
      <c r="L1494" s="19"/>
      <c r="R1494" s="19"/>
    </row>
    <row r="1495" spans="7:18" x14ac:dyDescent="0.25">
      <c r="G1495" s="19"/>
      <c r="J1495" s="19"/>
      <c r="K1495" s="19"/>
      <c r="L1495" s="19"/>
      <c r="R1495" s="19"/>
    </row>
    <row r="1496" spans="7:18" x14ac:dyDescent="0.25">
      <c r="G1496" s="19"/>
      <c r="J1496" s="19"/>
      <c r="K1496" s="19"/>
      <c r="L1496" s="19"/>
      <c r="R1496" s="19"/>
    </row>
    <row r="1497" spans="7:18" x14ac:dyDescent="0.25">
      <c r="G1497" s="19"/>
      <c r="J1497" s="19"/>
      <c r="K1497" s="19"/>
      <c r="L1497" s="19"/>
      <c r="R1497" s="19"/>
    </row>
    <row r="1498" spans="7:18" x14ac:dyDescent="0.25">
      <c r="G1498" s="19"/>
      <c r="J1498" s="19"/>
      <c r="K1498" s="19"/>
      <c r="L1498" s="19"/>
      <c r="R1498" s="19"/>
    </row>
    <row r="1499" spans="7:18" x14ac:dyDescent="0.25">
      <c r="G1499" s="19"/>
      <c r="J1499" s="19"/>
      <c r="K1499" s="19"/>
      <c r="L1499" s="19"/>
      <c r="R1499" s="19"/>
    </row>
    <row r="1500" spans="7:18" x14ac:dyDescent="0.25">
      <c r="G1500" s="19"/>
      <c r="J1500" s="19"/>
      <c r="K1500" s="19"/>
      <c r="L1500" s="19"/>
      <c r="R1500" s="19"/>
    </row>
    <row r="1502" spans="7:18" x14ac:dyDescent="0.25">
      <c r="G1502" s="19"/>
      <c r="J1502" s="19"/>
      <c r="K1502" s="19"/>
      <c r="L1502" s="19"/>
      <c r="R1502" s="19"/>
    </row>
    <row r="1503" spans="7:18" x14ac:dyDescent="0.25">
      <c r="G1503" s="19"/>
      <c r="J1503" s="19"/>
      <c r="K1503" s="19"/>
      <c r="L1503" s="19"/>
      <c r="R1503" s="19"/>
    </row>
    <row r="1504" spans="7:18" x14ac:dyDescent="0.25">
      <c r="G1504" s="19"/>
      <c r="J1504" s="19"/>
      <c r="K1504" s="19"/>
      <c r="L1504" s="19"/>
      <c r="R1504" s="19"/>
    </row>
    <row r="1505" spans="7:18" x14ac:dyDescent="0.25">
      <c r="G1505" s="19"/>
      <c r="J1505" s="19"/>
      <c r="K1505" s="19"/>
      <c r="L1505" s="19"/>
      <c r="R1505" s="19"/>
    </row>
    <row r="1506" spans="7:18" x14ac:dyDescent="0.25">
      <c r="G1506" s="19"/>
      <c r="J1506" s="19"/>
      <c r="K1506" s="19"/>
      <c r="L1506" s="19"/>
      <c r="R1506" s="19"/>
    </row>
    <row r="1507" spans="7:18" x14ac:dyDescent="0.25">
      <c r="G1507" s="19"/>
      <c r="J1507" s="19"/>
      <c r="K1507" s="19"/>
      <c r="L1507" s="19"/>
      <c r="R1507" s="19"/>
    </row>
    <row r="1508" spans="7:18" x14ac:dyDescent="0.25">
      <c r="G1508" s="19"/>
      <c r="J1508" s="19"/>
      <c r="K1508" s="19"/>
      <c r="L1508" s="19"/>
      <c r="R1508" s="19"/>
    </row>
    <row r="1509" spans="7:18" x14ac:dyDescent="0.25">
      <c r="G1509" s="19"/>
      <c r="J1509" s="19"/>
      <c r="K1509" s="19"/>
      <c r="L1509" s="19"/>
      <c r="R1509" s="19"/>
    </row>
    <row r="1510" spans="7:18" x14ac:dyDescent="0.25">
      <c r="G1510" s="19"/>
      <c r="J1510" s="19"/>
      <c r="K1510" s="19"/>
      <c r="L1510" s="19"/>
      <c r="R1510" s="19"/>
    </row>
    <row r="1511" spans="7:18" x14ac:dyDescent="0.25">
      <c r="G1511" s="19"/>
      <c r="J1511" s="19"/>
      <c r="K1511" s="19"/>
      <c r="L1511" s="19"/>
      <c r="R1511" s="19"/>
    </row>
    <row r="1512" spans="7:18" x14ac:dyDescent="0.25">
      <c r="G1512" s="19"/>
      <c r="J1512" s="19"/>
      <c r="K1512" s="19"/>
      <c r="L1512" s="19"/>
      <c r="R1512" s="19"/>
    </row>
    <row r="1513" spans="7:18" x14ac:dyDescent="0.25">
      <c r="G1513" s="19"/>
      <c r="J1513" s="19"/>
      <c r="K1513" s="19"/>
      <c r="L1513" s="19"/>
      <c r="R1513" s="19"/>
    </row>
    <row r="1514" spans="7:18" x14ac:dyDescent="0.25">
      <c r="G1514" s="19"/>
      <c r="J1514" s="19"/>
      <c r="K1514" s="19"/>
      <c r="L1514" s="19"/>
      <c r="R1514" s="19"/>
    </row>
    <row r="1515" spans="7:18" x14ac:dyDescent="0.25">
      <c r="G1515" s="19"/>
      <c r="J1515" s="19"/>
      <c r="K1515" s="19"/>
      <c r="L1515" s="19"/>
      <c r="R1515" s="19"/>
    </row>
    <row r="1516" spans="7:18" x14ac:dyDescent="0.25">
      <c r="G1516" s="19"/>
      <c r="J1516" s="19"/>
      <c r="K1516" s="19"/>
      <c r="L1516" s="19"/>
      <c r="R1516" s="19"/>
    </row>
    <row r="1517" spans="7:18" x14ac:dyDescent="0.25">
      <c r="G1517" s="19"/>
      <c r="J1517" s="19"/>
      <c r="K1517" s="19"/>
      <c r="L1517" s="19"/>
      <c r="R1517" s="19"/>
    </row>
    <row r="1518" spans="7:18" x14ac:dyDescent="0.25">
      <c r="G1518" s="19"/>
      <c r="J1518" s="19"/>
      <c r="K1518" s="19"/>
      <c r="L1518" s="19"/>
      <c r="R1518" s="19"/>
    </row>
    <row r="1519" spans="7:18" x14ac:dyDescent="0.25">
      <c r="G1519" s="19"/>
      <c r="J1519" s="19"/>
      <c r="K1519" s="19"/>
      <c r="L1519" s="19"/>
      <c r="R1519" s="19"/>
    </row>
    <row r="1520" spans="7:18" x14ac:dyDescent="0.25">
      <c r="G1520" s="19"/>
      <c r="J1520" s="19"/>
      <c r="K1520" s="19"/>
      <c r="L1520" s="19"/>
      <c r="R1520" s="19"/>
    </row>
    <row r="1521" spans="7:18" x14ac:dyDescent="0.25">
      <c r="G1521" s="19"/>
      <c r="J1521" s="19"/>
      <c r="K1521" s="19"/>
      <c r="L1521" s="19"/>
      <c r="R1521" s="19"/>
    </row>
    <row r="1522" spans="7:18" x14ac:dyDescent="0.25">
      <c r="G1522" s="19"/>
      <c r="J1522" s="19"/>
      <c r="K1522" s="19"/>
      <c r="L1522" s="19"/>
      <c r="R1522" s="19"/>
    </row>
    <row r="1523" spans="7:18" x14ac:dyDescent="0.25">
      <c r="G1523" s="19"/>
      <c r="J1523" s="19"/>
      <c r="K1523" s="19"/>
      <c r="L1523" s="19"/>
      <c r="R1523" s="19"/>
    </row>
    <row r="1524" spans="7:18" x14ac:dyDescent="0.25">
      <c r="G1524" s="19"/>
      <c r="J1524" s="19"/>
      <c r="K1524" s="19"/>
      <c r="L1524" s="19"/>
      <c r="R1524" s="19"/>
    </row>
    <row r="1525" spans="7:18" x14ac:dyDescent="0.25">
      <c r="G1525" s="19"/>
      <c r="J1525" s="19"/>
      <c r="K1525" s="19"/>
      <c r="L1525" s="19"/>
      <c r="R1525" s="19"/>
    </row>
    <row r="1526" spans="7:18" x14ac:dyDescent="0.25">
      <c r="G1526" s="19"/>
      <c r="J1526" s="19"/>
      <c r="K1526" s="19"/>
      <c r="L1526" s="19"/>
      <c r="R1526" s="19"/>
    </row>
    <row r="1527" spans="7:18" x14ac:dyDescent="0.25">
      <c r="G1527" s="19"/>
      <c r="J1527" s="19"/>
      <c r="K1527" s="19"/>
      <c r="L1527" s="19"/>
      <c r="R1527" s="19"/>
    </row>
    <row r="1528" spans="7:18" x14ac:dyDescent="0.25">
      <c r="G1528" s="19"/>
      <c r="J1528" s="19"/>
      <c r="K1528" s="19"/>
      <c r="L1528" s="19"/>
      <c r="R1528" s="19"/>
    </row>
    <row r="1529" spans="7:18" x14ac:dyDescent="0.25">
      <c r="G1529" s="19"/>
      <c r="J1529" s="19"/>
      <c r="K1529" s="19"/>
      <c r="L1529" s="19"/>
      <c r="R1529" s="19"/>
    </row>
    <row r="1530" spans="7:18" x14ac:dyDescent="0.25">
      <c r="G1530" s="19"/>
      <c r="J1530" s="19"/>
      <c r="K1530" s="19"/>
      <c r="L1530" s="19"/>
      <c r="R1530" s="19"/>
    </row>
    <row r="1531" spans="7:18" x14ac:dyDescent="0.25">
      <c r="G1531" s="19"/>
      <c r="J1531" s="19"/>
      <c r="K1531" s="19"/>
      <c r="L1531" s="19"/>
      <c r="R1531" s="19"/>
    </row>
    <row r="1532" spans="7:18" x14ac:dyDescent="0.25">
      <c r="G1532" s="19"/>
      <c r="J1532" s="19"/>
      <c r="K1532" s="19"/>
      <c r="L1532" s="19"/>
      <c r="R1532" s="19"/>
    </row>
    <row r="1533" spans="7:18" x14ac:dyDescent="0.25">
      <c r="G1533" s="19"/>
      <c r="J1533" s="19"/>
      <c r="K1533" s="19"/>
      <c r="L1533" s="19"/>
      <c r="R1533" s="19"/>
    </row>
    <row r="1534" spans="7:18" x14ac:dyDescent="0.25">
      <c r="G1534" s="19"/>
      <c r="J1534" s="19"/>
      <c r="K1534" s="19"/>
      <c r="L1534" s="19"/>
      <c r="R1534" s="19"/>
    </row>
    <row r="1535" spans="7:18" x14ac:dyDescent="0.25">
      <c r="G1535" s="19"/>
      <c r="J1535" s="19"/>
      <c r="K1535" s="19"/>
      <c r="L1535" s="19"/>
      <c r="R1535" s="19"/>
    </row>
    <row r="1536" spans="7:18" x14ac:dyDescent="0.25">
      <c r="G1536" s="19"/>
      <c r="J1536" s="19"/>
      <c r="K1536" s="19"/>
      <c r="L1536" s="19"/>
      <c r="R1536" s="19"/>
    </row>
    <row r="1537" spans="7:18" x14ac:dyDescent="0.25">
      <c r="G1537" s="19"/>
      <c r="J1537" s="19"/>
      <c r="K1537" s="19"/>
      <c r="L1537" s="19"/>
      <c r="R1537" s="19"/>
    </row>
    <row r="1538" spans="7:18" x14ac:dyDescent="0.25">
      <c r="G1538" s="19"/>
      <c r="J1538" s="19"/>
      <c r="K1538" s="19"/>
      <c r="L1538" s="19"/>
      <c r="R1538" s="19"/>
    </row>
    <row r="1539" spans="7:18" x14ac:dyDescent="0.25">
      <c r="G1539" s="19"/>
      <c r="J1539" s="19"/>
      <c r="K1539" s="19"/>
      <c r="L1539" s="19"/>
      <c r="R1539" s="19"/>
    </row>
    <row r="1540" spans="7:18" x14ac:dyDescent="0.25">
      <c r="G1540" s="19"/>
      <c r="J1540" s="19"/>
      <c r="K1540" s="19"/>
      <c r="L1540" s="19"/>
      <c r="R1540" s="19"/>
    </row>
    <row r="1541" spans="7:18" x14ac:dyDescent="0.25">
      <c r="G1541" s="19"/>
      <c r="J1541" s="19"/>
      <c r="K1541" s="19"/>
      <c r="L1541" s="19"/>
      <c r="R1541" s="19"/>
    </row>
    <row r="1542" spans="7:18" x14ac:dyDescent="0.25">
      <c r="G1542" s="19"/>
      <c r="J1542" s="19"/>
      <c r="K1542" s="19"/>
      <c r="L1542" s="19"/>
      <c r="R1542" s="19"/>
    </row>
    <row r="1543" spans="7:18" x14ac:dyDescent="0.25">
      <c r="G1543" s="19"/>
      <c r="J1543" s="19"/>
      <c r="K1543" s="19"/>
      <c r="L1543" s="19"/>
      <c r="R1543" s="19"/>
    </row>
    <row r="1544" spans="7:18" x14ac:dyDescent="0.25">
      <c r="G1544" s="19"/>
      <c r="J1544" s="19"/>
      <c r="K1544" s="19"/>
      <c r="L1544" s="19"/>
      <c r="R1544" s="19"/>
    </row>
    <row r="1545" spans="7:18" x14ac:dyDescent="0.25">
      <c r="G1545" s="19"/>
      <c r="J1545" s="19"/>
      <c r="K1545" s="19"/>
      <c r="L1545" s="19"/>
      <c r="R1545" s="19"/>
    </row>
    <row r="1546" spans="7:18" x14ac:dyDescent="0.25">
      <c r="G1546" s="19"/>
      <c r="J1546" s="19"/>
      <c r="K1546" s="19"/>
      <c r="L1546" s="19"/>
      <c r="R1546" s="19"/>
    </row>
    <row r="1547" spans="7:18" x14ac:dyDescent="0.25">
      <c r="G1547" s="19"/>
      <c r="J1547" s="19"/>
      <c r="K1547" s="19"/>
      <c r="L1547" s="19"/>
      <c r="R1547" s="19"/>
    </row>
    <row r="1548" spans="7:18" x14ac:dyDescent="0.25">
      <c r="G1548" s="19"/>
      <c r="J1548" s="19"/>
      <c r="K1548" s="19"/>
      <c r="L1548" s="19"/>
      <c r="R1548" s="19"/>
    </row>
    <row r="1549" spans="7:18" x14ac:dyDescent="0.25">
      <c r="G1549" s="19"/>
      <c r="J1549" s="19"/>
      <c r="K1549" s="19"/>
      <c r="L1549" s="19"/>
      <c r="R1549" s="19"/>
    </row>
    <row r="1550" spans="7:18" x14ac:dyDescent="0.25">
      <c r="G1550" s="19"/>
      <c r="J1550" s="19"/>
      <c r="K1550" s="19"/>
      <c r="L1550" s="19"/>
      <c r="R1550" s="19"/>
    </row>
    <row r="1551" spans="7:18" x14ac:dyDescent="0.25">
      <c r="G1551" s="19"/>
      <c r="J1551" s="19"/>
      <c r="K1551" s="19"/>
      <c r="L1551" s="19"/>
      <c r="R1551" s="19"/>
    </row>
    <row r="1552" spans="7:18" x14ac:dyDescent="0.25">
      <c r="G1552" s="19"/>
      <c r="J1552" s="19"/>
      <c r="K1552" s="19"/>
      <c r="L1552" s="19"/>
      <c r="R1552" s="19"/>
    </row>
    <row r="1553" spans="7:18" x14ac:dyDescent="0.25">
      <c r="G1553" s="19"/>
      <c r="J1553" s="19"/>
      <c r="K1553" s="19"/>
      <c r="L1553" s="19"/>
      <c r="R1553" s="19"/>
    </row>
    <row r="1554" spans="7:18" x14ac:dyDescent="0.25">
      <c r="G1554" s="19"/>
      <c r="J1554" s="19"/>
      <c r="K1554" s="19"/>
      <c r="L1554" s="19"/>
      <c r="R1554" s="19"/>
    </row>
    <row r="1555" spans="7:18" x14ac:dyDescent="0.25">
      <c r="G1555" s="19"/>
      <c r="J1555" s="19"/>
      <c r="K1555" s="19"/>
      <c r="L1555" s="19"/>
      <c r="R1555" s="19"/>
    </row>
    <row r="1556" spans="7:18" x14ac:dyDescent="0.25">
      <c r="G1556" s="19"/>
      <c r="J1556" s="19"/>
      <c r="K1556" s="19"/>
      <c r="L1556" s="19"/>
      <c r="R1556" s="19"/>
    </row>
    <row r="1557" spans="7:18" x14ac:dyDescent="0.25">
      <c r="G1557" s="19"/>
      <c r="J1557" s="19"/>
      <c r="K1557" s="19"/>
      <c r="L1557" s="19"/>
      <c r="R1557" s="19"/>
    </row>
    <row r="1558" spans="7:18" x14ac:dyDescent="0.25">
      <c r="G1558" s="19"/>
      <c r="J1558" s="19"/>
      <c r="K1558" s="19"/>
      <c r="L1558" s="19"/>
      <c r="R1558" s="19"/>
    </row>
    <row r="1559" spans="7:18" x14ac:dyDescent="0.25">
      <c r="G1559" s="19"/>
      <c r="J1559" s="19"/>
      <c r="K1559" s="19"/>
      <c r="L1559" s="19"/>
      <c r="R1559" s="19"/>
    </row>
    <row r="1560" spans="7:18" x14ac:dyDescent="0.25">
      <c r="G1560" s="19"/>
      <c r="J1560" s="19"/>
      <c r="K1560" s="19"/>
      <c r="L1560" s="19"/>
      <c r="R1560" s="19"/>
    </row>
    <row r="1561" spans="7:18" x14ac:dyDescent="0.25">
      <c r="G1561" s="19"/>
      <c r="J1561" s="19"/>
      <c r="K1561" s="19"/>
      <c r="L1561" s="19"/>
      <c r="R1561" s="19"/>
    </row>
    <row r="1562" spans="7:18" x14ac:dyDescent="0.25">
      <c r="G1562" s="19"/>
      <c r="J1562" s="19"/>
      <c r="K1562" s="19"/>
      <c r="L1562" s="19"/>
      <c r="R1562" s="19"/>
    </row>
    <row r="1563" spans="7:18" x14ac:dyDescent="0.25">
      <c r="G1563" s="19"/>
      <c r="J1563" s="19"/>
      <c r="K1563" s="19"/>
      <c r="L1563" s="19"/>
      <c r="R1563" s="19"/>
    </row>
    <row r="1564" spans="7:18" x14ac:dyDescent="0.25">
      <c r="G1564" s="19"/>
      <c r="J1564" s="19"/>
      <c r="K1564" s="19"/>
      <c r="L1564" s="19"/>
      <c r="R1564" s="19"/>
    </row>
    <row r="1565" spans="7:18" x14ac:dyDescent="0.25">
      <c r="G1565" s="19"/>
      <c r="J1565" s="19"/>
      <c r="K1565" s="19"/>
      <c r="L1565" s="19"/>
      <c r="R1565" s="19"/>
    </row>
    <row r="1566" spans="7:18" x14ac:dyDescent="0.25">
      <c r="G1566" s="19"/>
      <c r="J1566" s="19"/>
      <c r="K1566" s="19"/>
      <c r="L1566" s="19"/>
      <c r="R1566" s="19"/>
    </row>
    <row r="1567" spans="7:18" x14ac:dyDescent="0.25">
      <c r="G1567" s="19"/>
      <c r="J1567" s="19"/>
      <c r="K1567" s="19"/>
      <c r="L1567" s="19"/>
      <c r="R1567" s="19"/>
    </row>
    <row r="1568" spans="7:18" x14ac:dyDescent="0.25">
      <c r="G1568" s="19"/>
      <c r="J1568" s="19"/>
      <c r="K1568" s="19"/>
      <c r="L1568" s="19"/>
      <c r="R1568" s="19"/>
    </row>
    <row r="1569" spans="7:18" x14ac:dyDescent="0.25">
      <c r="G1569" s="19"/>
      <c r="J1569" s="19"/>
      <c r="K1569" s="19"/>
      <c r="L1569" s="19"/>
      <c r="R1569" s="19"/>
    </row>
    <row r="1570" spans="7:18" x14ac:dyDescent="0.25">
      <c r="G1570" s="19"/>
      <c r="J1570" s="19"/>
      <c r="K1570" s="19"/>
      <c r="L1570" s="19"/>
      <c r="R1570" s="19"/>
    </row>
    <row r="1571" spans="7:18" x14ac:dyDescent="0.25">
      <c r="G1571" s="19"/>
      <c r="J1571" s="19"/>
      <c r="K1571" s="19"/>
      <c r="L1571" s="19"/>
      <c r="R1571" s="19"/>
    </row>
    <row r="1572" spans="7:18" x14ac:dyDescent="0.25">
      <c r="G1572" s="19"/>
      <c r="J1572" s="19"/>
      <c r="K1572" s="19"/>
      <c r="L1572" s="19"/>
      <c r="R1572" s="19"/>
    </row>
    <row r="1573" spans="7:18" x14ac:dyDescent="0.25">
      <c r="G1573" s="19"/>
      <c r="J1573" s="19"/>
      <c r="K1573" s="19"/>
      <c r="L1573" s="19"/>
      <c r="R1573" s="19"/>
    </row>
    <row r="1574" spans="7:18" x14ac:dyDescent="0.25">
      <c r="G1574" s="19"/>
      <c r="J1574" s="19"/>
      <c r="K1574" s="19"/>
      <c r="L1574" s="19"/>
      <c r="R1574" s="19"/>
    </row>
    <row r="1575" spans="7:18" x14ac:dyDescent="0.25">
      <c r="G1575" s="19"/>
      <c r="J1575" s="19"/>
      <c r="K1575" s="19"/>
      <c r="L1575" s="19"/>
      <c r="R1575" s="19"/>
    </row>
    <row r="1576" spans="7:18" x14ac:dyDescent="0.25">
      <c r="G1576" s="19"/>
      <c r="J1576" s="19"/>
      <c r="K1576" s="19"/>
      <c r="L1576" s="19"/>
      <c r="R1576" s="19"/>
    </row>
    <row r="1577" spans="7:18" x14ac:dyDescent="0.25">
      <c r="G1577" s="19"/>
      <c r="J1577" s="19"/>
      <c r="K1577" s="19"/>
      <c r="L1577" s="19"/>
      <c r="R1577" s="19"/>
    </row>
    <row r="1578" spans="7:18" x14ac:dyDescent="0.25">
      <c r="G1578" s="19"/>
      <c r="J1578" s="19"/>
      <c r="K1578" s="19"/>
      <c r="L1578" s="19"/>
      <c r="R1578" s="19"/>
    </row>
    <row r="1579" spans="7:18" x14ac:dyDescent="0.25">
      <c r="G1579" s="19"/>
      <c r="J1579" s="19"/>
      <c r="K1579" s="19"/>
      <c r="L1579" s="19"/>
      <c r="R1579" s="19"/>
    </row>
    <row r="1580" spans="7:18" x14ac:dyDescent="0.25">
      <c r="G1580" s="19"/>
      <c r="J1580" s="19"/>
      <c r="K1580" s="19"/>
      <c r="L1580" s="19"/>
      <c r="R1580" s="19"/>
    </row>
    <row r="1581" spans="7:18" x14ac:dyDescent="0.25">
      <c r="G1581" s="19"/>
      <c r="J1581" s="19"/>
      <c r="K1581" s="19"/>
      <c r="L1581" s="19"/>
      <c r="R1581" s="19"/>
    </row>
    <row r="1582" spans="7:18" x14ac:dyDescent="0.25">
      <c r="G1582" s="19"/>
      <c r="J1582" s="19"/>
      <c r="K1582" s="19"/>
      <c r="L1582" s="19"/>
      <c r="R1582" s="19"/>
    </row>
    <row r="1583" spans="7:18" x14ac:dyDescent="0.25">
      <c r="G1583" s="19"/>
      <c r="J1583" s="19"/>
      <c r="K1583" s="19"/>
      <c r="L1583" s="19"/>
      <c r="R1583" s="19"/>
    </row>
    <row r="1584" spans="7:18" x14ac:dyDescent="0.25">
      <c r="G1584" s="19"/>
      <c r="J1584" s="19"/>
      <c r="K1584" s="19"/>
      <c r="L1584" s="19"/>
      <c r="R1584" s="19"/>
    </row>
    <row r="1585" spans="7:18" x14ac:dyDescent="0.25">
      <c r="G1585" s="19"/>
      <c r="J1585" s="19"/>
      <c r="K1585" s="19"/>
      <c r="L1585" s="19"/>
      <c r="R1585" s="19"/>
    </row>
    <row r="1586" spans="7:18" x14ac:dyDescent="0.25">
      <c r="G1586" s="19"/>
      <c r="J1586" s="19"/>
      <c r="K1586" s="19"/>
      <c r="L1586" s="19"/>
      <c r="R1586" s="19"/>
    </row>
    <row r="1587" spans="7:18" x14ac:dyDescent="0.25">
      <c r="G1587" s="19"/>
      <c r="J1587" s="19"/>
      <c r="K1587" s="19"/>
      <c r="L1587" s="19"/>
      <c r="R1587" s="19"/>
    </row>
    <row r="1588" spans="7:18" x14ac:dyDescent="0.25">
      <c r="G1588" s="19"/>
      <c r="J1588" s="19"/>
      <c r="K1588" s="19"/>
      <c r="L1588" s="19"/>
      <c r="R1588" s="19"/>
    </row>
    <row r="1589" spans="7:18" x14ac:dyDescent="0.25">
      <c r="G1589" s="19"/>
      <c r="J1589" s="19"/>
      <c r="K1589" s="19"/>
      <c r="L1589" s="19"/>
      <c r="R1589" s="19"/>
    </row>
    <row r="1590" spans="7:18" x14ac:dyDescent="0.25">
      <c r="G1590" s="19"/>
      <c r="J1590" s="19"/>
      <c r="K1590" s="19"/>
      <c r="L1590" s="19"/>
      <c r="R1590" s="19"/>
    </row>
    <row r="1591" spans="7:18" x14ac:dyDescent="0.25">
      <c r="G1591" s="19"/>
      <c r="J1591" s="19"/>
      <c r="K1591" s="19"/>
      <c r="L1591" s="19"/>
      <c r="R1591" s="19"/>
    </row>
    <row r="1592" spans="7:18" x14ac:dyDescent="0.25">
      <c r="G1592" s="19"/>
      <c r="J1592" s="19"/>
      <c r="K1592" s="19"/>
      <c r="L1592" s="19"/>
      <c r="R1592" s="19"/>
    </row>
    <row r="1593" spans="7:18" x14ac:dyDescent="0.25">
      <c r="G1593" s="19"/>
      <c r="J1593" s="19"/>
      <c r="K1593" s="19"/>
      <c r="L1593" s="19"/>
      <c r="R1593" s="19"/>
    </row>
    <row r="1594" spans="7:18" x14ac:dyDescent="0.25">
      <c r="G1594" s="19"/>
      <c r="J1594" s="19"/>
      <c r="K1594" s="19"/>
      <c r="L1594" s="19"/>
      <c r="R1594" s="19"/>
    </row>
    <row r="1595" spans="7:18" x14ac:dyDescent="0.25">
      <c r="G1595" s="19"/>
      <c r="J1595" s="19"/>
      <c r="K1595" s="19"/>
      <c r="L1595" s="19"/>
      <c r="R1595" s="19"/>
    </row>
    <row r="1596" spans="7:18" x14ac:dyDescent="0.25">
      <c r="G1596" s="19"/>
      <c r="J1596" s="19"/>
      <c r="K1596" s="19"/>
      <c r="L1596" s="19"/>
      <c r="R1596" s="19"/>
    </row>
    <row r="1597" spans="7:18" x14ac:dyDescent="0.25">
      <c r="G1597" s="19"/>
      <c r="J1597" s="19"/>
      <c r="K1597" s="19"/>
      <c r="L1597" s="19"/>
      <c r="R1597" s="19"/>
    </row>
    <row r="1598" spans="7:18" x14ac:dyDescent="0.25">
      <c r="G1598" s="19"/>
      <c r="J1598" s="19"/>
      <c r="K1598" s="19"/>
      <c r="L1598" s="19"/>
      <c r="R1598" s="19"/>
    </row>
    <row r="1599" spans="7:18" x14ac:dyDescent="0.25">
      <c r="G1599" s="19"/>
      <c r="J1599" s="19"/>
      <c r="K1599" s="19"/>
      <c r="L1599" s="19"/>
      <c r="R1599" s="19"/>
    </row>
    <row r="1600" spans="7:18" x14ac:dyDescent="0.25">
      <c r="G1600" s="19"/>
      <c r="J1600" s="19"/>
      <c r="K1600" s="19"/>
      <c r="L1600" s="19"/>
      <c r="R1600" s="19"/>
    </row>
    <row r="1601" spans="7:18" x14ac:dyDescent="0.25">
      <c r="G1601" s="19"/>
      <c r="J1601" s="19"/>
      <c r="K1601" s="19"/>
      <c r="L1601" s="19"/>
      <c r="R1601" s="19"/>
    </row>
    <row r="1602" spans="7:18" x14ac:dyDescent="0.25">
      <c r="G1602" s="19"/>
      <c r="J1602" s="19"/>
      <c r="K1602" s="19"/>
      <c r="L1602" s="19"/>
      <c r="R1602" s="19"/>
    </row>
    <row r="1603" spans="7:18" x14ac:dyDescent="0.25">
      <c r="G1603" s="19"/>
      <c r="J1603" s="19"/>
      <c r="K1603" s="19"/>
      <c r="L1603" s="19"/>
      <c r="R1603" s="19"/>
    </row>
    <row r="1604" spans="7:18" x14ac:dyDescent="0.25">
      <c r="G1604" s="19"/>
      <c r="J1604" s="19"/>
      <c r="K1604" s="19"/>
      <c r="L1604" s="19"/>
      <c r="R1604" s="19"/>
    </row>
    <row r="1605" spans="7:18" x14ac:dyDescent="0.25">
      <c r="G1605" s="19"/>
      <c r="J1605" s="19"/>
      <c r="K1605" s="19"/>
      <c r="L1605" s="19"/>
      <c r="R1605" s="19"/>
    </row>
    <row r="1606" spans="7:18" x14ac:dyDescent="0.25">
      <c r="G1606" s="19"/>
      <c r="J1606" s="19"/>
      <c r="K1606" s="19"/>
      <c r="L1606" s="19"/>
      <c r="R1606" s="19"/>
    </row>
    <row r="1607" spans="7:18" x14ac:dyDescent="0.25">
      <c r="G1607" s="19"/>
      <c r="J1607" s="19"/>
      <c r="K1607" s="19"/>
      <c r="L1607" s="19"/>
      <c r="R1607" s="19"/>
    </row>
    <row r="1608" spans="7:18" x14ac:dyDescent="0.25">
      <c r="G1608" s="19"/>
      <c r="J1608" s="19"/>
      <c r="K1608" s="19"/>
      <c r="L1608" s="19"/>
      <c r="R1608" s="19"/>
    </row>
    <row r="1609" spans="7:18" x14ac:dyDescent="0.25">
      <c r="G1609" s="19"/>
      <c r="J1609" s="19"/>
      <c r="K1609" s="19"/>
      <c r="L1609" s="19"/>
      <c r="R1609" s="19"/>
    </row>
    <row r="1610" spans="7:18" x14ac:dyDescent="0.25">
      <c r="G1610" s="19"/>
      <c r="J1610" s="19"/>
      <c r="K1610" s="19"/>
      <c r="L1610" s="19"/>
      <c r="R1610" s="19"/>
    </row>
    <row r="1611" spans="7:18" x14ac:dyDescent="0.25">
      <c r="G1611" s="19"/>
      <c r="J1611" s="19"/>
      <c r="K1611" s="19"/>
      <c r="L1611" s="19"/>
      <c r="R1611" s="19"/>
    </row>
    <row r="1612" spans="7:18" x14ac:dyDescent="0.25">
      <c r="G1612" s="19"/>
      <c r="J1612" s="19"/>
      <c r="K1612" s="19"/>
      <c r="L1612" s="19"/>
      <c r="R1612" s="19"/>
    </row>
    <row r="1613" spans="7:18" x14ac:dyDescent="0.25">
      <c r="G1613" s="19"/>
      <c r="J1613" s="19"/>
      <c r="K1613" s="19"/>
      <c r="L1613" s="19"/>
      <c r="R1613" s="19"/>
    </row>
    <row r="1614" spans="7:18" x14ac:dyDescent="0.25">
      <c r="G1614" s="19"/>
      <c r="J1614" s="19"/>
      <c r="K1614" s="19"/>
      <c r="L1614" s="19"/>
      <c r="R1614" s="19"/>
    </row>
    <row r="1615" spans="7:18" x14ac:dyDescent="0.25">
      <c r="G1615" s="19"/>
      <c r="J1615" s="19"/>
      <c r="K1615" s="19"/>
      <c r="L1615" s="19"/>
      <c r="R1615" s="19"/>
    </row>
    <row r="1616" spans="7:18" x14ac:dyDescent="0.25">
      <c r="G1616" s="19"/>
      <c r="J1616" s="19"/>
      <c r="K1616" s="19"/>
      <c r="L1616" s="19"/>
      <c r="R1616" s="19"/>
    </row>
    <row r="1617" spans="7:18" x14ac:dyDescent="0.25">
      <c r="G1617" s="19"/>
      <c r="J1617" s="19"/>
      <c r="K1617" s="19"/>
      <c r="L1617" s="19"/>
      <c r="R1617" s="19"/>
    </row>
    <row r="1618" spans="7:18" x14ac:dyDescent="0.25">
      <c r="G1618" s="19"/>
      <c r="J1618" s="19"/>
      <c r="K1618" s="19"/>
      <c r="L1618" s="19"/>
      <c r="R1618" s="19"/>
    </row>
    <row r="1619" spans="7:18" x14ac:dyDescent="0.25">
      <c r="G1619" s="19"/>
      <c r="J1619" s="19"/>
      <c r="K1619" s="19"/>
      <c r="L1619" s="19"/>
      <c r="R1619" s="19"/>
    </row>
    <row r="1620" spans="7:18" x14ac:dyDescent="0.25">
      <c r="G1620" s="19"/>
      <c r="J1620" s="19"/>
      <c r="K1620" s="19"/>
      <c r="L1620" s="19"/>
      <c r="R1620" s="19"/>
    </row>
    <row r="1621" spans="7:18" x14ac:dyDescent="0.25">
      <c r="G1621" s="19"/>
      <c r="J1621" s="19"/>
      <c r="K1621" s="19"/>
      <c r="L1621" s="19"/>
      <c r="R1621" s="19"/>
    </row>
    <row r="1622" spans="7:18" x14ac:dyDescent="0.25">
      <c r="G1622" s="19"/>
      <c r="J1622" s="19"/>
      <c r="K1622" s="19"/>
      <c r="L1622" s="19"/>
      <c r="R1622" s="19"/>
    </row>
    <row r="1623" spans="7:18" x14ac:dyDescent="0.25">
      <c r="G1623" s="19"/>
      <c r="J1623" s="19"/>
      <c r="K1623" s="19"/>
      <c r="L1623" s="19"/>
      <c r="R1623" s="19"/>
    </row>
    <row r="1624" spans="7:18" x14ac:dyDescent="0.25">
      <c r="G1624" s="19"/>
      <c r="J1624" s="19"/>
      <c r="K1624" s="19"/>
      <c r="L1624" s="19"/>
      <c r="R1624" s="19"/>
    </row>
    <row r="1625" spans="7:18" x14ac:dyDescent="0.25">
      <c r="G1625" s="19"/>
      <c r="J1625" s="19"/>
      <c r="K1625" s="19"/>
      <c r="L1625" s="19"/>
      <c r="R1625" s="19"/>
    </row>
    <row r="1626" spans="7:18" x14ac:dyDescent="0.25">
      <c r="G1626" s="19"/>
      <c r="J1626" s="19"/>
      <c r="K1626" s="19"/>
      <c r="L1626" s="19"/>
      <c r="R1626" s="19"/>
    </row>
    <row r="1627" spans="7:18" x14ac:dyDescent="0.25">
      <c r="G1627" s="19"/>
      <c r="J1627" s="19"/>
      <c r="K1627" s="19"/>
      <c r="L1627" s="19"/>
      <c r="R1627" s="19"/>
    </row>
    <row r="1628" spans="7:18" x14ac:dyDescent="0.25">
      <c r="G1628" s="19"/>
      <c r="J1628" s="19"/>
      <c r="K1628" s="19"/>
      <c r="L1628" s="19"/>
      <c r="R1628" s="19"/>
    </row>
    <row r="1629" spans="7:18" x14ac:dyDescent="0.25">
      <c r="G1629" s="19"/>
      <c r="J1629" s="19"/>
      <c r="K1629" s="19"/>
      <c r="L1629" s="19"/>
      <c r="R1629" s="19"/>
    </row>
    <row r="1630" spans="7:18" x14ac:dyDescent="0.25">
      <c r="G1630" s="19"/>
      <c r="J1630" s="19"/>
      <c r="K1630" s="19"/>
      <c r="L1630" s="19"/>
      <c r="R1630" s="19"/>
    </row>
    <row r="1631" spans="7:18" x14ac:dyDescent="0.25">
      <c r="G1631" s="19"/>
      <c r="J1631" s="19"/>
      <c r="K1631" s="19"/>
      <c r="L1631" s="19"/>
      <c r="R1631" s="19"/>
    </row>
    <row r="1632" spans="7:18" x14ac:dyDescent="0.25">
      <c r="G1632" s="19"/>
      <c r="J1632" s="19"/>
      <c r="K1632" s="19"/>
      <c r="L1632" s="19"/>
      <c r="R1632" s="19"/>
    </row>
    <row r="1633" spans="7:18" x14ac:dyDescent="0.25">
      <c r="G1633" s="19"/>
      <c r="J1633" s="19"/>
      <c r="K1633" s="19"/>
      <c r="L1633" s="19"/>
      <c r="R1633" s="19"/>
    </row>
    <row r="1634" spans="7:18" x14ac:dyDescent="0.25">
      <c r="G1634" s="19"/>
      <c r="J1634" s="19"/>
      <c r="K1634" s="19"/>
      <c r="L1634" s="19"/>
      <c r="R1634" s="19"/>
    </row>
    <row r="1635" spans="7:18" x14ac:dyDescent="0.25">
      <c r="G1635" s="19"/>
      <c r="J1635" s="19"/>
      <c r="K1635" s="19"/>
      <c r="L1635" s="19"/>
      <c r="R1635" s="19"/>
    </row>
    <row r="1636" spans="7:18" x14ac:dyDescent="0.25">
      <c r="G1636" s="19"/>
      <c r="J1636" s="19"/>
      <c r="K1636" s="19"/>
      <c r="L1636" s="19"/>
      <c r="R1636" s="19"/>
    </row>
    <row r="1637" spans="7:18" x14ac:dyDescent="0.25">
      <c r="G1637" s="19"/>
      <c r="J1637" s="19"/>
      <c r="K1637" s="19"/>
      <c r="L1637" s="19"/>
      <c r="R1637" s="19"/>
    </row>
    <row r="1638" spans="7:18" x14ac:dyDescent="0.25">
      <c r="G1638" s="19"/>
      <c r="J1638" s="19"/>
      <c r="K1638" s="19"/>
      <c r="L1638" s="19"/>
      <c r="R1638" s="19"/>
    </row>
    <row r="1639" spans="7:18" x14ac:dyDescent="0.25">
      <c r="G1639" s="19"/>
      <c r="J1639" s="19"/>
      <c r="K1639" s="19"/>
      <c r="L1639" s="19"/>
      <c r="R1639" s="19"/>
    </row>
    <row r="1640" spans="7:18" x14ac:dyDescent="0.25">
      <c r="G1640" s="19"/>
      <c r="J1640" s="19"/>
      <c r="K1640" s="19"/>
      <c r="L1640" s="19"/>
      <c r="R1640" s="19"/>
    </row>
    <row r="1641" spans="7:18" x14ac:dyDescent="0.25">
      <c r="G1641" s="19"/>
      <c r="J1641" s="19"/>
      <c r="K1641" s="19"/>
      <c r="L1641" s="19"/>
      <c r="R1641" s="19"/>
    </row>
    <row r="1642" spans="7:18" x14ac:dyDescent="0.25">
      <c r="G1642" s="19"/>
      <c r="J1642" s="19"/>
      <c r="K1642" s="19"/>
      <c r="L1642" s="19"/>
      <c r="R1642" s="19"/>
    </row>
    <row r="1643" spans="7:18" x14ac:dyDescent="0.25">
      <c r="G1643" s="19"/>
      <c r="J1643" s="19"/>
      <c r="K1643" s="19"/>
      <c r="L1643" s="19"/>
      <c r="R1643" s="19"/>
    </row>
    <row r="1644" spans="7:18" x14ac:dyDescent="0.25">
      <c r="G1644" s="19"/>
      <c r="J1644" s="19"/>
      <c r="K1644" s="19"/>
      <c r="L1644" s="19"/>
      <c r="R1644" s="19"/>
    </row>
    <row r="1645" spans="7:18" x14ac:dyDescent="0.25">
      <c r="G1645" s="19"/>
      <c r="J1645" s="19"/>
      <c r="K1645" s="19"/>
      <c r="L1645" s="19"/>
      <c r="R1645" s="19"/>
    </row>
    <row r="1646" spans="7:18" x14ac:dyDescent="0.25">
      <c r="G1646" s="19"/>
      <c r="J1646" s="19"/>
      <c r="K1646" s="19"/>
      <c r="L1646" s="19"/>
      <c r="R1646" s="19"/>
    </row>
    <row r="1647" spans="7:18" x14ac:dyDescent="0.25">
      <c r="G1647" s="19"/>
      <c r="J1647" s="19"/>
      <c r="K1647" s="19"/>
      <c r="L1647" s="19"/>
      <c r="R1647" s="19"/>
    </row>
    <row r="1648" spans="7:18" x14ac:dyDescent="0.25">
      <c r="G1648" s="19"/>
      <c r="J1648" s="19"/>
      <c r="K1648" s="19"/>
      <c r="L1648" s="19"/>
      <c r="R1648" s="19"/>
    </row>
    <row r="1649" spans="7:18" x14ac:dyDescent="0.25">
      <c r="G1649" s="19"/>
      <c r="J1649" s="19"/>
      <c r="K1649" s="19"/>
      <c r="L1649" s="19"/>
      <c r="R1649" s="19"/>
    </row>
    <row r="1650" spans="7:18" x14ac:dyDescent="0.25">
      <c r="G1650" s="19"/>
      <c r="J1650" s="19"/>
      <c r="K1650" s="19"/>
      <c r="L1650" s="19"/>
      <c r="R1650" s="19"/>
    </row>
    <row r="1651" spans="7:18" x14ac:dyDescent="0.25">
      <c r="G1651" s="19"/>
      <c r="J1651" s="19"/>
      <c r="K1651" s="19"/>
      <c r="L1651" s="19"/>
      <c r="R1651" s="19"/>
    </row>
    <row r="1652" spans="7:18" x14ac:dyDescent="0.25">
      <c r="G1652" s="19"/>
      <c r="J1652" s="19"/>
      <c r="K1652" s="19"/>
      <c r="L1652" s="19"/>
      <c r="R1652" s="19"/>
    </row>
    <row r="1653" spans="7:18" x14ac:dyDescent="0.25">
      <c r="G1653" s="19"/>
      <c r="J1653" s="19"/>
      <c r="K1653" s="19"/>
      <c r="L1653" s="19"/>
      <c r="R1653" s="19"/>
    </row>
    <row r="1654" spans="7:18" x14ac:dyDescent="0.25">
      <c r="G1654" s="19"/>
      <c r="J1654" s="19"/>
      <c r="K1654" s="19"/>
      <c r="L1654" s="19"/>
      <c r="R1654" s="19"/>
    </row>
    <row r="1655" spans="7:18" x14ac:dyDescent="0.25">
      <c r="G1655" s="19"/>
      <c r="J1655" s="19"/>
      <c r="K1655" s="19"/>
      <c r="L1655" s="19"/>
      <c r="R1655" s="19"/>
    </row>
    <row r="1656" spans="7:18" x14ac:dyDescent="0.25">
      <c r="G1656" s="19"/>
      <c r="J1656" s="19"/>
      <c r="K1656" s="19"/>
      <c r="L1656" s="19"/>
      <c r="R1656" s="19"/>
    </row>
    <row r="1657" spans="7:18" x14ac:dyDescent="0.25">
      <c r="G1657" s="19"/>
      <c r="J1657" s="19"/>
      <c r="K1657" s="19"/>
      <c r="L1657" s="19"/>
      <c r="R1657" s="19"/>
    </row>
    <row r="1658" spans="7:18" x14ac:dyDescent="0.25">
      <c r="G1658" s="19"/>
      <c r="J1658" s="19"/>
      <c r="K1658" s="19"/>
      <c r="L1658" s="19"/>
      <c r="R1658" s="19"/>
    </row>
    <row r="1659" spans="7:18" x14ac:dyDescent="0.25">
      <c r="G1659" s="19"/>
      <c r="J1659" s="19"/>
      <c r="K1659" s="19"/>
      <c r="L1659" s="19"/>
      <c r="R1659" s="19"/>
    </row>
    <row r="1660" spans="7:18" x14ac:dyDescent="0.25">
      <c r="G1660" s="19"/>
      <c r="J1660" s="19"/>
      <c r="K1660" s="19"/>
      <c r="L1660" s="19"/>
      <c r="R1660" s="19"/>
    </row>
    <row r="1661" spans="7:18" x14ac:dyDescent="0.25">
      <c r="G1661" s="19"/>
      <c r="J1661" s="19"/>
      <c r="K1661" s="19"/>
      <c r="L1661" s="19"/>
      <c r="R1661" s="19"/>
    </row>
    <row r="1662" spans="7:18" x14ac:dyDescent="0.25">
      <c r="G1662" s="19"/>
      <c r="J1662" s="19"/>
      <c r="K1662" s="19"/>
      <c r="L1662" s="19"/>
      <c r="R1662" s="19"/>
    </row>
    <row r="1663" spans="7:18" x14ac:dyDescent="0.25">
      <c r="G1663" s="19"/>
      <c r="J1663" s="19"/>
      <c r="K1663" s="19"/>
      <c r="L1663" s="19"/>
      <c r="R1663" s="19"/>
    </row>
    <row r="1664" spans="7:18" x14ac:dyDescent="0.25">
      <c r="G1664" s="19"/>
      <c r="J1664" s="19"/>
      <c r="K1664" s="19"/>
      <c r="L1664" s="19"/>
      <c r="R1664" s="19"/>
    </row>
    <row r="1665" spans="7:18" x14ac:dyDescent="0.25">
      <c r="G1665" s="19"/>
      <c r="J1665" s="19"/>
      <c r="K1665" s="19"/>
      <c r="L1665" s="19"/>
      <c r="R1665" s="19"/>
    </row>
    <row r="1666" spans="7:18" x14ac:dyDescent="0.25">
      <c r="G1666" s="19"/>
      <c r="J1666" s="19"/>
      <c r="K1666" s="19"/>
      <c r="L1666" s="19"/>
      <c r="R1666" s="19"/>
    </row>
    <row r="1667" spans="7:18" x14ac:dyDescent="0.25">
      <c r="G1667" s="19"/>
      <c r="J1667" s="19"/>
      <c r="K1667" s="19"/>
      <c r="L1667" s="19"/>
      <c r="R1667" s="19"/>
    </row>
    <row r="1668" spans="7:18" x14ac:dyDescent="0.25">
      <c r="G1668" s="19"/>
      <c r="J1668" s="19"/>
      <c r="K1668" s="19"/>
      <c r="L1668" s="19"/>
      <c r="R1668" s="19"/>
    </row>
    <row r="1669" spans="7:18" x14ac:dyDescent="0.25">
      <c r="G1669" s="19"/>
      <c r="J1669" s="19"/>
      <c r="K1669" s="19"/>
      <c r="L1669" s="19"/>
      <c r="R1669" s="19"/>
    </row>
    <row r="1670" spans="7:18" x14ac:dyDescent="0.25">
      <c r="G1670" s="19"/>
      <c r="J1670" s="19"/>
      <c r="K1670" s="19"/>
      <c r="L1670" s="19"/>
      <c r="R1670" s="19"/>
    </row>
    <row r="1671" spans="7:18" x14ac:dyDescent="0.25">
      <c r="G1671" s="19"/>
      <c r="J1671" s="19"/>
      <c r="K1671" s="19"/>
      <c r="L1671" s="19"/>
      <c r="R1671" s="19"/>
    </row>
    <row r="1672" spans="7:18" x14ac:dyDescent="0.25">
      <c r="G1672" s="19"/>
      <c r="J1672" s="19"/>
      <c r="K1672" s="19"/>
      <c r="L1672" s="19"/>
      <c r="R1672" s="19"/>
    </row>
    <row r="1673" spans="7:18" x14ac:dyDescent="0.25">
      <c r="G1673" s="19"/>
      <c r="J1673" s="19"/>
      <c r="K1673" s="19"/>
      <c r="L1673" s="19"/>
      <c r="R1673" s="19"/>
    </row>
    <row r="1674" spans="7:18" x14ac:dyDescent="0.25">
      <c r="G1674" s="19"/>
      <c r="J1674" s="19"/>
      <c r="K1674" s="19"/>
      <c r="L1674" s="19"/>
      <c r="R1674" s="19"/>
    </row>
    <row r="1675" spans="7:18" x14ac:dyDescent="0.25">
      <c r="G1675" s="19"/>
      <c r="J1675" s="19"/>
      <c r="K1675" s="19"/>
      <c r="L1675" s="19"/>
      <c r="R1675" s="19"/>
    </row>
    <row r="1676" spans="7:18" x14ac:dyDescent="0.25">
      <c r="G1676" s="19"/>
      <c r="J1676" s="19"/>
      <c r="K1676" s="19"/>
      <c r="L1676" s="19"/>
      <c r="R1676" s="19"/>
    </row>
    <row r="1677" spans="7:18" x14ac:dyDescent="0.25">
      <c r="G1677" s="19"/>
      <c r="J1677" s="19"/>
      <c r="K1677" s="19"/>
      <c r="L1677" s="19"/>
      <c r="R1677" s="19"/>
    </row>
    <row r="1678" spans="7:18" x14ac:dyDescent="0.25">
      <c r="G1678" s="19"/>
      <c r="J1678" s="19"/>
      <c r="K1678" s="19"/>
      <c r="L1678" s="19"/>
      <c r="R1678" s="19"/>
    </row>
    <row r="1679" spans="7:18" x14ac:dyDescent="0.25">
      <c r="G1679" s="19"/>
      <c r="J1679" s="19"/>
      <c r="K1679" s="19"/>
      <c r="L1679" s="19"/>
      <c r="R1679" s="19"/>
    </row>
    <row r="1680" spans="7:18" x14ac:dyDescent="0.25">
      <c r="G1680" s="19"/>
      <c r="J1680" s="19"/>
      <c r="K1680" s="19"/>
      <c r="L1680" s="19"/>
      <c r="R1680" s="19"/>
    </row>
    <row r="1681" spans="7:18" x14ac:dyDescent="0.25">
      <c r="G1681" s="19"/>
      <c r="J1681" s="19"/>
      <c r="K1681" s="19"/>
      <c r="L1681" s="19"/>
      <c r="R1681" s="19"/>
    </row>
    <row r="1682" spans="7:18" x14ac:dyDescent="0.25">
      <c r="G1682" s="19"/>
      <c r="J1682" s="19"/>
      <c r="K1682" s="19"/>
      <c r="L1682" s="19"/>
      <c r="R1682" s="19"/>
    </row>
    <row r="1683" spans="7:18" x14ac:dyDescent="0.25">
      <c r="G1683" s="19"/>
      <c r="J1683" s="19"/>
      <c r="K1683" s="19"/>
      <c r="L1683" s="19"/>
      <c r="R1683" s="19"/>
    </row>
    <row r="1684" spans="7:18" x14ac:dyDescent="0.25">
      <c r="G1684" s="19"/>
      <c r="J1684" s="19"/>
      <c r="K1684" s="19"/>
      <c r="L1684" s="19"/>
      <c r="R1684" s="19"/>
    </row>
    <row r="1685" spans="7:18" x14ac:dyDescent="0.25">
      <c r="G1685" s="19"/>
      <c r="J1685" s="19"/>
      <c r="K1685" s="19"/>
      <c r="L1685" s="19"/>
      <c r="R1685" s="19"/>
    </row>
    <row r="1686" spans="7:18" x14ac:dyDescent="0.25">
      <c r="G1686" s="19"/>
      <c r="J1686" s="19"/>
      <c r="K1686" s="19"/>
      <c r="L1686" s="19"/>
      <c r="R1686" s="19"/>
    </row>
    <row r="1687" spans="7:18" x14ac:dyDescent="0.25">
      <c r="G1687" s="19"/>
      <c r="J1687" s="19"/>
      <c r="K1687" s="19"/>
      <c r="L1687" s="19"/>
      <c r="R1687" s="19"/>
    </row>
    <row r="1688" spans="7:18" x14ac:dyDescent="0.25">
      <c r="G1688" s="19"/>
      <c r="J1688" s="19"/>
      <c r="K1688" s="19"/>
      <c r="L1688" s="19"/>
      <c r="R1688" s="19"/>
    </row>
    <row r="1689" spans="7:18" x14ac:dyDescent="0.25">
      <c r="G1689" s="19"/>
      <c r="J1689" s="19"/>
      <c r="K1689" s="19"/>
      <c r="L1689" s="19"/>
      <c r="R1689" s="19"/>
    </row>
    <row r="1690" spans="7:18" x14ac:dyDescent="0.25">
      <c r="G1690" s="19"/>
      <c r="J1690" s="19"/>
      <c r="K1690" s="19"/>
      <c r="L1690" s="19"/>
      <c r="R1690" s="19"/>
    </row>
    <row r="1691" spans="7:18" x14ac:dyDescent="0.25">
      <c r="G1691" s="19"/>
      <c r="J1691" s="19"/>
      <c r="K1691" s="19"/>
      <c r="L1691" s="19"/>
      <c r="R1691" s="19"/>
    </row>
    <row r="1692" spans="7:18" x14ac:dyDescent="0.25">
      <c r="G1692" s="19"/>
      <c r="J1692" s="19"/>
      <c r="K1692" s="19"/>
      <c r="L1692" s="19"/>
      <c r="R1692" s="19"/>
    </row>
    <row r="1693" spans="7:18" x14ac:dyDescent="0.25">
      <c r="G1693" s="19"/>
      <c r="J1693" s="19"/>
      <c r="K1693" s="19"/>
      <c r="L1693" s="19"/>
      <c r="R1693" s="19"/>
    </row>
    <row r="1694" spans="7:18" x14ac:dyDescent="0.25">
      <c r="G1694" s="19"/>
      <c r="J1694" s="19"/>
      <c r="K1694" s="19"/>
      <c r="L1694" s="19"/>
      <c r="R1694" s="19"/>
    </row>
    <row r="1695" spans="7:18" x14ac:dyDescent="0.25">
      <c r="G1695" s="19"/>
      <c r="J1695" s="19"/>
      <c r="K1695" s="19"/>
      <c r="L1695" s="19"/>
      <c r="R1695" s="19"/>
    </row>
    <row r="1696" spans="7:18" x14ac:dyDescent="0.25">
      <c r="G1696" s="19"/>
      <c r="J1696" s="19"/>
      <c r="K1696" s="19"/>
      <c r="L1696" s="19"/>
      <c r="R1696" s="19"/>
    </row>
    <row r="1697" spans="7:18" x14ac:dyDescent="0.25">
      <c r="G1697" s="19"/>
      <c r="J1697" s="19"/>
      <c r="K1697" s="19"/>
      <c r="L1697" s="19"/>
      <c r="R1697" s="19"/>
    </row>
    <row r="1698" spans="7:18" x14ac:dyDescent="0.25">
      <c r="G1698" s="19"/>
      <c r="J1698" s="19"/>
      <c r="K1698" s="19"/>
      <c r="L1698" s="19"/>
      <c r="R1698" s="19"/>
    </row>
    <row r="1699" spans="7:18" x14ac:dyDescent="0.25">
      <c r="G1699" s="19"/>
      <c r="J1699" s="19"/>
      <c r="K1699" s="19"/>
      <c r="L1699" s="19"/>
      <c r="R1699" s="19"/>
    </row>
    <row r="1700" spans="7:18" x14ac:dyDescent="0.25">
      <c r="G1700" s="19"/>
      <c r="J1700" s="19"/>
      <c r="K1700" s="19"/>
      <c r="L1700" s="19"/>
      <c r="R1700" s="19"/>
    </row>
    <row r="1701" spans="7:18" x14ac:dyDescent="0.25">
      <c r="G1701" s="19"/>
      <c r="J1701" s="19"/>
      <c r="K1701" s="19"/>
      <c r="L1701" s="19"/>
      <c r="R1701" s="19"/>
    </row>
    <row r="1702" spans="7:18" x14ac:dyDescent="0.25">
      <c r="G1702" s="19"/>
      <c r="J1702" s="19"/>
      <c r="K1702" s="19"/>
      <c r="L1702" s="19"/>
      <c r="R1702" s="19"/>
    </row>
    <row r="1703" spans="7:18" x14ac:dyDescent="0.25">
      <c r="G1703" s="19"/>
      <c r="J1703" s="19"/>
      <c r="K1703" s="19"/>
      <c r="L1703" s="19"/>
      <c r="R1703" s="19"/>
    </row>
    <row r="1704" spans="7:18" x14ac:dyDescent="0.25">
      <c r="G1704" s="19"/>
      <c r="J1704" s="19"/>
      <c r="K1704" s="19"/>
      <c r="L1704" s="19"/>
      <c r="R1704" s="19"/>
    </row>
    <row r="1705" spans="7:18" x14ac:dyDescent="0.25">
      <c r="G1705" s="19"/>
      <c r="J1705" s="19"/>
      <c r="K1705" s="19"/>
      <c r="L1705" s="19"/>
      <c r="R1705" s="19"/>
    </row>
    <row r="1706" spans="7:18" x14ac:dyDescent="0.25">
      <c r="G1706" s="19"/>
      <c r="J1706" s="19"/>
      <c r="K1706" s="19"/>
      <c r="L1706" s="19"/>
      <c r="R1706" s="19"/>
    </row>
    <row r="1707" spans="7:18" x14ac:dyDescent="0.25">
      <c r="G1707" s="19"/>
      <c r="J1707" s="19"/>
      <c r="K1707" s="19"/>
      <c r="L1707" s="19"/>
      <c r="R1707" s="19"/>
    </row>
    <row r="1708" spans="7:18" x14ac:dyDescent="0.25">
      <c r="G1708" s="19"/>
      <c r="J1708" s="19"/>
      <c r="K1708" s="19"/>
      <c r="L1708" s="19"/>
      <c r="R1708" s="19"/>
    </row>
    <row r="1709" spans="7:18" x14ac:dyDescent="0.25">
      <c r="G1709" s="19"/>
      <c r="J1709" s="19"/>
      <c r="K1709" s="19"/>
      <c r="L1709" s="19"/>
      <c r="R1709" s="19"/>
    </row>
    <row r="1710" spans="7:18" x14ac:dyDescent="0.25">
      <c r="G1710" s="19"/>
      <c r="J1710" s="19"/>
      <c r="K1710" s="19"/>
      <c r="L1710" s="19"/>
      <c r="R1710" s="19"/>
    </row>
    <row r="1711" spans="7:18" x14ac:dyDescent="0.25">
      <c r="G1711" s="19"/>
      <c r="J1711" s="19"/>
      <c r="K1711" s="19"/>
      <c r="L1711" s="19"/>
      <c r="R1711" s="19"/>
    </row>
    <row r="1712" spans="7:18" x14ac:dyDescent="0.25">
      <c r="G1712" s="19"/>
      <c r="J1712" s="19"/>
      <c r="K1712" s="19"/>
      <c r="L1712" s="19"/>
      <c r="R1712" s="19"/>
    </row>
    <row r="1713" spans="7:18" x14ac:dyDescent="0.25">
      <c r="G1713" s="19"/>
      <c r="J1713" s="19"/>
      <c r="K1713" s="19"/>
      <c r="L1713" s="19"/>
      <c r="R1713" s="19"/>
    </row>
    <row r="1714" spans="7:18" x14ac:dyDescent="0.25">
      <c r="G1714" s="19"/>
      <c r="J1714" s="19"/>
      <c r="K1714" s="19"/>
      <c r="L1714" s="19"/>
      <c r="R1714" s="19"/>
    </row>
    <row r="1715" spans="7:18" x14ac:dyDescent="0.25">
      <c r="G1715" s="19"/>
      <c r="J1715" s="19"/>
      <c r="K1715" s="19"/>
      <c r="L1715" s="19"/>
      <c r="R1715" s="19"/>
    </row>
    <row r="1716" spans="7:18" x14ac:dyDescent="0.25">
      <c r="G1716" s="19"/>
      <c r="J1716" s="19"/>
      <c r="K1716" s="19"/>
      <c r="L1716" s="19"/>
      <c r="R1716" s="19"/>
    </row>
    <row r="1717" spans="7:18" x14ac:dyDescent="0.25">
      <c r="G1717" s="19"/>
      <c r="J1717" s="19"/>
      <c r="K1717" s="19"/>
      <c r="L1717" s="19"/>
      <c r="R1717" s="19"/>
    </row>
    <row r="1718" spans="7:18" x14ac:dyDescent="0.25">
      <c r="G1718" s="19"/>
      <c r="J1718" s="19"/>
      <c r="K1718" s="19"/>
      <c r="L1718" s="19"/>
      <c r="R1718" s="19"/>
    </row>
    <row r="1719" spans="7:18" x14ac:dyDescent="0.25">
      <c r="G1719" s="19"/>
      <c r="J1719" s="19"/>
      <c r="K1719" s="19"/>
      <c r="L1719" s="19"/>
      <c r="R1719" s="19"/>
    </row>
    <row r="1720" spans="7:18" x14ac:dyDescent="0.25">
      <c r="G1720" s="19"/>
      <c r="J1720" s="19"/>
      <c r="K1720" s="19"/>
      <c r="L1720" s="19"/>
      <c r="R1720" s="19"/>
    </row>
    <row r="1721" spans="7:18" x14ac:dyDescent="0.25">
      <c r="G1721" s="19"/>
      <c r="J1721" s="19"/>
      <c r="K1721" s="19"/>
      <c r="L1721" s="19"/>
      <c r="R1721" s="19"/>
    </row>
    <row r="1722" spans="7:18" x14ac:dyDescent="0.25">
      <c r="G1722" s="19"/>
      <c r="J1722" s="19"/>
      <c r="K1722" s="19"/>
      <c r="L1722" s="19"/>
      <c r="R1722" s="19"/>
    </row>
    <row r="1723" spans="7:18" x14ac:dyDescent="0.25">
      <c r="G1723" s="19"/>
      <c r="J1723" s="19"/>
      <c r="K1723" s="19"/>
      <c r="L1723" s="19"/>
      <c r="R1723" s="19"/>
    </row>
    <row r="1724" spans="7:18" x14ac:dyDescent="0.25">
      <c r="G1724" s="19"/>
      <c r="J1724" s="19"/>
      <c r="K1724" s="19"/>
      <c r="L1724" s="19"/>
      <c r="R1724" s="19"/>
    </row>
    <row r="1725" spans="7:18" x14ac:dyDescent="0.25">
      <c r="G1725" s="19"/>
      <c r="J1725" s="19"/>
      <c r="K1725" s="19"/>
      <c r="L1725" s="19"/>
      <c r="R1725" s="19"/>
    </row>
    <row r="1726" spans="7:18" x14ac:dyDescent="0.25">
      <c r="G1726" s="19"/>
      <c r="J1726" s="19"/>
      <c r="K1726" s="19"/>
      <c r="L1726" s="19"/>
      <c r="R1726" s="19"/>
    </row>
    <row r="1727" spans="7:18" x14ac:dyDescent="0.25">
      <c r="G1727" s="19"/>
      <c r="J1727" s="19"/>
      <c r="K1727" s="19"/>
      <c r="L1727" s="19"/>
      <c r="R1727" s="19"/>
    </row>
    <row r="1728" spans="7:18" x14ac:dyDescent="0.25">
      <c r="G1728" s="19"/>
      <c r="J1728" s="19"/>
      <c r="K1728" s="19"/>
      <c r="L1728" s="19"/>
      <c r="R1728" s="19"/>
    </row>
    <row r="1729" spans="7:18" x14ac:dyDescent="0.25">
      <c r="G1729" s="19"/>
      <c r="J1729" s="19"/>
      <c r="K1729" s="19"/>
      <c r="L1729" s="19"/>
      <c r="R1729" s="19"/>
    </row>
    <row r="1730" spans="7:18" x14ac:dyDescent="0.25">
      <c r="G1730" s="19"/>
      <c r="J1730" s="19"/>
      <c r="K1730" s="19"/>
      <c r="L1730" s="19"/>
      <c r="R1730" s="19"/>
    </row>
    <row r="1731" spans="7:18" x14ac:dyDescent="0.25">
      <c r="G1731" s="19"/>
      <c r="J1731" s="19"/>
      <c r="K1731" s="19"/>
      <c r="L1731" s="19"/>
      <c r="R1731" s="19"/>
    </row>
    <row r="1732" spans="7:18" x14ac:dyDescent="0.25">
      <c r="G1732" s="19"/>
      <c r="J1732" s="19"/>
      <c r="K1732" s="19"/>
      <c r="L1732" s="19"/>
      <c r="R1732" s="19"/>
    </row>
    <row r="1733" spans="7:18" x14ac:dyDescent="0.25">
      <c r="G1733" s="19"/>
      <c r="J1733" s="19"/>
      <c r="K1733" s="19"/>
      <c r="L1733" s="19"/>
      <c r="R1733" s="19"/>
    </row>
    <row r="1734" spans="7:18" x14ac:dyDescent="0.25">
      <c r="G1734" s="19"/>
      <c r="J1734" s="19"/>
      <c r="K1734" s="19"/>
      <c r="L1734" s="19"/>
      <c r="R1734" s="19"/>
    </row>
    <row r="1735" spans="7:18" x14ac:dyDescent="0.25">
      <c r="G1735" s="19"/>
      <c r="J1735" s="19"/>
      <c r="K1735" s="19"/>
      <c r="L1735" s="19"/>
      <c r="R1735" s="19"/>
    </row>
    <row r="1736" spans="7:18" x14ac:dyDescent="0.25">
      <c r="G1736" s="19"/>
      <c r="J1736" s="19"/>
      <c r="K1736" s="19"/>
      <c r="L1736" s="19"/>
      <c r="R1736" s="19"/>
    </row>
    <row r="1737" spans="7:18" x14ac:dyDescent="0.25">
      <c r="G1737" s="19"/>
      <c r="J1737" s="19"/>
      <c r="K1737" s="19"/>
      <c r="L1737" s="19"/>
      <c r="R1737" s="19"/>
    </row>
    <row r="1738" spans="7:18" x14ac:dyDescent="0.25">
      <c r="G1738" s="19"/>
      <c r="J1738" s="19"/>
      <c r="K1738" s="19"/>
      <c r="L1738" s="19"/>
      <c r="R1738" s="19"/>
    </row>
    <row r="1739" spans="7:18" x14ac:dyDescent="0.25">
      <c r="G1739" s="19"/>
      <c r="J1739" s="19"/>
      <c r="K1739" s="19"/>
      <c r="L1739" s="19"/>
      <c r="R1739" s="19"/>
    </row>
    <row r="1740" spans="7:18" x14ac:dyDescent="0.25">
      <c r="G1740" s="19"/>
      <c r="J1740" s="19"/>
      <c r="K1740" s="19"/>
      <c r="L1740" s="19"/>
      <c r="R1740" s="19"/>
    </row>
    <row r="1741" spans="7:18" x14ac:dyDescent="0.25">
      <c r="G1741" s="19"/>
      <c r="J1741" s="19"/>
      <c r="K1741" s="19"/>
      <c r="L1741" s="19"/>
      <c r="R1741" s="19"/>
    </row>
    <row r="1742" spans="7:18" x14ac:dyDescent="0.25">
      <c r="G1742" s="19"/>
      <c r="J1742" s="19"/>
      <c r="K1742" s="19"/>
      <c r="L1742" s="19"/>
      <c r="R1742" s="19"/>
    </row>
    <row r="1743" spans="7:18" x14ac:dyDescent="0.25">
      <c r="G1743" s="19"/>
      <c r="J1743" s="19"/>
      <c r="K1743" s="19"/>
      <c r="L1743" s="19"/>
      <c r="R1743" s="19"/>
    </row>
    <row r="1744" spans="7:18" x14ac:dyDescent="0.25">
      <c r="G1744" s="19"/>
      <c r="J1744" s="19"/>
      <c r="K1744" s="19"/>
      <c r="L1744" s="19"/>
      <c r="R1744" s="19"/>
    </row>
    <row r="1745" spans="7:18" x14ac:dyDescent="0.25">
      <c r="G1745" s="19"/>
      <c r="J1745" s="19"/>
      <c r="K1745" s="19"/>
      <c r="L1745" s="19"/>
      <c r="R1745" s="19"/>
    </row>
    <row r="1746" spans="7:18" x14ac:dyDescent="0.25">
      <c r="G1746" s="19"/>
      <c r="J1746" s="19"/>
      <c r="K1746" s="19"/>
      <c r="L1746" s="19"/>
      <c r="R1746" s="19"/>
    </row>
    <row r="1747" spans="7:18" x14ac:dyDescent="0.25">
      <c r="G1747" s="19"/>
      <c r="J1747" s="19"/>
      <c r="K1747" s="19"/>
      <c r="L1747" s="19"/>
      <c r="R1747" s="19"/>
    </row>
    <row r="1748" spans="7:18" x14ac:dyDescent="0.25">
      <c r="G1748" s="19"/>
      <c r="J1748" s="19"/>
      <c r="K1748" s="19"/>
      <c r="L1748" s="19"/>
      <c r="R1748" s="19"/>
    </row>
    <row r="1749" spans="7:18" x14ac:dyDescent="0.25">
      <c r="G1749" s="19"/>
      <c r="J1749" s="19"/>
      <c r="K1749" s="19"/>
      <c r="L1749" s="19"/>
      <c r="R1749" s="19"/>
    </row>
    <row r="1750" spans="7:18" x14ac:dyDescent="0.25">
      <c r="G1750" s="19"/>
      <c r="J1750" s="19"/>
      <c r="K1750" s="19"/>
      <c r="L1750" s="19"/>
      <c r="R1750" s="19"/>
    </row>
    <row r="1752" spans="7:18" x14ac:dyDescent="0.25">
      <c r="G1752" s="19"/>
      <c r="J1752" s="19"/>
      <c r="K1752" s="19"/>
      <c r="L1752" s="19"/>
      <c r="R1752" s="19"/>
    </row>
    <row r="1753" spans="7:18" x14ac:dyDescent="0.25">
      <c r="G1753" s="19"/>
      <c r="J1753" s="19"/>
      <c r="K1753" s="19"/>
      <c r="L1753" s="19"/>
      <c r="R1753" s="19"/>
    </row>
    <row r="1754" spans="7:18" x14ac:dyDescent="0.25">
      <c r="G1754" s="19"/>
      <c r="J1754" s="19"/>
      <c r="K1754" s="19"/>
      <c r="L1754" s="19"/>
      <c r="R1754" s="19"/>
    </row>
    <row r="1755" spans="7:18" x14ac:dyDescent="0.25">
      <c r="G1755" s="19"/>
      <c r="J1755" s="19"/>
      <c r="K1755" s="19"/>
      <c r="L1755" s="19"/>
      <c r="R1755" s="19"/>
    </row>
    <row r="1756" spans="7:18" x14ac:dyDescent="0.25">
      <c r="G1756" s="19"/>
      <c r="J1756" s="19"/>
      <c r="K1756" s="19"/>
      <c r="L1756" s="19"/>
      <c r="R1756" s="19"/>
    </row>
    <row r="1757" spans="7:18" x14ac:dyDescent="0.25">
      <c r="G1757" s="19"/>
      <c r="J1757" s="19"/>
      <c r="K1757" s="19"/>
      <c r="L1757" s="19"/>
      <c r="R1757" s="19"/>
    </row>
    <row r="1758" spans="7:18" x14ac:dyDescent="0.25">
      <c r="G1758" s="19"/>
      <c r="J1758" s="19"/>
      <c r="K1758" s="19"/>
      <c r="L1758" s="19"/>
      <c r="R1758" s="19"/>
    </row>
    <row r="1759" spans="7:18" x14ac:dyDescent="0.25">
      <c r="G1759" s="19"/>
      <c r="J1759" s="19"/>
      <c r="K1759" s="19"/>
      <c r="L1759" s="19"/>
      <c r="R1759" s="19"/>
    </row>
    <row r="1760" spans="7:18" x14ac:dyDescent="0.25">
      <c r="G1760" s="19"/>
      <c r="J1760" s="19"/>
      <c r="K1760" s="19"/>
      <c r="L1760" s="19"/>
      <c r="R1760" s="19"/>
    </row>
    <row r="1761" spans="7:18" x14ac:dyDescent="0.25">
      <c r="G1761" s="19"/>
      <c r="J1761" s="19"/>
      <c r="K1761" s="19"/>
      <c r="L1761" s="19"/>
      <c r="R1761" s="19"/>
    </row>
    <row r="1762" spans="7:18" x14ac:dyDescent="0.25">
      <c r="G1762" s="19"/>
      <c r="J1762" s="19"/>
      <c r="K1762" s="19"/>
      <c r="L1762" s="19"/>
      <c r="R1762" s="19"/>
    </row>
    <row r="1763" spans="7:18" x14ac:dyDescent="0.25">
      <c r="G1763" s="19"/>
      <c r="J1763" s="19"/>
      <c r="K1763" s="19"/>
      <c r="L1763" s="19"/>
      <c r="R1763" s="19"/>
    </row>
    <row r="1764" spans="7:18" x14ac:dyDescent="0.25">
      <c r="G1764" s="19"/>
      <c r="J1764" s="19"/>
      <c r="K1764" s="19"/>
      <c r="L1764" s="19"/>
      <c r="R1764" s="19"/>
    </row>
    <row r="1765" spans="7:18" x14ac:dyDescent="0.25">
      <c r="G1765" s="19"/>
      <c r="J1765" s="19"/>
      <c r="K1765" s="19"/>
      <c r="L1765" s="19"/>
      <c r="R1765" s="19"/>
    </row>
    <row r="1766" spans="7:18" x14ac:dyDescent="0.25">
      <c r="G1766" s="19"/>
      <c r="J1766" s="19"/>
      <c r="K1766" s="19"/>
      <c r="L1766" s="19"/>
      <c r="R1766" s="19"/>
    </row>
    <row r="1767" spans="7:18" x14ac:dyDescent="0.25">
      <c r="G1767" s="19"/>
      <c r="J1767" s="19"/>
      <c r="K1767" s="19"/>
      <c r="L1767" s="19"/>
      <c r="R1767" s="19"/>
    </row>
    <row r="1768" spans="7:18" x14ac:dyDescent="0.25">
      <c r="G1768" s="19"/>
      <c r="J1768" s="19"/>
      <c r="K1768" s="19"/>
      <c r="L1768" s="19"/>
      <c r="R1768" s="19"/>
    </row>
    <row r="1769" spans="7:18" x14ac:dyDescent="0.25">
      <c r="G1769" s="19"/>
      <c r="J1769" s="19"/>
      <c r="K1769" s="19"/>
      <c r="L1769" s="19"/>
      <c r="R1769" s="19"/>
    </row>
    <row r="1770" spans="7:18" x14ac:dyDescent="0.25">
      <c r="G1770" s="19"/>
      <c r="J1770" s="19"/>
      <c r="K1770" s="19"/>
      <c r="L1770" s="19"/>
      <c r="R1770" s="19"/>
    </row>
    <row r="1771" spans="7:18" x14ac:dyDescent="0.25">
      <c r="G1771" s="19"/>
      <c r="J1771" s="19"/>
      <c r="K1771" s="19"/>
      <c r="L1771" s="19"/>
      <c r="R1771" s="19"/>
    </row>
    <row r="1772" spans="7:18" x14ac:dyDescent="0.25">
      <c r="G1772" s="19"/>
      <c r="J1772" s="19"/>
      <c r="K1772" s="19"/>
      <c r="L1772" s="19"/>
      <c r="R1772" s="19"/>
    </row>
    <row r="1773" spans="7:18" x14ac:dyDescent="0.25">
      <c r="G1773" s="19"/>
      <c r="J1773" s="19"/>
      <c r="K1773" s="19"/>
      <c r="L1773" s="19"/>
      <c r="R1773" s="19"/>
    </row>
    <row r="1774" spans="7:18" x14ac:dyDescent="0.25">
      <c r="G1774" s="19"/>
      <c r="J1774" s="19"/>
      <c r="K1774" s="19"/>
      <c r="L1774" s="19"/>
      <c r="R1774" s="19"/>
    </row>
    <row r="1775" spans="7:18" x14ac:dyDescent="0.25">
      <c r="G1775" s="19"/>
      <c r="J1775" s="19"/>
      <c r="K1775" s="19"/>
      <c r="L1775" s="19"/>
      <c r="R1775" s="19"/>
    </row>
    <row r="1776" spans="7:18" x14ac:dyDescent="0.25">
      <c r="G1776" s="19"/>
      <c r="J1776" s="19"/>
      <c r="K1776" s="19"/>
      <c r="L1776" s="19"/>
      <c r="R1776" s="19"/>
    </row>
    <row r="1777" spans="7:18" x14ac:dyDescent="0.25">
      <c r="G1777" s="19"/>
      <c r="J1777" s="19"/>
      <c r="K1777" s="19"/>
      <c r="L1777" s="19"/>
      <c r="R1777" s="19"/>
    </row>
    <row r="1778" spans="7:18" x14ac:dyDescent="0.25">
      <c r="G1778" s="19"/>
      <c r="J1778" s="19"/>
      <c r="K1778" s="19"/>
      <c r="L1778" s="19"/>
      <c r="R1778" s="19"/>
    </row>
    <row r="1779" spans="7:18" x14ac:dyDescent="0.25">
      <c r="G1779" s="19"/>
      <c r="J1779" s="19"/>
      <c r="K1779" s="19"/>
      <c r="L1779" s="19"/>
      <c r="R1779" s="19"/>
    </row>
    <row r="1780" spans="7:18" x14ac:dyDescent="0.25">
      <c r="G1780" s="19"/>
      <c r="J1780" s="19"/>
      <c r="K1780" s="19"/>
      <c r="L1780" s="19"/>
      <c r="R1780" s="19"/>
    </row>
    <row r="1781" spans="7:18" x14ac:dyDescent="0.25">
      <c r="G1781" s="19"/>
      <c r="J1781" s="19"/>
      <c r="K1781" s="19"/>
      <c r="L1781" s="19"/>
      <c r="R1781" s="19"/>
    </row>
    <row r="1782" spans="7:18" x14ac:dyDescent="0.25">
      <c r="G1782" s="19"/>
      <c r="J1782" s="19"/>
      <c r="K1782" s="19"/>
      <c r="L1782" s="19"/>
      <c r="R1782" s="19"/>
    </row>
    <row r="1783" spans="7:18" x14ac:dyDescent="0.25">
      <c r="G1783" s="19"/>
      <c r="J1783" s="19"/>
      <c r="K1783" s="19"/>
      <c r="L1783" s="19"/>
      <c r="R1783" s="19"/>
    </row>
    <row r="1784" spans="7:18" x14ac:dyDescent="0.25">
      <c r="G1784" s="19"/>
      <c r="J1784" s="19"/>
      <c r="K1784" s="19"/>
      <c r="L1784" s="19"/>
      <c r="R1784" s="19"/>
    </row>
    <row r="1785" spans="7:18" x14ac:dyDescent="0.25">
      <c r="G1785" s="19"/>
      <c r="J1785" s="19"/>
      <c r="K1785" s="19"/>
      <c r="L1785" s="19"/>
      <c r="R1785" s="19"/>
    </row>
    <row r="1786" spans="7:18" x14ac:dyDescent="0.25">
      <c r="G1786" s="19"/>
      <c r="J1786" s="19"/>
      <c r="K1786" s="19"/>
      <c r="L1786" s="19"/>
      <c r="R1786" s="19"/>
    </row>
    <row r="1787" spans="7:18" x14ac:dyDescent="0.25">
      <c r="G1787" s="19"/>
      <c r="J1787" s="19"/>
      <c r="K1787" s="19"/>
      <c r="L1787" s="19"/>
      <c r="R1787" s="19"/>
    </row>
    <row r="1788" spans="7:18" x14ac:dyDescent="0.25">
      <c r="G1788" s="19"/>
      <c r="J1788" s="19"/>
      <c r="K1788" s="19"/>
      <c r="L1788" s="19"/>
      <c r="R1788" s="19"/>
    </row>
    <row r="1789" spans="7:18" x14ac:dyDescent="0.25">
      <c r="G1789" s="19"/>
      <c r="J1789" s="19"/>
      <c r="K1789" s="19"/>
      <c r="L1789" s="19"/>
      <c r="R1789" s="19"/>
    </row>
    <row r="1790" spans="7:18" x14ac:dyDescent="0.25">
      <c r="G1790" s="19"/>
      <c r="J1790" s="19"/>
      <c r="K1790" s="19"/>
      <c r="L1790" s="19"/>
      <c r="R1790" s="19"/>
    </row>
    <row r="1791" spans="7:18" x14ac:dyDescent="0.25">
      <c r="G1791" s="19"/>
      <c r="J1791" s="19"/>
      <c r="K1791" s="19"/>
      <c r="L1791" s="19"/>
      <c r="R1791" s="19"/>
    </row>
    <row r="1792" spans="7:18" x14ac:dyDescent="0.25">
      <c r="G1792" s="19"/>
      <c r="J1792" s="19"/>
      <c r="K1792" s="19"/>
      <c r="L1792" s="19"/>
      <c r="R1792" s="19"/>
    </row>
    <row r="1793" spans="7:18" x14ac:dyDescent="0.25">
      <c r="G1793" s="19"/>
      <c r="J1793" s="19"/>
      <c r="K1793" s="19"/>
      <c r="L1793" s="19"/>
      <c r="R1793" s="19"/>
    </row>
    <row r="1794" spans="7:18" x14ac:dyDescent="0.25">
      <c r="G1794" s="19"/>
      <c r="J1794" s="19"/>
      <c r="K1794" s="19"/>
      <c r="L1794" s="19"/>
      <c r="R1794" s="19"/>
    </row>
    <row r="1795" spans="7:18" x14ac:dyDescent="0.25">
      <c r="G1795" s="19"/>
      <c r="J1795" s="19"/>
      <c r="K1795" s="19"/>
      <c r="L1795" s="19"/>
      <c r="R1795" s="19"/>
    </row>
    <row r="1796" spans="7:18" x14ac:dyDescent="0.25">
      <c r="G1796" s="19"/>
      <c r="J1796" s="19"/>
      <c r="K1796" s="19"/>
      <c r="L1796" s="19"/>
      <c r="R1796" s="19"/>
    </row>
    <row r="1797" spans="7:18" x14ac:dyDescent="0.25">
      <c r="G1797" s="19"/>
      <c r="J1797" s="19"/>
      <c r="K1797" s="19"/>
      <c r="L1797" s="19"/>
      <c r="R1797" s="19"/>
    </row>
    <row r="1798" spans="7:18" x14ac:dyDescent="0.25">
      <c r="G1798" s="19"/>
      <c r="J1798" s="19"/>
      <c r="K1798" s="19"/>
      <c r="L1798" s="19"/>
      <c r="R1798" s="19"/>
    </row>
    <row r="1799" spans="7:18" x14ac:dyDescent="0.25">
      <c r="G1799" s="19"/>
      <c r="J1799" s="19"/>
      <c r="K1799" s="19"/>
      <c r="L1799" s="19"/>
      <c r="R1799" s="19"/>
    </row>
    <row r="1800" spans="7:18" x14ac:dyDescent="0.25">
      <c r="G1800" s="19"/>
      <c r="J1800" s="19"/>
      <c r="K1800" s="19"/>
      <c r="L1800" s="19"/>
      <c r="R1800" s="19"/>
    </row>
    <row r="1801" spans="7:18" x14ac:dyDescent="0.25">
      <c r="G1801" s="19"/>
      <c r="J1801" s="19"/>
      <c r="K1801" s="19"/>
      <c r="L1801" s="19"/>
      <c r="R1801" s="19"/>
    </row>
    <row r="1802" spans="7:18" x14ac:dyDescent="0.25">
      <c r="G1802" s="19"/>
      <c r="J1802" s="19"/>
      <c r="K1802" s="19"/>
      <c r="L1802" s="19"/>
      <c r="R1802" s="19"/>
    </row>
    <row r="1803" spans="7:18" x14ac:dyDescent="0.25">
      <c r="G1803" s="19"/>
      <c r="J1803" s="19"/>
      <c r="K1803" s="19"/>
      <c r="L1803" s="19"/>
      <c r="R1803" s="19"/>
    </row>
    <row r="1804" spans="7:18" x14ac:dyDescent="0.25">
      <c r="G1804" s="19"/>
      <c r="J1804" s="19"/>
      <c r="K1804" s="19"/>
      <c r="L1804" s="19"/>
      <c r="R1804" s="19"/>
    </row>
    <row r="1805" spans="7:18" x14ac:dyDescent="0.25">
      <c r="G1805" s="19"/>
      <c r="J1805" s="19"/>
      <c r="K1805" s="19"/>
      <c r="L1805" s="19"/>
      <c r="R1805" s="19"/>
    </row>
    <row r="1806" spans="7:18" x14ac:dyDescent="0.25">
      <c r="G1806" s="19"/>
      <c r="J1806" s="19"/>
      <c r="K1806" s="19"/>
      <c r="L1806" s="19"/>
      <c r="R1806" s="19"/>
    </row>
    <row r="1807" spans="7:18" x14ac:dyDescent="0.25">
      <c r="G1807" s="19"/>
      <c r="J1807" s="19"/>
      <c r="K1807" s="19"/>
      <c r="L1807" s="19"/>
      <c r="R1807" s="19"/>
    </row>
    <row r="1808" spans="7:18" x14ac:dyDescent="0.25">
      <c r="G1808" s="19"/>
      <c r="J1808" s="19"/>
      <c r="K1808" s="19"/>
      <c r="L1808" s="19"/>
      <c r="R1808" s="19"/>
    </row>
    <row r="1809" spans="7:18" x14ac:dyDescent="0.25">
      <c r="G1809" s="19"/>
      <c r="J1809" s="19"/>
      <c r="K1809" s="19"/>
      <c r="L1809" s="19"/>
      <c r="R1809" s="19"/>
    </row>
    <row r="1810" spans="7:18" x14ac:dyDescent="0.25">
      <c r="G1810" s="19"/>
      <c r="J1810" s="19"/>
      <c r="K1810" s="19"/>
      <c r="L1810" s="19"/>
      <c r="R1810" s="19"/>
    </row>
    <row r="1811" spans="7:18" x14ac:dyDescent="0.25">
      <c r="G1811" s="19"/>
      <c r="J1811" s="19"/>
      <c r="K1811" s="19"/>
      <c r="L1811" s="19"/>
      <c r="R1811" s="19"/>
    </row>
    <row r="1812" spans="7:18" x14ac:dyDescent="0.25">
      <c r="G1812" s="19"/>
      <c r="J1812" s="19"/>
      <c r="K1812" s="19"/>
      <c r="L1812" s="19"/>
      <c r="R1812" s="19"/>
    </row>
    <row r="1813" spans="7:18" x14ac:dyDescent="0.25">
      <c r="G1813" s="19"/>
      <c r="J1813" s="19"/>
      <c r="K1813" s="19"/>
      <c r="L1813" s="19"/>
      <c r="R1813" s="19"/>
    </row>
    <row r="1814" spans="7:18" x14ac:dyDescent="0.25">
      <c r="G1814" s="19"/>
      <c r="J1814" s="19"/>
      <c r="K1814" s="19"/>
      <c r="L1814" s="19"/>
      <c r="R1814" s="19"/>
    </row>
    <row r="1815" spans="7:18" x14ac:dyDescent="0.25">
      <c r="G1815" s="19"/>
      <c r="J1815" s="19"/>
      <c r="K1815" s="19"/>
      <c r="L1815" s="19"/>
      <c r="R1815" s="19"/>
    </row>
    <row r="1816" spans="7:18" x14ac:dyDescent="0.25">
      <c r="G1816" s="19"/>
      <c r="J1816" s="19"/>
      <c r="K1816" s="19"/>
      <c r="L1816" s="19"/>
      <c r="R1816" s="19"/>
    </row>
    <row r="1817" spans="7:18" x14ac:dyDescent="0.25">
      <c r="G1817" s="19"/>
      <c r="J1817" s="19"/>
      <c r="K1817" s="19"/>
      <c r="L1817" s="19"/>
      <c r="R1817" s="19"/>
    </row>
    <row r="1818" spans="7:18" x14ac:dyDescent="0.25">
      <c r="G1818" s="19"/>
      <c r="J1818" s="19"/>
      <c r="K1818" s="19"/>
      <c r="L1818" s="19"/>
      <c r="R1818" s="19"/>
    </row>
    <row r="1819" spans="7:18" x14ac:dyDescent="0.25">
      <c r="G1819" s="19"/>
      <c r="J1819" s="19"/>
      <c r="K1819" s="19"/>
      <c r="L1819" s="19"/>
      <c r="R1819" s="19"/>
    </row>
    <row r="1820" spans="7:18" x14ac:dyDescent="0.25">
      <c r="G1820" s="19"/>
      <c r="J1820" s="19"/>
      <c r="K1820" s="19"/>
      <c r="L1820" s="19"/>
      <c r="R1820" s="19"/>
    </row>
    <row r="1821" spans="7:18" x14ac:dyDescent="0.25">
      <c r="G1821" s="19"/>
      <c r="J1821" s="19"/>
      <c r="K1821" s="19"/>
      <c r="L1821" s="19"/>
      <c r="R1821" s="19"/>
    </row>
    <row r="1822" spans="7:18" x14ac:dyDescent="0.25">
      <c r="G1822" s="19"/>
      <c r="J1822" s="19"/>
      <c r="K1822" s="19"/>
      <c r="L1822" s="19"/>
      <c r="R1822" s="19"/>
    </row>
    <row r="1823" spans="7:18" x14ac:dyDescent="0.25">
      <c r="G1823" s="19"/>
      <c r="J1823" s="19"/>
      <c r="K1823" s="19"/>
      <c r="L1823" s="19"/>
      <c r="R1823" s="19"/>
    </row>
    <row r="1824" spans="7:18" x14ac:dyDescent="0.25">
      <c r="G1824" s="19"/>
      <c r="J1824" s="19"/>
      <c r="K1824" s="19"/>
      <c r="L1824" s="19"/>
      <c r="R1824" s="19"/>
    </row>
    <row r="1825" spans="7:18" x14ac:dyDescent="0.25">
      <c r="G1825" s="19"/>
      <c r="J1825" s="19"/>
      <c r="K1825" s="19"/>
      <c r="L1825" s="19"/>
      <c r="R1825" s="19"/>
    </row>
    <row r="1826" spans="7:18" x14ac:dyDescent="0.25">
      <c r="G1826" s="19"/>
      <c r="J1826" s="19"/>
      <c r="K1826" s="19"/>
      <c r="L1826" s="19"/>
      <c r="R1826" s="19"/>
    </row>
    <row r="1827" spans="7:18" x14ac:dyDescent="0.25">
      <c r="G1827" s="19"/>
      <c r="J1827" s="19"/>
      <c r="K1827" s="19"/>
      <c r="L1827" s="19"/>
      <c r="R1827" s="19"/>
    </row>
    <row r="1828" spans="7:18" x14ac:dyDescent="0.25">
      <c r="G1828" s="19"/>
      <c r="J1828" s="19"/>
      <c r="K1828" s="19"/>
      <c r="L1828" s="19"/>
      <c r="R1828" s="19"/>
    </row>
    <row r="1829" spans="7:18" x14ac:dyDescent="0.25">
      <c r="G1829" s="19"/>
      <c r="J1829" s="19"/>
      <c r="K1829" s="19"/>
      <c r="L1829" s="19"/>
      <c r="R1829" s="19"/>
    </row>
    <row r="1830" spans="7:18" x14ac:dyDescent="0.25">
      <c r="G1830" s="19"/>
      <c r="J1830" s="19"/>
      <c r="K1830" s="19"/>
      <c r="L1830" s="19"/>
      <c r="R1830" s="19"/>
    </row>
    <row r="1831" spans="7:18" x14ac:dyDescent="0.25">
      <c r="G1831" s="19"/>
      <c r="J1831" s="19"/>
      <c r="K1831" s="19"/>
      <c r="L1831" s="19"/>
      <c r="R1831" s="19"/>
    </row>
    <row r="1832" spans="7:18" x14ac:dyDescent="0.25">
      <c r="G1832" s="19"/>
      <c r="J1832" s="19"/>
      <c r="K1832" s="19"/>
      <c r="L1832" s="19"/>
      <c r="R1832" s="19"/>
    </row>
    <row r="1833" spans="7:18" x14ac:dyDescent="0.25">
      <c r="G1833" s="19"/>
      <c r="J1833" s="19"/>
      <c r="K1833" s="19"/>
      <c r="L1833" s="19"/>
      <c r="R1833" s="19"/>
    </row>
    <row r="1834" spans="7:18" x14ac:dyDescent="0.25">
      <c r="G1834" s="19"/>
      <c r="J1834" s="19"/>
      <c r="K1834" s="19"/>
      <c r="L1834" s="19"/>
      <c r="R1834" s="19"/>
    </row>
    <row r="1835" spans="7:18" x14ac:dyDescent="0.25">
      <c r="G1835" s="19"/>
      <c r="J1835" s="19"/>
      <c r="K1835" s="19"/>
      <c r="L1835" s="19"/>
      <c r="R1835" s="19"/>
    </row>
    <row r="1836" spans="7:18" x14ac:dyDescent="0.25">
      <c r="G1836" s="19"/>
      <c r="J1836" s="19"/>
      <c r="K1836" s="19"/>
      <c r="L1836" s="19"/>
      <c r="R1836" s="19"/>
    </row>
    <row r="1837" spans="7:18" x14ac:dyDescent="0.25">
      <c r="G1837" s="19"/>
      <c r="J1837" s="19"/>
      <c r="K1837" s="19"/>
      <c r="L1837" s="19"/>
      <c r="R1837" s="19"/>
    </row>
    <row r="1838" spans="7:18" x14ac:dyDescent="0.25">
      <c r="G1838" s="19"/>
      <c r="J1838" s="19"/>
      <c r="K1838" s="19"/>
      <c r="L1838" s="19"/>
      <c r="R1838" s="19"/>
    </row>
    <row r="1839" spans="7:18" x14ac:dyDescent="0.25">
      <c r="G1839" s="19"/>
      <c r="J1839" s="19"/>
      <c r="K1839" s="19"/>
      <c r="L1839" s="19"/>
      <c r="R1839" s="19"/>
    </row>
    <row r="1840" spans="7:18" x14ac:dyDescent="0.25">
      <c r="G1840" s="19"/>
      <c r="J1840" s="19"/>
      <c r="K1840" s="19"/>
      <c r="L1840" s="19"/>
      <c r="R1840" s="19"/>
    </row>
    <row r="1841" spans="7:18" x14ac:dyDescent="0.25">
      <c r="G1841" s="19"/>
      <c r="J1841" s="19"/>
      <c r="K1841" s="19"/>
      <c r="L1841" s="19"/>
      <c r="R1841" s="19"/>
    </row>
    <row r="1842" spans="7:18" x14ac:dyDescent="0.25">
      <c r="G1842" s="19"/>
      <c r="J1842" s="19"/>
      <c r="K1842" s="19"/>
      <c r="L1842" s="19"/>
      <c r="R1842" s="19"/>
    </row>
    <row r="1843" spans="7:18" x14ac:dyDescent="0.25">
      <c r="G1843" s="19"/>
      <c r="J1843" s="19"/>
      <c r="K1843" s="19"/>
      <c r="L1843" s="19"/>
      <c r="R1843" s="19"/>
    </row>
    <row r="1844" spans="7:18" x14ac:dyDescent="0.25">
      <c r="G1844" s="19"/>
      <c r="J1844" s="19"/>
      <c r="K1844" s="19"/>
      <c r="L1844" s="19"/>
      <c r="R1844" s="19"/>
    </row>
    <row r="1845" spans="7:18" x14ac:dyDescent="0.25">
      <c r="G1845" s="19"/>
      <c r="J1845" s="19"/>
      <c r="K1845" s="19"/>
      <c r="L1845" s="19"/>
      <c r="R1845" s="19"/>
    </row>
    <row r="1846" spans="7:18" x14ac:dyDescent="0.25">
      <c r="G1846" s="19"/>
      <c r="J1846" s="19"/>
      <c r="K1846" s="19"/>
      <c r="L1846" s="19"/>
      <c r="R1846" s="19"/>
    </row>
    <row r="1847" spans="7:18" x14ac:dyDescent="0.25">
      <c r="G1847" s="19"/>
      <c r="J1847" s="19"/>
      <c r="K1847" s="19"/>
      <c r="L1847" s="19"/>
      <c r="R1847" s="19"/>
    </row>
    <row r="1848" spans="7:18" x14ac:dyDescent="0.25">
      <c r="G1848" s="19"/>
      <c r="J1848" s="19"/>
      <c r="K1848" s="19"/>
      <c r="L1848" s="19"/>
      <c r="R1848" s="19"/>
    </row>
    <row r="1849" spans="7:18" x14ac:dyDescent="0.25">
      <c r="G1849" s="19"/>
      <c r="J1849" s="19"/>
      <c r="K1849" s="19"/>
      <c r="L1849" s="19"/>
      <c r="R1849" s="19"/>
    </row>
    <row r="1850" spans="7:18" x14ac:dyDescent="0.25">
      <c r="G1850" s="19"/>
      <c r="J1850" s="19"/>
      <c r="K1850" s="19"/>
      <c r="L1850" s="19"/>
      <c r="R1850" s="19"/>
    </row>
    <row r="1851" spans="7:18" x14ac:dyDescent="0.25">
      <c r="G1851" s="19"/>
      <c r="J1851" s="19"/>
      <c r="K1851" s="19"/>
      <c r="L1851" s="19"/>
      <c r="R1851" s="19"/>
    </row>
    <row r="1852" spans="7:18" x14ac:dyDescent="0.25">
      <c r="G1852" s="19"/>
      <c r="J1852" s="19"/>
      <c r="K1852" s="19"/>
      <c r="L1852" s="19"/>
      <c r="R1852" s="19"/>
    </row>
    <row r="1853" spans="7:18" x14ac:dyDescent="0.25">
      <c r="G1853" s="19"/>
      <c r="J1853" s="19"/>
      <c r="K1853" s="19"/>
      <c r="L1853" s="19"/>
      <c r="R1853" s="19"/>
    </row>
    <row r="1854" spans="7:18" x14ac:dyDescent="0.25">
      <c r="G1854" s="19"/>
      <c r="J1854" s="19"/>
      <c r="K1854" s="19"/>
      <c r="L1854" s="19"/>
      <c r="R1854" s="19"/>
    </row>
    <row r="1855" spans="7:18" x14ac:dyDescent="0.25">
      <c r="G1855" s="19"/>
      <c r="J1855" s="19"/>
      <c r="K1855" s="19"/>
      <c r="L1855" s="19"/>
      <c r="R1855" s="19"/>
    </row>
    <row r="1856" spans="7:18" x14ac:dyDescent="0.25">
      <c r="G1856" s="19"/>
      <c r="J1856" s="19"/>
      <c r="K1856" s="19"/>
      <c r="L1856" s="19"/>
      <c r="R1856" s="19"/>
    </row>
    <row r="1857" spans="7:18" x14ac:dyDescent="0.25">
      <c r="G1857" s="19"/>
      <c r="J1857" s="19"/>
      <c r="K1857" s="19"/>
      <c r="L1857" s="19"/>
      <c r="R1857" s="19"/>
    </row>
    <row r="1858" spans="7:18" x14ac:dyDescent="0.25">
      <c r="G1858" s="19"/>
      <c r="J1858" s="19"/>
      <c r="K1858" s="19"/>
      <c r="L1858" s="19"/>
      <c r="R1858" s="19"/>
    </row>
    <row r="1859" spans="7:18" x14ac:dyDescent="0.25">
      <c r="G1859" s="19"/>
      <c r="J1859" s="19"/>
      <c r="K1859" s="19"/>
      <c r="L1859" s="19"/>
      <c r="R1859" s="19"/>
    </row>
    <row r="1860" spans="7:18" x14ac:dyDescent="0.25">
      <c r="G1860" s="19"/>
      <c r="J1860" s="19"/>
      <c r="K1860" s="19"/>
      <c r="L1860" s="19"/>
      <c r="R1860" s="19"/>
    </row>
    <row r="1861" spans="7:18" x14ac:dyDescent="0.25">
      <c r="G1861" s="19"/>
      <c r="J1861" s="19"/>
      <c r="K1861" s="19"/>
      <c r="L1861" s="19"/>
      <c r="R1861" s="19"/>
    </row>
    <row r="1862" spans="7:18" x14ac:dyDescent="0.25">
      <c r="G1862" s="19"/>
      <c r="J1862" s="19"/>
      <c r="K1862" s="19"/>
      <c r="L1862" s="19"/>
      <c r="R1862" s="19"/>
    </row>
    <row r="1863" spans="7:18" x14ac:dyDescent="0.25">
      <c r="G1863" s="19"/>
      <c r="J1863" s="19"/>
      <c r="K1863" s="19"/>
      <c r="L1863" s="19"/>
      <c r="R1863" s="19"/>
    </row>
    <row r="1864" spans="7:18" x14ac:dyDescent="0.25">
      <c r="G1864" s="19"/>
      <c r="J1864" s="19"/>
      <c r="K1864" s="19"/>
      <c r="L1864" s="19"/>
      <c r="R1864" s="19"/>
    </row>
    <row r="1865" spans="7:18" x14ac:dyDescent="0.25">
      <c r="G1865" s="19"/>
      <c r="J1865" s="19"/>
      <c r="K1865" s="19"/>
      <c r="L1865" s="19"/>
      <c r="R1865" s="19"/>
    </row>
    <row r="1866" spans="7:18" x14ac:dyDescent="0.25">
      <c r="G1866" s="19"/>
      <c r="J1866" s="19"/>
      <c r="K1866" s="19"/>
      <c r="L1866" s="19"/>
      <c r="R1866" s="19"/>
    </row>
    <row r="1867" spans="7:18" x14ac:dyDescent="0.25">
      <c r="G1867" s="19"/>
      <c r="J1867" s="19"/>
      <c r="K1867" s="19"/>
      <c r="L1867" s="19"/>
      <c r="R1867" s="19"/>
    </row>
    <row r="1868" spans="7:18" x14ac:dyDescent="0.25">
      <c r="G1868" s="19"/>
      <c r="J1868" s="19"/>
      <c r="K1868" s="19"/>
      <c r="L1868" s="19"/>
      <c r="R1868" s="19"/>
    </row>
    <row r="1869" spans="7:18" x14ac:dyDescent="0.25">
      <c r="G1869" s="19"/>
      <c r="J1869" s="19"/>
      <c r="K1869" s="19"/>
      <c r="L1869" s="19"/>
      <c r="R1869" s="19"/>
    </row>
    <row r="1870" spans="7:18" x14ac:dyDescent="0.25">
      <c r="G1870" s="19"/>
      <c r="J1870" s="19"/>
      <c r="K1870" s="19"/>
      <c r="L1870" s="19"/>
      <c r="R1870" s="19"/>
    </row>
    <row r="1871" spans="7:18" x14ac:dyDescent="0.25">
      <c r="G1871" s="19"/>
      <c r="J1871" s="19"/>
      <c r="K1871" s="19"/>
      <c r="L1871" s="19"/>
      <c r="R1871" s="19"/>
    </row>
    <row r="1872" spans="7:18" x14ac:dyDescent="0.25">
      <c r="G1872" s="19"/>
      <c r="J1872" s="19"/>
      <c r="K1872" s="19"/>
      <c r="L1872" s="19"/>
      <c r="R1872" s="19"/>
    </row>
    <row r="1873" spans="7:18" x14ac:dyDescent="0.25">
      <c r="G1873" s="19"/>
      <c r="J1873" s="19"/>
      <c r="K1873" s="19"/>
      <c r="L1873" s="19"/>
      <c r="R1873" s="19"/>
    </row>
    <row r="1874" spans="7:18" x14ac:dyDescent="0.25">
      <c r="G1874" s="19"/>
      <c r="J1874" s="19"/>
      <c r="K1874" s="19"/>
      <c r="L1874" s="19"/>
      <c r="R1874" s="19"/>
    </row>
    <row r="1875" spans="7:18" x14ac:dyDescent="0.25">
      <c r="G1875" s="19"/>
      <c r="J1875" s="19"/>
      <c r="K1875" s="19"/>
      <c r="L1875" s="19"/>
      <c r="R1875" s="19"/>
    </row>
    <row r="1876" spans="7:18" x14ac:dyDescent="0.25">
      <c r="G1876" s="19"/>
      <c r="J1876" s="19"/>
      <c r="K1876" s="19"/>
      <c r="L1876" s="19"/>
      <c r="R1876" s="19"/>
    </row>
    <row r="1877" spans="7:18" x14ac:dyDescent="0.25">
      <c r="G1877" s="19"/>
      <c r="J1877" s="19"/>
      <c r="K1877" s="19"/>
      <c r="L1877" s="19"/>
      <c r="R1877" s="19"/>
    </row>
    <row r="1878" spans="7:18" x14ac:dyDescent="0.25">
      <c r="G1878" s="19"/>
      <c r="J1878" s="19"/>
      <c r="K1878" s="19"/>
      <c r="L1878" s="19"/>
      <c r="R1878" s="19"/>
    </row>
    <row r="1879" spans="7:18" x14ac:dyDescent="0.25">
      <c r="G1879" s="19"/>
      <c r="J1879" s="19"/>
      <c r="K1879" s="19"/>
      <c r="L1879" s="19"/>
      <c r="R1879" s="19"/>
    </row>
    <row r="1880" spans="7:18" x14ac:dyDescent="0.25">
      <c r="G1880" s="19"/>
      <c r="J1880" s="19"/>
      <c r="K1880" s="19"/>
      <c r="L1880" s="19"/>
      <c r="R1880" s="19"/>
    </row>
    <row r="1881" spans="7:18" x14ac:dyDescent="0.25">
      <c r="G1881" s="19"/>
      <c r="J1881" s="19"/>
      <c r="K1881" s="19"/>
      <c r="L1881" s="19"/>
      <c r="R1881" s="19"/>
    </row>
    <row r="1882" spans="7:18" x14ac:dyDescent="0.25">
      <c r="G1882" s="19"/>
      <c r="J1882" s="19"/>
      <c r="K1882" s="19"/>
      <c r="L1882" s="19"/>
      <c r="R1882" s="19"/>
    </row>
    <row r="1883" spans="7:18" x14ac:dyDescent="0.25">
      <c r="G1883" s="19"/>
      <c r="J1883" s="19"/>
      <c r="K1883" s="19"/>
      <c r="L1883" s="19"/>
      <c r="R1883" s="19"/>
    </row>
    <row r="1884" spans="7:18" x14ac:dyDescent="0.25">
      <c r="G1884" s="19"/>
      <c r="J1884" s="19"/>
      <c r="K1884" s="19"/>
      <c r="L1884" s="19"/>
      <c r="R1884" s="19"/>
    </row>
    <row r="1885" spans="7:18" x14ac:dyDescent="0.25">
      <c r="G1885" s="19"/>
      <c r="J1885" s="19"/>
      <c r="K1885" s="19"/>
      <c r="L1885" s="19"/>
      <c r="R1885" s="19"/>
    </row>
    <row r="1886" spans="7:18" x14ac:dyDescent="0.25">
      <c r="G1886" s="19"/>
      <c r="J1886" s="19"/>
      <c r="K1886" s="19"/>
      <c r="L1886" s="19"/>
      <c r="R1886" s="19"/>
    </row>
    <row r="1887" spans="7:18" x14ac:dyDescent="0.25">
      <c r="G1887" s="19"/>
      <c r="J1887" s="19"/>
      <c r="K1887" s="19"/>
      <c r="L1887" s="19"/>
      <c r="R1887" s="19"/>
    </row>
    <row r="1888" spans="7:18" x14ac:dyDescent="0.25">
      <c r="G1888" s="19"/>
      <c r="J1888" s="19"/>
      <c r="K1888" s="19"/>
      <c r="L1888" s="19"/>
      <c r="R1888" s="19"/>
    </row>
    <row r="1889" spans="7:18" x14ac:dyDescent="0.25">
      <c r="G1889" s="19"/>
      <c r="J1889" s="19"/>
      <c r="K1889" s="19"/>
      <c r="L1889" s="19"/>
      <c r="R1889" s="19"/>
    </row>
    <row r="1890" spans="7:18" x14ac:dyDescent="0.25">
      <c r="G1890" s="19"/>
      <c r="J1890" s="19"/>
      <c r="K1890" s="19"/>
      <c r="L1890" s="19"/>
      <c r="R1890" s="19"/>
    </row>
    <row r="1891" spans="7:18" x14ac:dyDescent="0.25">
      <c r="G1891" s="19"/>
      <c r="J1891" s="19"/>
      <c r="K1891" s="19"/>
      <c r="L1891" s="19"/>
      <c r="R1891" s="19"/>
    </row>
    <row r="1892" spans="7:18" x14ac:dyDescent="0.25">
      <c r="G1892" s="19"/>
      <c r="J1892" s="19"/>
      <c r="K1892" s="19"/>
      <c r="L1892" s="19"/>
      <c r="R1892" s="19"/>
    </row>
    <row r="1893" spans="7:18" x14ac:dyDescent="0.25">
      <c r="G1893" s="19"/>
      <c r="J1893" s="19"/>
      <c r="K1893" s="19"/>
      <c r="L1893" s="19"/>
      <c r="R1893" s="19"/>
    </row>
    <row r="1894" spans="7:18" x14ac:dyDescent="0.25">
      <c r="G1894" s="19"/>
      <c r="J1894" s="19"/>
      <c r="K1894" s="19"/>
      <c r="L1894" s="19"/>
      <c r="R1894" s="19"/>
    </row>
    <row r="1895" spans="7:18" x14ac:dyDescent="0.25">
      <c r="G1895" s="19"/>
      <c r="J1895" s="19"/>
      <c r="K1895" s="19"/>
      <c r="L1895" s="19"/>
      <c r="R1895" s="19"/>
    </row>
    <row r="1896" spans="7:18" x14ac:dyDescent="0.25">
      <c r="G1896" s="19"/>
      <c r="J1896" s="19"/>
      <c r="K1896" s="19"/>
      <c r="L1896" s="19"/>
      <c r="R1896" s="19"/>
    </row>
    <row r="1897" spans="7:18" x14ac:dyDescent="0.25">
      <c r="G1897" s="19"/>
      <c r="J1897" s="19"/>
      <c r="K1897" s="19"/>
      <c r="L1897" s="19"/>
      <c r="R1897" s="19"/>
    </row>
    <row r="1898" spans="7:18" x14ac:dyDescent="0.25">
      <c r="G1898" s="19"/>
      <c r="J1898" s="19"/>
      <c r="K1898" s="19"/>
      <c r="L1898" s="19"/>
      <c r="R1898" s="19"/>
    </row>
    <row r="1899" spans="7:18" x14ac:dyDescent="0.25">
      <c r="G1899" s="19"/>
      <c r="J1899" s="19"/>
      <c r="K1899" s="19"/>
      <c r="L1899" s="19"/>
      <c r="R1899" s="19"/>
    </row>
    <row r="1900" spans="7:18" x14ac:dyDescent="0.25">
      <c r="G1900" s="19"/>
      <c r="J1900" s="19"/>
      <c r="K1900" s="19"/>
      <c r="L1900" s="19"/>
      <c r="R1900" s="19"/>
    </row>
    <row r="1901" spans="7:18" x14ac:dyDescent="0.25">
      <c r="G1901" s="19"/>
      <c r="J1901" s="19"/>
      <c r="K1901" s="19"/>
      <c r="L1901" s="19"/>
      <c r="R1901" s="19"/>
    </row>
    <row r="1902" spans="7:18" x14ac:dyDescent="0.25">
      <c r="G1902" s="19"/>
      <c r="J1902" s="19"/>
      <c r="K1902" s="19"/>
      <c r="L1902" s="19"/>
      <c r="R1902" s="19"/>
    </row>
    <row r="1903" spans="7:18" x14ac:dyDescent="0.25">
      <c r="G1903" s="19"/>
      <c r="J1903" s="19"/>
      <c r="K1903" s="19"/>
      <c r="L1903" s="19"/>
      <c r="R1903" s="19"/>
    </row>
    <row r="1904" spans="7:18" x14ac:dyDescent="0.25">
      <c r="G1904" s="19"/>
      <c r="J1904" s="19"/>
      <c r="K1904" s="19"/>
      <c r="L1904" s="19"/>
      <c r="R1904" s="19"/>
    </row>
    <row r="1905" spans="7:18" x14ac:dyDescent="0.25">
      <c r="G1905" s="19"/>
      <c r="J1905" s="19"/>
      <c r="K1905" s="19"/>
      <c r="L1905" s="19"/>
      <c r="R1905" s="19"/>
    </row>
    <row r="1906" spans="7:18" x14ac:dyDescent="0.25">
      <c r="G1906" s="19"/>
      <c r="J1906" s="19"/>
      <c r="K1906" s="19"/>
      <c r="L1906" s="19"/>
      <c r="R1906" s="19"/>
    </row>
    <row r="1907" spans="7:18" x14ac:dyDescent="0.25">
      <c r="G1907" s="19"/>
      <c r="J1907" s="19"/>
      <c r="K1907" s="19"/>
      <c r="L1907" s="19"/>
      <c r="R1907" s="19"/>
    </row>
    <row r="1908" spans="7:18" x14ac:dyDescent="0.25">
      <c r="G1908" s="19"/>
      <c r="J1908" s="19"/>
      <c r="K1908" s="19"/>
      <c r="L1908" s="19"/>
      <c r="R1908" s="19"/>
    </row>
    <row r="1909" spans="7:18" x14ac:dyDescent="0.25">
      <c r="G1909" s="19"/>
      <c r="J1909" s="19"/>
      <c r="K1909" s="19"/>
      <c r="L1909" s="19"/>
      <c r="R1909" s="19"/>
    </row>
    <row r="1910" spans="7:18" x14ac:dyDescent="0.25">
      <c r="G1910" s="19"/>
      <c r="J1910" s="19"/>
      <c r="K1910" s="19"/>
      <c r="L1910" s="19"/>
      <c r="R1910" s="19"/>
    </row>
    <row r="1911" spans="7:18" x14ac:dyDescent="0.25">
      <c r="G1911" s="19"/>
      <c r="J1911" s="19"/>
      <c r="K1911" s="19"/>
      <c r="L1911" s="19"/>
      <c r="R1911" s="19"/>
    </row>
    <row r="1912" spans="7:18" x14ac:dyDescent="0.25">
      <c r="G1912" s="19"/>
      <c r="J1912" s="19"/>
      <c r="K1912" s="19"/>
      <c r="L1912" s="19"/>
      <c r="R1912" s="19"/>
    </row>
    <row r="1913" spans="7:18" x14ac:dyDescent="0.25">
      <c r="G1913" s="19"/>
      <c r="J1913" s="19"/>
      <c r="K1913" s="19"/>
      <c r="L1913" s="19"/>
      <c r="R1913" s="19"/>
    </row>
    <row r="1914" spans="7:18" x14ac:dyDescent="0.25">
      <c r="G1914" s="19"/>
      <c r="J1914" s="19"/>
      <c r="K1914" s="19"/>
      <c r="L1914" s="19"/>
      <c r="R1914" s="19"/>
    </row>
    <row r="1915" spans="7:18" x14ac:dyDescent="0.25">
      <c r="G1915" s="19"/>
      <c r="J1915" s="19"/>
      <c r="K1915" s="19"/>
      <c r="L1915" s="19"/>
      <c r="R1915" s="19"/>
    </row>
    <row r="1916" spans="7:18" x14ac:dyDescent="0.25">
      <c r="G1916" s="19"/>
      <c r="J1916" s="19"/>
      <c r="K1916" s="19"/>
      <c r="L1916" s="19"/>
      <c r="R1916" s="19"/>
    </row>
    <row r="1917" spans="7:18" x14ac:dyDescent="0.25">
      <c r="G1917" s="19"/>
      <c r="J1917" s="19"/>
      <c r="K1917" s="19"/>
      <c r="L1917" s="19"/>
      <c r="R1917" s="19"/>
    </row>
    <row r="1918" spans="7:18" x14ac:dyDescent="0.25">
      <c r="G1918" s="19"/>
      <c r="J1918" s="19"/>
      <c r="K1918" s="19"/>
      <c r="L1918" s="19"/>
      <c r="R1918" s="19"/>
    </row>
    <row r="1919" spans="7:18" x14ac:dyDescent="0.25">
      <c r="G1919" s="19"/>
      <c r="J1919" s="19"/>
      <c r="K1919" s="19"/>
      <c r="L1919" s="19"/>
      <c r="R1919" s="19"/>
    </row>
    <row r="1920" spans="7:18" x14ac:dyDescent="0.25">
      <c r="G1920" s="19"/>
      <c r="J1920" s="19"/>
      <c r="K1920" s="19"/>
      <c r="L1920" s="19"/>
      <c r="R1920" s="19"/>
    </row>
    <row r="1921" spans="7:18" x14ac:dyDescent="0.25">
      <c r="G1921" s="19"/>
      <c r="J1921" s="19"/>
      <c r="K1921" s="19"/>
      <c r="L1921" s="19"/>
      <c r="R1921" s="19"/>
    </row>
    <row r="1922" spans="7:18" x14ac:dyDescent="0.25">
      <c r="G1922" s="19"/>
      <c r="J1922" s="19"/>
      <c r="K1922" s="19"/>
      <c r="L1922" s="19"/>
      <c r="R1922" s="19"/>
    </row>
    <row r="1923" spans="7:18" x14ac:dyDescent="0.25">
      <c r="G1923" s="19"/>
      <c r="J1923" s="19"/>
      <c r="K1923" s="19"/>
      <c r="L1923" s="19"/>
      <c r="R1923" s="19"/>
    </row>
    <row r="1924" spans="7:18" x14ac:dyDescent="0.25">
      <c r="G1924" s="19"/>
      <c r="J1924" s="19"/>
      <c r="K1924" s="19"/>
      <c r="L1924" s="19"/>
      <c r="R1924" s="19"/>
    </row>
    <row r="1925" spans="7:18" x14ac:dyDescent="0.25">
      <c r="G1925" s="19"/>
      <c r="J1925" s="19"/>
      <c r="K1925" s="19"/>
      <c r="L1925" s="19"/>
      <c r="R1925" s="19"/>
    </row>
    <row r="1926" spans="7:18" x14ac:dyDescent="0.25">
      <c r="G1926" s="19"/>
      <c r="J1926" s="19"/>
      <c r="K1926" s="19"/>
      <c r="L1926" s="19"/>
      <c r="R1926" s="19"/>
    </row>
    <row r="1927" spans="7:18" x14ac:dyDescent="0.25">
      <c r="G1927" s="19"/>
      <c r="J1927" s="19"/>
      <c r="K1927" s="19"/>
      <c r="L1927" s="19"/>
      <c r="R1927" s="19"/>
    </row>
    <row r="1928" spans="7:18" x14ac:dyDescent="0.25">
      <c r="G1928" s="19"/>
      <c r="J1928" s="19"/>
      <c r="K1928" s="19"/>
      <c r="L1928" s="19"/>
      <c r="R1928" s="19"/>
    </row>
    <row r="1929" spans="7:18" x14ac:dyDescent="0.25">
      <c r="G1929" s="19"/>
      <c r="J1929" s="19"/>
      <c r="K1929" s="19"/>
      <c r="L1929" s="19"/>
      <c r="R1929" s="19"/>
    </row>
    <row r="1930" spans="7:18" x14ac:dyDescent="0.25">
      <c r="G1930" s="19"/>
      <c r="J1930" s="19"/>
      <c r="K1930" s="19"/>
      <c r="L1930" s="19"/>
      <c r="R1930" s="19"/>
    </row>
    <row r="1931" spans="7:18" x14ac:dyDescent="0.25">
      <c r="G1931" s="19"/>
      <c r="J1931" s="19"/>
      <c r="K1931" s="19"/>
      <c r="L1931" s="19"/>
      <c r="R1931" s="19"/>
    </row>
    <row r="1932" spans="7:18" x14ac:dyDescent="0.25">
      <c r="G1932" s="19"/>
      <c r="J1932" s="19"/>
      <c r="K1932" s="19"/>
      <c r="L1932" s="19"/>
      <c r="R1932" s="19"/>
    </row>
    <row r="1933" spans="7:18" x14ac:dyDescent="0.25">
      <c r="G1933" s="19"/>
      <c r="J1933" s="19"/>
      <c r="K1933" s="19"/>
      <c r="L1933" s="19"/>
      <c r="R1933" s="19"/>
    </row>
    <row r="1934" spans="7:18" x14ac:dyDescent="0.25">
      <c r="G1934" s="19"/>
      <c r="J1934" s="19"/>
      <c r="K1934" s="19"/>
      <c r="L1934" s="19"/>
      <c r="R1934" s="19"/>
    </row>
    <row r="1935" spans="7:18" x14ac:dyDescent="0.25">
      <c r="G1935" s="19"/>
      <c r="J1935" s="19"/>
      <c r="K1935" s="19"/>
      <c r="L1935" s="19"/>
      <c r="R1935" s="19"/>
    </row>
    <row r="1936" spans="7:18" x14ac:dyDescent="0.25">
      <c r="G1936" s="19"/>
      <c r="J1936" s="19"/>
      <c r="K1936" s="19"/>
      <c r="L1936" s="19"/>
      <c r="R1936" s="19"/>
    </row>
    <row r="1937" spans="7:18" x14ac:dyDescent="0.25">
      <c r="G1937" s="19"/>
      <c r="J1937" s="19"/>
      <c r="K1937" s="19"/>
      <c r="L1937" s="19"/>
      <c r="R1937" s="19"/>
    </row>
    <row r="1938" spans="7:18" x14ac:dyDescent="0.25">
      <c r="G1938" s="19"/>
      <c r="J1938" s="19"/>
      <c r="K1938" s="19"/>
      <c r="L1938" s="19"/>
      <c r="R1938" s="19"/>
    </row>
    <row r="1939" spans="7:18" x14ac:dyDescent="0.25">
      <c r="G1939" s="19"/>
      <c r="J1939" s="19"/>
      <c r="K1939" s="19"/>
      <c r="L1939" s="19"/>
      <c r="R1939" s="19"/>
    </row>
    <row r="1940" spans="7:18" x14ac:dyDescent="0.25">
      <c r="G1940" s="19"/>
      <c r="J1940" s="19"/>
      <c r="K1940" s="19"/>
      <c r="L1940" s="19"/>
      <c r="R1940" s="19"/>
    </row>
    <row r="1941" spans="7:18" x14ac:dyDescent="0.25">
      <c r="G1941" s="19"/>
      <c r="J1941" s="19"/>
      <c r="K1941" s="19"/>
      <c r="L1941" s="19"/>
      <c r="R1941" s="19"/>
    </row>
    <row r="1942" spans="7:18" x14ac:dyDescent="0.25">
      <c r="G1942" s="19"/>
      <c r="J1942" s="19"/>
      <c r="K1942" s="19"/>
      <c r="L1942" s="19"/>
      <c r="R1942" s="19"/>
    </row>
    <row r="1943" spans="7:18" x14ac:dyDescent="0.25">
      <c r="G1943" s="19"/>
      <c r="J1943" s="19"/>
      <c r="K1943" s="19"/>
      <c r="L1943" s="19"/>
      <c r="R1943" s="19"/>
    </row>
    <row r="1944" spans="7:18" x14ac:dyDescent="0.25">
      <c r="G1944" s="19"/>
      <c r="J1944" s="19"/>
      <c r="K1944" s="19"/>
      <c r="L1944" s="19"/>
      <c r="R1944" s="19"/>
    </row>
    <row r="1945" spans="7:18" x14ac:dyDescent="0.25">
      <c r="G1945" s="19"/>
      <c r="J1945" s="19"/>
      <c r="K1945" s="19"/>
      <c r="L1945" s="19"/>
      <c r="R1945" s="19"/>
    </row>
    <row r="1946" spans="7:18" x14ac:dyDescent="0.25">
      <c r="G1946" s="19"/>
      <c r="J1946" s="19"/>
      <c r="K1946" s="19"/>
      <c r="L1946" s="19"/>
      <c r="R1946" s="19"/>
    </row>
    <row r="1947" spans="7:18" x14ac:dyDescent="0.25">
      <c r="G1947" s="19"/>
      <c r="J1947" s="19"/>
      <c r="K1947" s="19"/>
      <c r="L1947" s="19"/>
      <c r="R1947" s="19"/>
    </row>
    <row r="1948" spans="7:18" x14ac:dyDescent="0.25">
      <c r="G1948" s="19"/>
      <c r="J1948" s="19"/>
      <c r="K1948" s="19"/>
      <c r="L1948" s="19"/>
      <c r="R1948" s="19"/>
    </row>
    <row r="1949" spans="7:18" x14ac:dyDescent="0.25">
      <c r="G1949" s="19"/>
      <c r="J1949" s="19"/>
      <c r="K1949" s="19"/>
      <c r="L1949" s="19"/>
      <c r="R1949" s="19"/>
    </row>
    <row r="1950" spans="7:18" x14ac:dyDescent="0.25">
      <c r="G1950" s="19"/>
      <c r="J1950" s="19"/>
      <c r="K1950" s="19"/>
      <c r="L1950" s="19"/>
      <c r="R1950" s="19"/>
    </row>
    <row r="1951" spans="7:18" x14ac:dyDescent="0.25">
      <c r="G1951" s="19"/>
      <c r="J1951" s="19"/>
      <c r="K1951" s="19"/>
      <c r="L1951" s="19"/>
      <c r="R1951" s="19"/>
    </row>
    <row r="1952" spans="7:18" x14ac:dyDescent="0.25">
      <c r="G1952" s="19"/>
      <c r="J1952" s="19"/>
      <c r="K1952" s="19"/>
      <c r="L1952" s="19"/>
      <c r="R1952" s="19"/>
    </row>
    <row r="1953" spans="7:18" x14ac:dyDescent="0.25">
      <c r="G1953" s="19"/>
      <c r="J1953" s="19"/>
      <c r="K1953" s="19"/>
      <c r="L1953" s="19"/>
      <c r="R1953" s="19"/>
    </row>
    <row r="1954" spans="7:18" x14ac:dyDescent="0.25">
      <c r="G1954" s="19"/>
      <c r="J1954" s="19"/>
      <c r="K1954" s="19"/>
      <c r="L1954" s="19"/>
      <c r="R1954" s="19"/>
    </row>
    <row r="1955" spans="7:18" x14ac:dyDescent="0.25">
      <c r="G1955" s="19"/>
      <c r="J1955" s="19"/>
      <c r="K1955" s="19"/>
      <c r="L1955" s="19"/>
      <c r="R1955" s="19"/>
    </row>
    <row r="1956" spans="7:18" x14ac:dyDescent="0.25">
      <c r="G1956" s="19"/>
      <c r="J1956" s="19"/>
      <c r="K1956" s="19"/>
      <c r="L1956" s="19"/>
      <c r="R1956" s="19"/>
    </row>
    <row r="1957" spans="7:18" x14ac:dyDescent="0.25">
      <c r="G1957" s="19"/>
      <c r="J1957" s="19"/>
      <c r="K1957" s="19"/>
      <c r="L1957" s="19"/>
      <c r="R1957" s="19"/>
    </row>
    <row r="1958" spans="7:18" x14ac:dyDescent="0.25">
      <c r="G1958" s="19"/>
      <c r="J1958" s="19"/>
      <c r="K1958" s="19"/>
      <c r="L1958" s="19"/>
      <c r="R1958" s="19"/>
    </row>
    <row r="1959" spans="7:18" x14ac:dyDescent="0.25">
      <c r="G1959" s="19"/>
      <c r="J1959" s="19"/>
      <c r="K1959" s="19"/>
      <c r="L1959" s="19"/>
      <c r="R1959" s="19"/>
    </row>
    <row r="1960" spans="7:18" x14ac:dyDescent="0.25">
      <c r="G1960" s="19"/>
      <c r="J1960" s="19"/>
      <c r="K1960" s="19"/>
      <c r="L1960" s="19"/>
      <c r="R1960" s="19"/>
    </row>
    <row r="1961" spans="7:18" x14ac:dyDescent="0.25">
      <c r="G1961" s="19"/>
      <c r="J1961" s="19"/>
      <c r="K1961" s="19"/>
      <c r="L1961" s="19"/>
      <c r="R1961" s="19"/>
    </row>
    <row r="1962" spans="7:18" x14ac:dyDescent="0.25">
      <c r="G1962" s="19"/>
      <c r="J1962" s="19"/>
      <c r="K1962" s="19"/>
      <c r="L1962" s="19"/>
      <c r="R1962" s="19"/>
    </row>
    <row r="1963" spans="7:18" x14ac:dyDescent="0.25">
      <c r="G1963" s="19"/>
      <c r="J1963" s="19"/>
      <c r="K1963" s="19"/>
      <c r="L1963" s="19"/>
      <c r="R1963" s="19"/>
    </row>
    <row r="1964" spans="7:18" x14ac:dyDescent="0.25">
      <c r="G1964" s="19"/>
      <c r="J1964" s="19"/>
      <c r="K1964" s="19"/>
      <c r="L1964" s="19"/>
      <c r="R1964" s="19"/>
    </row>
    <row r="1965" spans="7:18" x14ac:dyDescent="0.25">
      <c r="G1965" s="19"/>
      <c r="J1965" s="19"/>
      <c r="K1965" s="19"/>
      <c r="L1965" s="19"/>
      <c r="R1965" s="19"/>
    </row>
    <row r="1966" spans="7:18" x14ac:dyDescent="0.25">
      <c r="G1966" s="19"/>
      <c r="J1966" s="19"/>
      <c r="K1966" s="19"/>
      <c r="L1966" s="19"/>
      <c r="R1966" s="19"/>
    </row>
    <row r="1967" spans="7:18" x14ac:dyDescent="0.25">
      <c r="G1967" s="19"/>
      <c r="J1967" s="19"/>
      <c r="K1967" s="19"/>
      <c r="L1967" s="19"/>
      <c r="R1967" s="19"/>
    </row>
    <row r="1968" spans="7:18" x14ac:dyDescent="0.25">
      <c r="G1968" s="19"/>
      <c r="J1968" s="19"/>
      <c r="K1968" s="19"/>
      <c r="L1968" s="19"/>
      <c r="R1968" s="19"/>
    </row>
    <row r="1969" spans="7:18" x14ac:dyDescent="0.25">
      <c r="G1969" s="19"/>
      <c r="J1969" s="19"/>
      <c r="K1969" s="19"/>
      <c r="L1969" s="19"/>
      <c r="R1969" s="19"/>
    </row>
    <row r="1970" spans="7:18" x14ac:dyDescent="0.25">
      <c r="G1970" s="19"/>
      <c r="J1970" s="19"/>
      <c r="K1970" s="19"/>
      <c r="L1970" s="19"/>
      <c r="R1970" s="19"/>
    </row>
    <row r="1971" spans="7:18" x14ac:dyDescent="0.25">
      <c r="G1971" s="19"/>
      <c r="J1971" s="19"/>
      <c r="K1971" s="19"/>
      <c r="L1971" s="19"/>
      <c r="R1971" s="19"/>
    </row>
    <row r="1972" spans="7:18" x14ac:dyDescent="0.25">
      <c r="G1972" s="19"/>
      <c r="J1972" s="19"/>
      <c r="K1972" s="19"/>
      <c r="L1972" s="19"/>
      <c r="R1972" s="19"/>
    </row>
    <row r="1973" spans="7:18" x14ac:dyDescent="0.25">
      <c r="G1973" s="19"/>
      <c r="J1973" s="19"/>
      <c r="K1973" s="19"/>
      <c r="L1973" s="19"/>
      <c r="R1973" s="19"/>
    </row>
    <row r="1974" spans="7:18" x14ac:dyDescent="0.25">
      <c r="G1974" s="19"/>
      <c r="J1974" s="19"/>
      <c r="K1974" s="19"/>
      <c r="L1974" s="19"/>
      <c r="R1974" s="19"/>
    </row>
    <row r="1975" spans="7:18" x14ac:dyDescent="0.25">
      <c r="G1975" s="19"/>
      <c r="J1975" s="19"/>
      <c r="K1975" s="19"/>
      <c r="L1975" s="19"/>
      <c r="R1975" s="19"/>
    </row>
    <row r="1976" spans="7:18" x14ac:dyDescent="0.25">
      <c r="G1976" s="19"/>
      <c r="J1976" s="19"/>
      <c r="K1976" s="19"/>
      <c r="L1976" s="19"/>
      <c r="R1976" s="19"/>
    </row>
    <row r="1977" spans="7:18" x14ac:dyDescent="0.25">
      <c r="G1977" s="19"/>
      <c r="J1977" s="19"/>
      <c r="K1977" s="19"/>
      <c r="L1977" s="19"/>
      <c r="R1977" s="19"/>
    </row>
    <row r="1978" spans="7:18" x14ac:dyDescent="0.25">
      <c r="G1978" s="19"/>
      <c r="J1978" s="19"/>
      <c r="K1978" s="19"/>
      <c r="L1978" s="19"/>
      <c r="R1978" s="19"/>
    </row>
    <row r="1979" spans="7:18" x14ac:dyDescent="0.25">
      <c r="G1979" s="19"/>
      <c r="J1979" s="19"/>
      <c r="K1979" s="19"/>
      <c r="L1979" s="19"/>
      <c r="R1979" s="19"/>
    </row>
    <row r="1980" spans="7:18" x14ac:dyDescent="0.25">
      <c r="G1980" s="19"/>
      <c r="J1980" s="19"/>
      <c r="K1980" s="19"/>
      <c r="L1980" s="19"/>
      <c r="R1980" s="19"/>
    </row>
    <row r="1981" spans="7:18" x14ac:dyDescent="0.25">
      <c r="G1981" s="19"/>
      <c r="J1981" s="19"/>
      <c r="K1981" s="19"/>
      <c r="L1981" s="19"/>
      <c r="R1981" s="19"/>
    </row>
    <row r="1982" spans="7:18" x14ac:dyDescent="0.25">
      <c r="G1982" s="19"/>
      <c r="J1982" s="19"/>
      <c r="K1982" s="19"/>
      <c r="L1982" s="19"/>
      <c r="R1982" s="19"/>
    </row>
    <row r="1983" spans="7:18" x14ac:dyDescent="0.25">
      <c r="G1983" s="19"/>
      <c r="J1983" s="19"/>
      <c r="K1983" s="19"/>
      <c r="L1983" s="19"/>
      <c r="R1983" s="19"/>
    </row>
    <row r="1984" spans="7:18" x14ac:dyDescent="0.25">
      <c r="G1984" s="19"/>
      <c r="J1984" s="19"/>
      <c r="K1984" s="19"/>
      <c r="L1984" s="19"/>
      <c r="R1984" s="19"/>
    </row>
    <row r="1985" spans="7:18" x14ac:dyDescent="0.25">
      <c r="G1985" s="19"/>
      <c r="J1985" s="19"/>
      <c r="K1985" s="19"/>
      <c r="L1985" s="19"/>
      <c r="R1985" s="19"/>
    </row>
    <row r="1986" spans="7:18" x14ac:dyDescent="0.25">
      <c r="G1986" s="19"/>
      <c r="J1986" s="19"/>
      <c r="K1986" s="19"/>
      <c r="L1986" s="19"/>
      <c r="R1986" s="19"/>
    </row>
    <row r="1987" spans="7:18" x14ac:dyDescent="0.25">
      <c r="G1987" s="19"/>
      <c r="J1987" s="19"/>
      <c r="K1987" s="19"/>
      <c r="L1987" s="19"/>
      <c r="R1987" s="19"/>
    </row>
    <row r="1988" spans="7:18" x14ac:dyDescent="0.25">
      <c r="G1988" s="19"/>
      <c r="J1988" s="19"/>
      <c r="K1988" s="19"/>
      <c r="L1988" s="19"/>
      <c r="R1988" s="19"/>
    </row>
    <row r="1989" spans="7:18" x14ac:dyDescent="0.25">
      <c r="G1989" s="19"/>
      <c r="J1989" s="19"/>
      <c r="K1989" s="19"/>
      <c r="L1989" s="19"/>
      <c r="R1989" s="19"/>
    </row>
    <row r="1990" spans="7:18" x14ac:dyDescent="0.25">
      <c r="G1990" s="19"/>
      <c r="J1990" s="19"/>
      <c r="K1990" s="19"/>
      <c r="L1990" s="19"/>
      <c r="R1990" s="19"/>
    </row>
    <row r="1991" spans="7:18" x14ac:dyDescent="0.25">
      <c r="G1991" s="19"/>
      <c r="J1991" s="19"/>
      <c r="K1991" s="19"/>
      <c r="L1991" s="19"/>
      <c r="R1991" s="19"/>
    </row>
    <row r="1992" spans="7:18" x14ac:dyDescent="0.25">
      <c r="G1992" s="19"/>
      <c r="J1992" s="19"/>
      <c r="K1992" s="19"/>
      <c r="L1992" s="19"/>
      <c r="R1992" s="19"/>
    </row>
    <row r="1993" spans="7:18" x14ac:dyDescent="0.25">
      <c r="G1993" s="19"/>
      <c r="J1993" s="19"/>
      <c r="K1993" s="19"/>
      <c r="L1993" s="19"/>
      <c r="R1993" s="19"/>
    </row>
    <row r="1994" spans="7:18" x14ac:dyDescent="0.25">
      <c r="G1994" s="19"/>
      <c r="J1994" s="19"/>
      <c r="K1994" s="19"/>
      <c r="L1994" s="19"/>
      <c r="R1994" s="19"/>
    </row>
    <row r="1995" spans="7:18" x14ac:dyDescent="0.25">
      <c r="G1995" s="19"/>
      <c r="J1995" s="19"/>
      <c r="K1995" s="19"/>
      <c r="L1995" s="19"/>
      <c r="R1995" s="19"/>
    </row>
    <row r="1996" spans="7:18" x14ac:dyDescent="0.25">
      <c r="G1996" s="19"/>
      <c r="J1996" s="19"/>
      <c r="K1996" s="19"/>
      <c r="L1996" s="19"/>
      <c r="R1996" s="19"/>
    </row>
    <row r="1997" spans="7:18" x14ac:dyDescent="0.25">
      <c r="G1997" s="19"/>
      <c r="J1997" s="19"/>
      <c r="K1997" s="19"/>
      <c r="L1997" s="19"/>
      <c r="R1997" s="19"/>
    </row>
    <row r="1998" spans="7:18" x14ac:dyDescent="0.25">
      <c r="G1998" s="19"/>
      <c r="J1998" s="19"/>
      <c r="K1998" s="19"/>
      <c r="L1998" s="19"/>
      <c r="R1998" s="19"/>
    </row>
    <row r="1999" spans="7:18" x14ac:dyDescent="0.25">
      <c r="G1999" s="19"/>
      <c r="J1999" s="19"/>
      <c r="K1999" s="19"/>
      <c r="L1999" s="19"/>
      <c r="R1999" s="19"/>
    </row>
    <row r="2000" spans="7:18" x14ac:dyDescent="0.25">
      <c r="G2000" s="19"/>
      <c r="J2000" s="19"/>
      <c r="K2000" s="19"/>
      <c r="L2000" s="19"/>
      <c r="R2000" s="19"/>
    </row>
    <row r="2002" spans="7:18" x14ac:dyDescent="0.25">
      <c r="G2002" s="19"/>
      <c r="J2002" s="19"/>
      <c r="K2002" s="19"/>
      <c r="L2002" s="19"/>
      <c r="R2002" s="19"/>
    </row>
    <row r="2003" spans="7:18" x14ac:dyDescent="0.25">
      <c r="G2003" s="19"/>
      <c r="J2003" s="19"/>
      <c r="K2003" s="19"/>
      <c r="L2003" s="19"/>
      <c r="R2003" s="19"/>
    </row>
    <row r="2004" spans="7:18" x14ac:dyDescent="0.25">
      <c r="G2004" s="19"/>
      <c r="J2004" s="19"/>
      <c r="K2004" s="19"/>
      <c r="L2004" s="19"/>
      <c r="R2004" s="19"/>
    </row>
    <row r="2005" spans="7:18" x14ac:dyDescent="0.25">
      <c r="G2005" s="19"/>
      <c r="J2005" s="19"/>
      <c r="K2005" s="19"/>
      <c r="L2005" s="19"/>
      <c r="R2005" s="19"/>
    </row>
    <row r="2006" spans="7:18" x14ac:dyDescent="0.25">
      <c r="G2006" s="19"/>
      <c r="J2006" s="19"/>
      <c r="K2006" s="19"/>
      <c r="L2006" s="19"/>
      <c r="R2006" s="19"/>
    </row>
    <row r="2007" spans="7:18" x14ac:dyDescent="0.25">
      <c r="G2007" s="19"/>
      <c r="J2007" s="19"/>
      <c r="K2007" s="19"/>
      <c r="L2007" s="19"/>
      <c r="R2007" s="19"/>
    </row>
    <row r="2008" spans="7:18" x14ac:dyDescent="0.25">
      <c r="G2008" s="19"/>
      <c r="J2008" s="19"/>
      <c r="K2008" s="19"/>
      <c r="L2008" s="19"/>
      <c r="R2008" s="19"/>
    </row>
    <row r="2009" spans="7:18" x14ac:dyDescent="0.25">
      <c r="G2009" s="19"/>
      <c r="J2009" s="19"/>
      <c r="K2009" s="19"/>
      <c r="L2009" s="19"/>
      <c r="R2009" s="19"/>
    </row>
    <row r="2010" spans="7:18" x14ac:dyDescent="0.25">
      <c r="G2010" s="19"/>
      <c r="J2010" s="19"/>
      <c r="K2010" s="19"/>
      <c r="L2010" s="19"/>
      <c r="R2010" s="19"/>
    </row>
    <row r="2011" spans="7:18" x14ac:dyDescent="0.25">
      <c r="G2011" s="19"/>
      <c r="J2011" s="19"/>
      <c r="K2011" s="19"/>
      <c r="L2011" s="19"/>
      <c r="R2011" s="19"/>
    </row>
    <row r="2012" spans="7:18" x14ac:dyDescent="0.25">
      <c r="G2012" s="19"/>
      <c r="J2012" s="19"/>
      <c r="K2012" s="19"/>
      <c r="L2012" s="19"/>
      <c r="R2012" s="19"/>
    </row>
    <row r="2013" spans="7:18" x14ac:dyDescent="0.25">
      <c r="G2013" s="19"/>
      <c r="J2013" s="19"/>
      <c r="K2013" s="19"/>
      <c r="L2013" s="19"/>
      <c r="R2013" s="19"/>
    </row>
    <row r="2014" spans="7:18" x14ac:dyDescent="0.25">
      <c r="G2014" s="19"/>
      <c r="J2014" s="19"/>
      <c r="K2014" s="19"/>
      <c r="L2014" s="19"/>
      <c r="R2014" s="19"/>
    </row>
    <row r="2015" spans="7:18" x14ac:dyDescent="0.25">
      <c r="G2015" s="19"/>
      <c r="J2015" s="19"/>
      <c r="K2015" s="19"/>
      <c r="L2015" s="19"/>
      <c r="R2015" s="19"/>
    </row>
    <row r="2016" spans="7:18" x14ac:dyDescent="0.25">
      <c r="G2016" s="19"/>
      <c r="J2016" s="19"/>
      <c r="K2016" s="19"/>
      <c r="L2016" s="19"/>
      <c r="R2016" s="19"/>
    </row>
    <row r="2017" spans="7:18" x14ac:dyDescent="0.25">
      <c r="G2017" s="19"/>
      <c r="J2017" s="19"/>
      <c r="K2017" s="19"/>
      <c r="L2017" s="19"/>
      <c r="R2017" s="19"/>
    </row>
    <row r="2018" spans="7:18" x14ac:dyDescent="0.25">
      <c r="G2018" s="19"/>
      <c r="J2018" s="19"/>
      <c r="K2018" s="19"/>
      <c r="L2018" s="19"/>
      <c r="R2018" s="19"/>
    </row>
    <row r="2019" spans="7:18" x14ac:dyDescent="0.25">
      <c r="G2019" s="19"/>
      <c r="J2019" s="19"/>
      <c r="K2019" s="19"/>
      <c r="L2019" s="19"/>
      <c r="R2019" s="19"/>
    </row>
    <row r="2020" spans="7:18" x14ac:dyDescent="0.25">
      <c r="G2020" s="19"/>
      <c r="J2020" s="19"/>
      <c r="K2020" s="19"/>
      <c r="L2020" s="19"/>
      <c r="R2020" s="19"/>
    </row>
    <row r="2021" spans="7:18" x14ac:dyDescent="0.25">
      <c r="G2021" s="19"/>
      <c r="J2021" s="19"/>
      <c r="K2021" s="19"/>
      <c r="L2021" s="19"/>
      <c r="R2021" s="19"/>
    </row>
    <row r="2022" spans="7:18" x14ac:dyDescent="0.25">
      <c r="G2022" s="19"/>
      <c r="J2022" s="19"/>
      <c r="K2022" s="19"/>
      <c r="L2022" s="19"/>
      <c r="R2022" s="19"/>
    </row>
    <row r="2023" spans="7:18" x14ac:dyDescent="0.25">
      <c r="G2023" s="19"/>
      <c r="J2023" s="19"/>
      <c r="K2023" s="19"/>
      <c r="L2023" s="19"/>
      <c r="R2023" s="19"/>
    </row>
    <row r="2024" spans="7:18" x14ac:dyDescent="0.25">
      <c r="G2024" s="19"/>
      <c r="J2024" s="19"/>
      <c r="K2024" s="19"/>
      <c r="L2024" s="19"/>
      <c r="R2024" s="19"/>
    </row>
    <row r="2025" spans="7:18" x14ac:dyDescent="0.25">
      <c r="G2025" s="19"/>
      <c r="J2025" s="19"/>
      <c r="K2025" s="19"/>
      <c r="L2025" s="19"/>
      <c r="R2025" s="19"/>
    </row>
    <row r="2026" spans="7:18" x14ac:dyDescent="0.25">
      <c r="G2026" s="19"/>
      <c r="J2026" s="19"/>
      <c r="K2026" s="19"/>
      <c r="L2026" s="19"/>
      <c r="R2026" s="19"/>
    </row>
    <row r="2027" spans="7:18" x14ac:dyDescent="0.25">
      <c r="G2027" s="19"/>
      <c r="J2027" s="19"/>
      <c r="K2027" s="19"/>
      <c r="L2027" s="19"/>
      <c r="R2027" s="19"/>
    </row>
    <row r="2028" spans="7:18" x14ac:dyDescent="0.25">
      <c r="G2028" s="19"/>
      <c r="J2028" s="19"/>
      <c r="K2028" s="19"/>
      <c r="L2028" s="19"/>
      <c r="R2028" s="19"/>
    </row>
    <row r="2029" spans="7:18" x14ac:dyDescent="0.25">
      <c r="G2029" s="19"/>
      <c r="J2029" s="19"/>
      <c r="K2029" s="19"/>
      <c r="L2029" s="19"/>
      <c r="R2029" s="19"/>
    </row>
    <row r="2030" spans="7:18" x14ac:dyDescent="0.25">
      <c r="G2030" s="19"/>
      <c r="J2030" s="19"/>
      <c r="K2030" s="19"/>
      <c r="L2030" s="19"/>
      <c r="R2030" s="19"/>
    </row>
    <row r="2031" spans="7:18" x14ac:dyDescent="0.25">
      <c r="G2031" s="19"/>
      <c r="J2031" s="19"/>
      <c r="K2031" s="19"/>
      <c r="L2031" s="19"/>
      <c r="R2031" s="19"/>
    </row>
    <row r="2032" spans="7:18" x14ac:dyDescent="0.25">
      <c r="G2032" s="19"/>
      <c r="J2032" s="19"/>
      <c r="K2032" s="19"/>
      <c r="L2032" s="19"/>
      <c r="R2032" s="19"/>
    </row>
    <row r="2033" spans="7:18" x14ac:dyDescent="0.25">
      <c r="G2033" s="19"/>
      <c r="J2033" s="19"/>
      <c r="K2033" s="19"/>
      <c r="L2033" s="19"/>
      <c r="R2033" s="19"/>
    </row>
    <row r="2034" spans="7:18" x14ac:dyDescent="0.25">
      <c r="G2034" s="19"/>
      <c r="J2034" s="19"/>
      <c r="K2034" s="19"/>
      <c r="L2034" s="19"/>
      <c r="R2034" s="19"/>
    </row>
    <row r="2035" spans="7:18" x14ac:dyDescent="0.25">
      <c r="G2035" s="19"/>
      <c r="J2035" s="19"/>
      <c r="K2035" s="19"/>
      <c r="L2035" s="19"/>
      <c r="R2035" s="19"/>
    </row>
    <row r="2036" spans="7:18" x14ac:dyDescent="0.25">
      <c r="G2036" s="19"/>
      <c r="J2036" s="19"/>
      <c r="K2036" s="19"/>
      <c r="L2036" s="19"/>
      <c r="R2036" s="19"/>
    </row>
    <row r="2037" spans="7:18" x14ac:dyDescent="0.25">
      <c r="G2037" s="19"/>
      <c r="J2037" s="19"/>
      <c r="K2037" s="19"/>
      <c r="L2037" s="19"/>
      <c r="R2037" s="19"/>
    </row>
    <row r="2038" spans="7:18" x14ac:dyDescent="0.25">
      <c r="G2038" s="19"/>
      <c r="J2038" s="19"/>
      <c r="K2038" s="19"/>
      <c r="L2038" s="19"/>
      <c r="R2038" s="19"/>
    </row>
    <row r="2039" spans="7:18" x14ac:dyDescent="0.25">
      <c r="G2039" s="19"/>
      <c r="J2039" s="19"/>
      <c r="K2039" s="19"/>
      <c r="L2039" s="19"/>
      <c r="R2039" s="19"/>
    </row>
    <row r="2040" spans="7:18" x14ac:dyDescent="0.25">
      <c r="G2040" s="19"/>
      <c r="J2040" s="19"/>
      <c r="K2040" s="19"/>
      <c r="L2040" s="19"/>
      <c r="R2040" s="19"/>
    </row>
    <row r="2041" spans="7:18" x14ac:dyDescent="0.25">
      <c r="G2041" s="19"/>
      <c r="J2041" s="19"/>
      <c r="K2041" s="19"/>
      <c r="L2041" s="19"/>
      <c r="R2041" s="19"/>
    </row>
    <row r="2042" spans="7:18" x14ac:dyDescent="0.25">
      <c r="G2042" s="19"/>
      <c r="J2042" s="19"/>
      <c r="K2042" s="19"/>
      <c r="L2042" s="19"/>
      <c r="R2042" s="19"/>
    </row>
    <row r="2043" spans="7:18" x14ac:dyDescent="0.25">
      <c r="G2043" s="19"/>
      <c r="J2043" s="19"/>
      <c r="K2043" s="19"/>
      <c r="L2043" s="19"/>
      <c r="R2043" s="19"/>
    </row>
    <row r="2044" spans="7:18" x14ac:dyDescent="0.25">
      <c r="G2044" s="19"/>
      <c r="J2044" s="19"/>
      <c r="K2044" s="19"/>
      <c r="L2044" s="19"/>
      <c r="R2044" s="19"/>
    </row>
    <row r="2045" spans="7:18" x14ac:dyDescent="0.25">
      <c r="G2045" s="19"/>
      <c r="J2045" s="19"/>
      <c r="K2045" s="19"/>
      <c r="L2045" s="19"/>
      <c r="R2045" s="19"/>
    </row>
    <row r="2046" spans="7:18" x14ac:dyDescent="0.25">
      <c r="G2046" s="19"/>
      <c r="J2046" s="19"/>
      <c r="K2046" s="19"/>
      <c r="L2046" s="19"/>
      <c r="R2046" s="19"/>
    </row>
    <row r="2047" spans="7:18" x14ac:dyDescent="0.25">
      <c r="G2047" s="19"/>
      <c r="J2047" s="19"/>
      <c r="K2047" s="19"/>
      <c r="L2047" s="19"/>
      <c r="R2047" s="19"/>
    </row>
    <row r="2048" spans="7:18" x14ac:dyDescent="0.25">
      <c r="G2048" s="19"/>
      <c r="J2048" s="19"/>
      <c r="K2048" s="19"/>
      <c r="L2048" s="19"/>
      <c r="R2048" s="19"/>
    </row>
    <row r="2049" spans="7:18" x14ac:dyDescent="0.25">
      <c r="G2049" s="19"/>
      <c r="J2049" s="19"/>
      <c r="K2049" s="19"/>
      <c r="L2049" s="19"/>
      <c r="R2049" s="19"/>
    </row>
    <row r="2050" spans="7:18" x14ac:dyDescent="0.25">
      <c r="G2050" s="19"/>
      <c r="J2050" s="19"/>
      <c r="K2050" s="19"/>
      <c r="L2050" s="19"/>
      <c r="R2050" s="19"/>
    </row>
    <row r="2051" spans="7:18" x14ac:dyDescent="0.25">
      <c r="G2051" s="19"/>
      <c r="J2051" s="19"/>
      <c r="K2051" s="19"/>
      <c r="L2051" s="19"/>
      <c r="R2051" s="19"/>
    </row>
    <row r="2052" spans="7:18" x14ac:dyDescent="0.25">
      <c r="G2052" s="19"/>
      <c r="J2052" s="19"/>
      <c r="K2052" s="19"/>
      <c r="L2052" s="19"/>
      <c r="R2052" s="19"/>
    </row>
    <row r="2053" spans="7:18" x14ac:dyDescent="0.25">
      <c r="G2053" s="19"/>
      <c r="J2053" s="19"/>
      <c r="K2053" s="19"/>
      <c r="L2053" s="19"/>
      <c r="R2053" s="19"/>
    </row>
    <row r="2054" spans="7:18" x14ac:dyDescent="0.25">
      <c r="G2054" s="19"/>
      <c r="J2054" s="19"/>
      <c r="K2054" s="19"/>
      <c r="L2054" s="19"/>
      <c r="R2054" s="19"/>
    </row>
    <row r="2055" spans="7:18" x14ac:dyDescent="0.25">
      <c r="G2055" s="19"/>
      <c r="J2055" s="19"/>
      <c r="K2055" s="19"/>
      <c r="L2055" s="19"/>
      <c r="R2055" s="19"/>
    </row>
    <row r="2056" spans="7:18" x14ac:dyDescent="0.25">
      <c r="G2056" s="19"/>
      <c r="J2056" s="19"/>
      <c r="K2056" s="19"/>
      <c r="L2056" s="19"/>
      <c r="R2056" s="19"/>
    </row>
    <row r="2057" spans="7:18" x14ac:dyDescent="0.25">
      <c r="G2057" s="19"/>
      <c r="J2057" s="19"/>
      <c r="K2057" s="19"/>
      <c r="L2057" s="19"/>
      <c r="R2057" s="19"/>
    </row>
    <row r="2058" spans="7:18" x14ac:dyDescent="0.25">
      <c r="G2058" s="19"/>
      <c r="J2058" s="19"/>
      <c r="K2058" s="19"/>
      <c r="L2058" s="19"/>
      <c r="R2058" s="19"/>
    </row>
    <row r="2059" spans="7:18" x14ac:dyDescent="0.25">
      <c r="G2059" s="19"/>
      <c r="J2059" s="19"/>
      <c r="K2059" s="19"/>
      <c r="L2059" s="19"/>
      <c r="R2059" s="19"/>
    </row>
    <row r="2060" spans="7:18" x14ac:dyDescent="0.25">
      <c r="G2060" s="19"/>
      <c r="J2060" s="19"/>
      <c r="K2060" s="19"/>
      <c r="L2060" s="19"/>
      <c r="R2060" s="19"/>
    </row>
    <row r="2061" spans="7:18" x14ac:dyDescent="0.25">
      <c r="G2061" s="19"/>
      <c r="J2061" s="19"/>
      <c r="K2061" s="19"/>
      <c r="L2061" s="19"/>
      <c r="R2061" s="19"/>
    </row>
    <row r="2062" spans="7:18" x14ac:dyDescent="0.25">
      <c r="G2062" s="19"/>
      <c r="J2062" s="19"/>
      <c r="K2062" s="19"/>
      <c r="L2062" s="19"/>
      <c r="R2062" s="19"/>
    </row>
    <row r="2063" spans="7:18" x14ac:dyDescent="0.25">
      <c r="G2063" s="19"/>
      <c r="J2063" s="19"/>
      <c r="K2063" s="19"/>
      <c r="L2063" s="19"/>
      <c r="R2063" s="19"/>
    </row>
    <row r="2064" spans="7:18" x14ac:dyDescent="0.25">
      <c r="G2064" s="19"/>
      <c r="J2064" s="19"/>
      <c r="K2064" s="19"/>
      <c r="L2064" s="19"/>
      <c r="R2064" s="19"/>
    </row>
    <row r="2065" spans="7:18" x14ac:dyDescent="0.25">
      <c r="G2065" s="19"/>
      <c r="J2065" s="19"/>
      <c r="K2065" s="19"/>
      <c r="L2065" s="19"/>
      <c r="R2065" s="19"/>
    </row>
    <row r="2066" spans="7:18" x14ac:dyDescent="0.25">
      <c r="G2066" s="19"/>
      <c r="J2066" s="19"/>
      <c r="K2066" s="19"/>
      <c r="L2066" s="19"/>
      <c r="R2066" s="19"/>
    </row>
    <row r="2067" spans="7:18" x14ac:dyDescent="0.25">
      <c r="G2067" s="19"/>
      <c r="J2067" s="19"/>
      <c r="K2067" s="19"/>
      <c r="L2067" s="19"/>
      <c r="R2067" s="19"/>
    </row>
    <row r="2068" spans="7:18" x14ac:dyDescent="0.25">
      <c r="G2068" s="19"/>
      <c r="J2068" s="19"/>
      <c r="K2068" s="19"/>
      <c r="L2068" s="19"/>
      <c r="R2068" s="19"/>
    </row>
    <row r="2069" spans="7:18" x14ac:dyDescent="0.25">
      <c r="G2069" s="19"/>
      <c r="J2069" s="19"/>
      <c r="K2069" s="19"/>
      <c r="L2069" s="19"/>
      <c r="R2069" s="19"/>
    </row>
    <row r="2070" spans="7:18" x14ac:dyDescent="0.25">
      <c r="G2070" s="19"/>
      <c r="J2070" s="19"/>
      <c r="K2070" s="19"/>
      <c r="L2070" s="19"/>
      <c r="R2070" s="19"/>
    </row>
    <row r="2071" spans="7:18" x14ac:dyDescent="0.25">
      <c r="G2071" s="19"/>
      <c r="J2071" s="19"/>
      <c r="K2071" s="19"/>
      <c r="L2071" s="19"/>
      <c r="R2071" s="19"/>
    </row>
    <row r="2072" spans="7:18" x14ac:dyDescent="0.25">
      <c r="G2072" s="19"/>
      <c r="J2072" s="19"/>
      <c r="K2072" s="19"/>
      <c r="L2072" s="19"/>
      <c r="R2072" s="19"/>
    </row>
    <row r="2073" spans="7:18" x14ac:dyDescent="0.25">
      <c r="G2073" s="19"/>
      <c r="J2073" s="19"/>
      <c r="K2073" s="19"/>
      <c r="L2073" s="19"/>
      <c r="R2073" s="19"/>
    </row>
    <row r="2074" spans="7:18" x14ac:dyDescent="0.25">
      <c r="G2074" s="19"/>
      <c r="J2074" s="19"/>
      <c r="K2074" s="19"/>
      <c r="L2074" s="19"/>
      <c r="R2074" s="19"/>
    </row>
    <row r="2075" spans="7:18" x14ac:dyDescent="0.25">
      <c r="G2075" s="19"/>
      <c r="J2075" s="19"/>
      <c r="K2075" s="19"/>
      <c r="L2075" s="19"/>
      <c r="R2075" s="19"/>
    </row>
    <row r="2076" spans="7:18" x14ac:dyDescent="0.25">
      <c r="G2076" s="19"/>
      <c r="J2076" s="19"/>
      <c r="K2076" s="19"/>
      <c r="L2076" s="19"/>
      <c r="R2076" s="19"/>
    </row>
    <row r="2077" spans="7:18" x14ac:dyDescent="0.25">
      <c r="G2077" s="19"/>
      <c r="J2077" s="19"/>
      <c r="K2077" s="19"/>
      <c r="L2077" s="19"/>
      <c r="R2077" s="19"/>
    </row>
    <row r="2078" spans="7:18" x14ac:dyDescent="0.25">
      <c r="G2078" s="19"/>
      <c r="J2078" s="19"/>
      <c r="K2078" s="19"/>
      <c r="L2078" s="19"/>
      <c r="R2078" s="19"/>
    </row>
    <row r="2079" spans="7:18" x14ac:dyDescent="0.25">
      <c r="G2079" s="19"/>
      <c r="J2079" s="19"/>
      <c r="K2079" s="19"/>
      <c r="L2079" s="19"/>
      <c r="R2079" s="19"/>
    </row>
    <row r="2080" spans="7:18" x14ac:dyDescent="0.25">
      <c r="G2080" s="19"/>
      <c r="J2080" s="19"/>
      <c r="K2080" s="19"/>
      <c r="L2080" s="19"/>
      <c r="R2080" s="19"/>
    </row>
    <row r="2081" spans="7:18" x14ac:dyDescent="0.25">
      <c r="G2081" s="19"/>
      <c r="J2081" s="19"/>
      <c r="K2081" s="19"/>
      <c r="L2081" s="19"/>
      <c r="R2081" s="19"/>
    </row>
    <row r="2082" spans="7:18" x14ac:dyDescent="0.25">
      <c r="G2082" s="19"/>
      <c r="J2082" s="19"/>
      <c r="K2082" s="19"/>
      <c r="L2082" s="19"/>
      <c r="R2082" s="19"/>
    </row>
    <row r="2083" spans="7:18" x14ac:dyDescent="0.25">
      <c r="G2083" s="19"/>
      <c r="J2083" s="19"/>
      <c r="K2083" s="19"/>
      <c r="L2083" s="19"/>
      <c r="R2083" s="19"/>
    </row>
    <row r="2084" spans="7:18" x14ac:dyDescent="0.25">
      <c r="G2084" s="19"/>
      <c r="J2084" s="19"/>
      <c r="K2084" s="19"/>
      <c r="L2084" s="19"/>
      <c r="R2084" s="19"/>
    </row>
    <row r="2085" spans="7:18" x14ac:dyDescent="0.25">
      <c r="G2085" s="19"/>
      <c r="J2085" s="19"/>
      <c r="K2085" s="19"/>
      <c r="L2085" s="19"/>
      <c r="R2085" s="19"/>
    </row>
    <row r="2086" spans="7:18" x14ac:dyDescent="0.25">
      <c r="G2086" s="19"/>
      <c r="J2086" s="19"/>
      <c r="K2086" s="19"/>
      <c r="L2086" s="19"/>
      <c r="R2086" s="19"/>
    </row>
    <row r="2087" spans="7:18" x14ac:dyDescent="0.25">
      <c r="G2087" s="19"/>
      <c r="J2087" s="19"/>
      <c r="K2087" s="19"/>
      <c r="L2087" s="19"/>
      <c r="R2087" s="19"/>
    </row>
    <row r="2088" spans="7:18" x14ac:dyDescent="0.25">
      <c r="G2088" s="19"/>
      <c r="J2088" s="19"/>
      <c r="K2088" s="19"/>
      <c r="L2088" s="19"/>
      <c r="R2088" s="19"/>
    </row>
    <row r="2089" spans="7:18" x14ac:dyDescent="0.25">
      <c r="G2089" s="19"/>
      <c r="J2089" s="19"/>
      <c r="K2089" s="19"/>
      <c r="L2089" s="19"/>
      <c r="R2089" s="19"/>
    </row>
    <row r="2090" spans="7:18" x14ac:dyDescent="0.25">
      <c r="G2090" s="19"/>
      <c r="J2090" s="19"/>
      <c r="K2090" s="19"/>
      <c r="L2090" s="19"/>
      <c r="R2090" s="19"/>
    </row>
    <row r="2091" spans="7:18" x14ac:dyDescent="0.25">
      <c r="G2091" s="19"/>
      <c r="J2091" s="19"/>
      <c r="K2091" s="19"/>
      <c r="L2091" s="19"/>
      <c r="R2091" s="19"/>
    </row>
    <row r="2092" spans="7:18" x14ac:dyDescent="0.25">
      <c r="G2092" s="19"/>
      <c r="J2092" s="19"/>
      <c r="K2092" s="19"/>
      <c r="L2092" s="19"/>
      <c r="R2092" s="19"/>
    </row>
    <row r="2093" spans="7:18" x14ac:dyDescent="0.25">
      <c r="G2093" s="19"/>
      <c r="J2093" s="19"/>
      <c r="K2093" s="19"/>
      <c r="L2093" s="19"/>
      <c r="R2093" s="19"/>
    </row>
    <row r="2094" spans="7:18" x14ac:dyDescent="0.25">
      <c r="G2094" s="19"/>
      <c r="J2094" s="19"/>
      <c r="K2094" s="19"/>
      <c r="L2094" s="19"/>
      <c r="R2094" s="19"/>
    </row>
    <row r="2095" spans="7:18" x14ac:dyDescent="0.25">
      <c r="G2095" s="19"/>
      <c r="J2095" s="19"/>
      <c r="K2095" s="19"/>
      <c r="L2095" s="19"/>
      <c r="R2095" s="19"/>
    </row>
    <row r="2096" spans="7:18" x14ac:dyDescent="0.25">
      <c r="G2096" s="19"/>
      <c r="J2096" s="19"/>
      <c r="K2096" s="19"/>
      <c r="L2096" s="19"/>
      <c r="R2096" s="19"/>
    </row>
    <row r="2097" spans="7:18" x14ac:dyDescent="0.25">
      <c r="G2097" s="19"/>
      <c r="J2097" s="19"/>
      <c r="K2097" s="19"/>
      <c r="L2097" s="19"/>
      <c r="R2097" s="19"/>
    </row>
    <row r="2098" spans="7:18" x14ac:dyDescent="0.25">
      <c r="G2098" s="19"/>
      <c r="J2098" s="19"/>
      <c r="K2098" s="19"/>
      <c r="L2098" s="19"/>
      <c r="R2098" s="19"/>
    </row>
    <row r="2099" spans="7:18" x14ac:dyDescent="0.25">
      <c r="G2099" s="19"/>
      <c r="J2099" s="19"/>
      <c r="K2099" s="19"/>
      <c r="L2099" s="19"/>
      <c r="R2099" s="19"/>
    </row>
    <row r="2100" spans="7:18" x14ac:dyDescent="0.25">
      <c r="G2100" s="19"/>
      <c r="J2100" s="19"/>
      <c r="K2100" s="19"/>
      <c r="L2100" s="19"/>
      <c r="R2100" s="19"/>
    </row>
    <row r="2101" spans="7:18" x14ac:dyDescent="0.25">
      <c r="G2101" s="19"/>
      <c r="J2101" s="19"/>
      <c r="K2101" s="19"/>
      <c r="L2101" s="19"/>
      <c r="R2101" s="19"/>
    </row>
    <row r="2102" spans="7:18" x14ac:dyDescent="0.25">
      <c r="G2102" s="19"/>
      <c r="J2102" s="19"/>
      <c r="K2102" s="19"/>
      <c r="L2102" s="19"/>
      <c r="R2102" s="19"/>
    </row>
    <row r="2103" spans="7:18" x14ac:dyDescent="0.25">
      <c r="G2103" s="19"/>
      <c r="J2103" s="19"/>
      <c r="K2103" s="19"/>
      <c r="L2103" s="19"/>
      <c r="R2103" s="19"/>
    </row>
    <row r="2104" spans="7:18" x14ac:dyDescent="0.25">
      <c r="G2104" s="19"/>
      <c r="J2104" s="19"/>
      <c r="K2104" s="19"/>
      <c r="L2104" s="19"/>
      <c r="R2104" s="19"/>
    </row>
    <row r="2105" spans="7:18" x14ac:dyDescent="0.25">
      <c r="G2105" s="19"/>
      <c r="J2105" s="19"/>
      <c r="K2105" s="19"/>
      <c r="L2105" s="19"/>
      <c r="R2105" s="19"/>
    </row>
    <row r="2106" spans="7:18" x14ac:dyDescent="0.25">
      <c r="G2106" s="19"/>
      <c r="J2106" s="19"/>
      <c r="K2106" s="19"/>
      <c r="L2106" s="19"/>
      <c r="R2106" s="19"/>
    </row>
    <row r="2107" spans="7:18" x14ac:dyDescent="0.25">
      <c r="G2107" s="19"/>
      <c r="J2107" s="19"/>
      <c r="K2107" s="19"/>
      <c r="L2107" s="19"/>
      <c r="R2107" s="19"/>
    </row>
    <row r="2108" spans="7:18" x14ac:dyDescent="0.25">
      <c r="G2108" s="19"/>
      <c r="J2108" s="19"/>
      <c r="K2108" s="19"/>
      <c r="L2108" s="19"/>
      <c r="R2108" s="19"/>
    </row>
    <row r="2109" spans="7:18" x14ac:dyDescent="0.25">
      <c r="G2109" s="19"/>
      <c r="J2109" s="19"/>
      <c r="K2109" s="19"/>
      <c r="L2109" s="19"/>
      <c r="R2109" s="19"/>
    </row>
    <row r="2110" spans="7:18" x14ac:dyDescent="0.25">
      <c r="G2110" s="19"/>
      <c r="J2110" s="19"/>
      <c r="K2110" s="19"/>
      <c r="L2110" s="19"/>
      <c r="R2110" s="19"/>
    </row>
    <row r="2111" spans="7:18" x14ac:dyDescent="0.25">
      <c r="G2111" s="19"/>
      <c r="J2111" s="19"/>
      <c r="K2111" s="19"/>
      <c r="L2111" s="19"/>
      <c r="R2111" s="19"/>
    </row>
    <row r="2112" spans="7:18" x14ac:dyDescent="0.25">
      <c r="G2112" s="19"/>
      <c r="J2112" s="19"/>
      <c r="K2112" s="19"/>
      <c r="L2112" s="19"/>
      <c r="R2112" s="19"/>
    </row>
    <row r="2113" spans="7:18" x14ac:dyDescent="0.25">
      <c r="G2113" s="19"/>
      <c r="J2113" s="19"/>
      <c r="K2113" s="19"/>
      <c r="L2113" s="19"/>
      <c r="R2113" s="19"/>
    </row>
    <row r="2114" spans="7:18" x14ac:dyDescent="0.25">
      <c r="G2114" s="19"/>
      <c r="J2114" s="19"/>
      <c r="K2114" s="19"/>
      <c r="L2114" s="19"/>
      <c r="R2114" s="19"/>
    </row>
    <row r="2115" spans="7:18" x14ac:dyDescent="0.25">
      <c r="G2115" s="19"/>
      <c r="J2115" s="19"/>
      <c r="K2115" s="19"/>
      <c r="L2115" s="19"/>
      <c r="R2115" s="19"/>
    </row>
    <row r="2116" spans="7:18" x14ac:dyDescent="0.25">
      <c r="G2116" s="19"/>
      <c r="J2116" s="19"/>
      <c r="K2116" s="19"/>
      <c r="L2116" s="19"/>
      <c r="R2116" s="19"/>
    </row>
    <row r="2117" spans="7:18" x14ac:dyDescent="0.25">
      <c r="G2117" s="19"/>
      <c r="J2117" s="19"/>
      <c r="K2117" s="19"/>
      <c r="L2117" s="19"/>
      <c r="R2117" s="19"/>
    </row>
    <row r="2118" spans="7:18" x14ac:dyDescent="0.25">
      <c r="G2118" s="19"/>
      <c r="J2118" s="19"/>
      <c r="K2118" s="19"/>
      <c r="L2118" s="19"/>
      <c r="R2118" s="19"/>
    </row>
    <row r="2119" spans="7:18" x14ac:dyDescent="0.25">
      <c r="G2119" s="19"/>
      <c r="J2119" s="19"/>
      <c r="K2119" s="19"/>
      <c r="L2119" s="19"/>
      <c r="R2119" s="19"/>
    </row>
    <row r="2120" spans="7:18" x14ac:dyDescent="0.25">
      <c r="G2120" s="19"/>
      <c r="J2120" s="19"/>
      <c r="K2120" s="19"/>
      <c r="L2120" s="19"/>
      <c r="R2120" s="19"/>
    </row>
    <row r="2121" spans="7:18" x14ac:dyDescent="0.25">
      <c r="G2121" s="19"/>
      <c r="J2121" s="19"/>
      <c r="K2121" s="19"/>
      <c r="L2121" s="19"/>
      <c r="R2121" s="19"/>
    </row>
    <row r="2122" spans="7:18" x14ac:dyDescent="0.25">
      <c r="G2122" s="19"/>
      <c r="J2122" s="19"/>
      <c r="K2122" s="19"/>
      <c r="L2122" s="19"/>
      <c r="R2122" s="19"/>
    </row>
    <row r="2123" spans="7:18" x14ac:dyDescent="0.25">
      <c r="G2123" s="19"/>
      <c r="J2123" s="19"/>
      <c r="K2123" s="19"/>
      <c r="L2123" s="19"/>
      <c r="R2123" s="19"/>
    </row>
    <row r="2124" spans="7:18" x14ac:dyDescent="0.25">
      <c r="G2124" s="19"/>
      <c r="J2124" s="19"/>
      <c r="K2124" s="19"/>
      <c r="L2124" s="19"/>
      <c r="R2124" s="19"/>
    </row>
    <row r="2125" spans="7:18" x14ac:dyDescent="0.25">
      <c r="G2125" s="19"/>
      <c r="J2125" s="19"/>
      <c r="K2125" s="19"/>
      <c r="L2125" s="19"/>
      <c r="R2125" s="19"/>
    </row>
    <row r="2126" spans="7:18" x14ac:dyDescent="0.25">
      <c r="G2126" s="19"/>
      <c r="J2126" s="19"/>
      <c r="K2126" s="19"/>
      <c r="L2126" s="19"/>
      <c r="R2126" s="19"/>
    </row>
    <row r="2127" spans="7:18" x14ac:dyDescent="0.25">
      <c r="G2127" s="19"/>
      <c r="J2127" s="19"/>
      <c r="K2127" s="19"/>
      <c r="L2127" s="19"/>
      <c r="R2127" s="19"/>
    </row>
    <row r="2128" spans="7:18" x14ac:dyDescent="0.25">
      <c r="G2128" s="19"/>
      <c r="J2128" s="19"/>
      <c r="K2128" s="19"/>
      <c r="L2128" s="19"/>
      <c r="R2128" s="19"/>
    </row>
    <row r="2129" spans="7:18" x14ac:dyDescent="0.25">
      <c r="G2129" s="19"/>
      <c r="J2129" s="19"/>
      <c r="K2129" s="19"/>
      <c r="L2129" s="19"/>
      <c r="R2129" s="19"/>
    </row>
    <row r="2130" spans="7:18" x14ac:dyDescent="0.25">
      <c r="G2130" s="19"/>
      <c r="J2130" s="19"/>
      <c r="K2130" s="19"/>
      <c r="L2130" s="19"/>
      <c r="R2130" s="19"/>
    </row>
    <row r="2131" spans="7:18" x14ac:dyDescent="0.25">
      <c r="G2131" s="19"/>
      <c r="J2131" s="19"/>
      <c r="K2131" s="19"/>
      <c r="L2131" s="19"/>
      <c r="R2131" s="19"/>
    </row>
    <row r="2132" spans="7:18" x14ac:dyDescent="0.25">
      <c r="G2132" s="19"/>
      <c r="J2132" s="19"/>
      <c r="K2132" s="19"/>
      <c r="L2132" s="19"/>
      <c r="R2132" s="19"/>
    </row>
    <row r="2133" spans="7:18" x14ac:dyDescent="0.25">
      <c r="G2133" s="19"/>
      <c r="J2133" s="19"/>
      <c r="K2133" s="19"/>
      <c r="L2133" s="19"/>
      <c r="R2133" s="19"/>
    </row>
    <row r="2134" spans="7:18" x14ac:dyDescent="0.25">
      <c r="G2134" s="19"/>
      <c r="J2134" s="19"/>
      <c r="K2134" s="19"/>
      <c r="L2134" s="19"/>
      <c r="R2134" s="19"/>
    </row>
    <row r="2135" spans="7:18" x14ac:dyDescent="0.25">
      <c r="G2135" s="19"/>
      <c r="J2135" s="19"/>
      <c r="K2135" s="19"/>
      <c r="L2135" s="19"/>
      <c r="R2135" s="19"/>
    </row>
    <row r="2136" spans="7:18" x14ac:dyDescent="0.25">
      <c r="G2136" s="19"/>
      <c r="J2136" s="19"/>
      <c r="K2136" s="19"/>
      <c r="L2136" s="19"/>
      <c r="R2136" s="19"/>
    </row>
    <row r="2137" spans="7:18" x14ac:dyDescent="0.25">
      <c r="G2137" s="19"/>
      <c r="J2137" s="19"/>
      <c r="K2137" s="19"/>
      <c r="L2137" s="19"/>
      <c r="R2137" s="19"/>
    </row>
    <row r="2138" spans="7:18" x14ac:dyDescent="0.25">
      <c r="G2138" s="19"/>
      <c r="J2138" s="19"/>
      <c r="K2138" s="19"/>
      <c r="L2138" s="19"/>
      <c r="R2138" s="19"/>
    </row>
    <row r="2139" spans="7:18" x14ac:dyDescent="0.25">
      <c r="G2139" s="19"/>
      <c r="J2139" s="19"/>
      <c r="K2139" s="19"/>
      <c r="L2139" s="19"/>
      <c r="R2139" s="19"/>
    </row>
    <row r="2140" spans="7:18" x14ac:dyDescent="0.25">
      <c r="G2140" s="19"/>
      <c r="J2140" s="19"/>
      <c r="K2140" s="19"/>
      <c r="L2140" s="19"/>
      <c r="R2140" s="19"/>
    </row>
    <row r="2141" spans="7:18" x14ac:dyDescent="0.25">
      <c r="G2141" s="19"/>
      <c r="J2141" s="19"/>
      <c r="K2141" s="19"/>
      <c r="L2141" s="19"/>
      <c r="R2141" s="19"/>
    </row>
    <row r="2142" spans="7:18" x14ac:dyDescent="0.25">
      <c r="G2142" s="19"/>
      <c r="J2142" s="19"/>
      <c r="K2142" s="19"/>
      <c r="L2142" s="19"/>
      <c r="R2142" s="19"/>
    </row>
    <row r="2143" spans="7:18" x14ac:dyDescent="0.25">
      <c r="G2143" s="19"/>
      <c r="J2143" s="19"/>
      <c r="K2143" s="19"/>
      <c r="L2143" s="19"/>
      <c r="R2143" s="19"/>
    </row>
    <row r="2144" spans="7:18" x14ac:dyDescent="0.25">
      <c r="G2144" s="19"/>
      <c r="J2144" s="19"/>
      <c r="K2144" s="19"/>
      <c r="L2144" s="19"/>
      <c r="R2144" s="19"/>
    </row>
    <row r="2145" spans="7:18" x14ac:dyDescent="0.25">
      <c r="G2145" s="19"/>
      <c r="J2145" s="19"/>
      <c r="K2145" s="19"/>
      <c r="L2145" s="19"/>
      <c r="R2145" s="19"/>
    </row>
    <row r="2146" spans="7:18" x14ac:dyDescent="0.25">
      <c r="G2146" s="19"/>
      <c r="J2146" s="19"/>
      <c r="K2146" s="19"/>
      <c r="L2146" s="19"/>
      <c r="R2146" s="19"/>
    </row>
    <row r="2147" spans="7:18" x14ac:dyDescent="0.25">
      <c r="G2147" s="19"/>
      <c r="J2147" s="19"/>
      <c r="K2147" s="19"/>
      <c r="L2147" s="19"/>
      <c r="R2147" s="19"/>
    </row>
    <row r="2148" spans="7:18" x14ac:dyDescent="0.25">
      <c r="G2148" s="19"/>
      <c r="J2148" s="19"/>
      <c r="K2148" s="19"/>
      <c r="L2148" s="19"/>
      <c r="R2148" s="19"/>
    </row>
    <row r="2149" spans="7:18" x14ac:dyDescent="0.25">
      <c r="G2149" s="19"/>
      <c r="J2149" s="19"/>
      <c r="K2149" s="19"/>
      <c r="L2149" s="19"/>
      <c r="R2149" s="19"/>
    </row>
    <row r="2150" spans="7:18" x14ac:dyDescent="0.25">
      <c r="G2150" s="19"/>
      <c r="J2150" s="19"/>
      <c r="K2150" s="19"/>
      <c r="L2150" s="19"/>
      <c r="R2150" s="19"/>
    </row>
    <row r="2151" spans="7:18" x14ac:dyDescent="0.25">
      <c r="G2151" s="19"/>
      <c r="J2151" s="19"/>
      <c r="K2151" s="19"/>
      <c r="L2151" s="19"/>
      <c r="R2151" s="19"/>
    </row>
    <row r="2152" spans="7:18" x14ac:dyDescent="0.25">
      <c r="G2152" s="19"/>
      <c r="J2152" s="19"/>
      <c r="K2152" s="19"/>
      <c r="L2152" s="19"/>
      <c r="R2152" s="19"/>
    </row>
    <row r="2153" spans="7:18" x14ac:dyDescent="0.25">
      <c r="G2153" s="19"/>
      <c r="J2153" s="19"/>
      <c r="K2153" s="19"/>
      <c r="L2153" s="19"/>
      <c r="R2153" s="19"/>
    </row>
    <row r="2154" spans="7:18" x14ac:dyDescent="0.25">
      <c r="G2154" s="19"/>
      <c r="J2154" s="19"/>
      <c r="K2154" s="19"/>
      <c r="L2154" s="19"/>
      <c r="R2154" s="19"/>
    </row>
    <row r="2155" spans="7:18" x14ac:dyDescent="0.25">
      <c r="G2155" s="19"/>
      <c r="J2155" s="19"/>
      <c r="K2155" s="19"/>
      <c r="L2155" s="19"/>
      <c r="R2155" s="19"/>
    </row>
    <row r="2156" spans="7:18" x14ac:dyDescent="0.25">
      <c r="G2156" s="19"/>
      <c r="J2156" s="19"/>
      <c r="K2156" s="19"/>
      <c r="L2156" s="19"/>
      <c r="R2156" s="19"/>
    </row>
    <row r="2157" spans="7:18" x14ac:dyDescent="0.25">
      <c r="G2157" s="19"/>
      <c r="J2157" s="19"/>
      <c r="K2157" s="19"/>
      <c r="L2157" s="19"/>
      <c r="R2157" s="19"/>
    </row>
    <row r="2158" spans="7:18" x14ac:dyDescent="0.25">
      <c r="G2158" s="19"/>
      <c r="J2158" s="19"/>
      <c r="K2158" s="19"/>
      <c r="L2158" s="19"/>
      <c r="R2158" s="19"/>
    </row>
    <row r="2159" spans="7:18" x14ac:dyDescent="0.25">
      <c r="G2159" s="19"/>
      <c r="J2159" s="19"/>
      <c r="K2159" s="19"/>
      <c r="L2159" s="19"/>
      <c r="R2159" s="19"/>
    </row>
    <row r="2160" spans="7:18" x14ac:dyDescent="0.25">
      <c r="G2160" s="19"/>
      <c r="J2160" s="19"/>
      <c r="K2160" s="19"/>
      <c r="L2160" s="19"/>
      <c r="R2160" s="19"/>
    </row>
    <row r="2161" spans="7:18" x14ac:dyDescent="0.25">
      <c r="G2161" s="19"/>
      <c r="J2161" s="19"/>
      <c r="K2161" s="19"/>
      <c r="L2161" s="19"/>
      <c r="R2161" s="19"/>
    </row>
    <row r="2162" spans="7:18" x14ac:dyDescent="0.25">
      <c r="G2162" s="19"/>
      <c r="J2162" s="19"/>
      <c r="K2162" s="19"/>
      <c r="L2162" s="19"/>
      <c r="R2162" s="19"/>
    </row>
    <row r="2163" spans="7:18" x14ac:dyDescent="0.25">
      <c r="G2163" s="19"/>
      <c r="J2163" s="19"/>
      <c r="K2163" s="19"/>
      <c r="L2163" s="19"/>
      <c r="R2163" s="19"/>
    </row>
    <row r="2164" spans="7:18" x14ac:dyDescent="0.25">
      <c r="G2164" s="19"/>
      <c r="J2164" s="19"/>
      <c r="K2164" s="19"/>
      <c r="L2164" s="19"/>
      <c r="R2164" s="19"/>
    </row>
    <row r="2165" spans="7:18" x14ac:dyDescent="0.25">
      <c r="G2165" s="19"/>
      <c r="J2165" s="19"/>
      <c r="K2165" s="19"/>
      <c r="L2165" s="19"/>
      <c r="R2165" s="19"/>
    </row>
    <row r="2166" spans="7:18" x14ac:dyDescent="0.25">
      <c r="G2166" s="19"/>
      <c r="J2166" s="19"/>
      <c r="K2166" s="19"/>
      <c r="L2166" s="19"/>
      <c r="R2166" s="19"/>
    </row>
    <row r="2167" spans="7:18" x14ac:dyDescent="0.25">
      <c r="G2167" s="19"/>
      <c r="J2167" s="19"/>
      <c r="K2167" s="19"/>
      <c r="L2167" s="19"/>
      <c r="R2167" s="19"/>
    </row>
    <row r="2168" spans="7:18" x14ac:dyDescent="0.25">
      <c r="G2168" s="19"/>
      <c r="J2168" s="19"/>
      <c r="K2168" s="19"/>
      <c r="L2168" s="19"/>
      <c r="R2168" s="19"/>
    </row>
    <row r="2169" spans="7:18" x14ac:dyDescent="0.25">
      <c r="G2169" s="19"/>
      <c r="J2169" s="19"/>
      <c r="K2169" s="19"/>
      <c r="L2169" s="19"/>
      <c r="R2169" s="19"/>
    </row>
    <row r="2170" spans="7:18" x14ac:dyDescent="0.25">
      <c r="G2170" s="19"/>
      <c r="J2170" s="19"/>
      <c r="K2170" s="19"/>
      <c r="L2170" s="19"/>
      <c r="R2170" s="19"/>
    </row>
    <row r="2171" spans="7:18" x14ac:dyDescent="0.25">
      <c r="G2171" s="19"/>
      <c r="J2171" s="19"/>
      <c r="K2171" s="19"/>
      <c r="L2171" s="19"/>
      <c r="R2171" s="19"/>
    </row>
    <row r="2172" spans="7:18" x14ac:dyDescent="0.25">
      <c r="G2172" s="19"/>
      <c r="J2172" s="19"/>
      <c r="K2172" s="19"/>
      <c r="L2172" s="19"/>
      <c r="R2172" s="19"/>
    </row>
    <row r="2173" spans="7:18" x14ac:dyDescent="0.25">
      <c r="G2173" s="19"/>
      <c r="J2173" s="19"/>
      <c r="K2173" s="19"/>
      <c r="L2173" s="19"/>
      <c r="R2173" s="19"/>
    </row>
    <row r="2174" spans="7:18" x14ac:dyDescent="0.25">
      <c r="G2174" s="19"/>
      <c r="J2174" s="19"/>
      <c r="K2174" s="19"/>
      <c r="L2174" s="19"/>
      <c r="R2174" s="19"/>
    </row>
    <row r="2175" spans="7:18" x14ac:dyDescent="0.25">
      <c r="G2175" s="19"/>
      <c r="J2175" s="19"/>
      <c r="K2175" s="19"/>
      <c r="L2175" s="19"/>
      <c r="R2175" s="19"/>
    </row>
    <row r="2176" spans="7:18" x14ac:dyDescent="0.25">
      <c r="G2176" s="19"/>
      <c r="J2176" s="19"/>
      <c r="K2176" s="19"/>
      <c r="L2176" s="19"/>
      <c r="R2176" s="19"/>
    </row>
    <row r="2177" spans="7:18" x14ac:dyDescent="0.25">
      <c r="G2177" s="19"/>
      <c r="J2177" s="19"/>
      <c r="K2177" s="19"/>
      <c r="L2177" s="19"/>
      <c r="R2177" s="19"/>
    </row>
    <row r="2178" spans="7:18" x14ac:dyDescent="0.25">
      <c r="G2178" s="19"/>
      <c r="J2178" s="19"/>
      <c r="K2178" s="19"/>
      <c r="L2178" s="19"/>
      <c r="R2178" s="19"/>
    </row>
    <row r="2179" spans="7:18" x14ac:dyDescent="0.25">
      <c r="G2179" s="19"/>
      <c r="J2179" s="19"/>
      <c r="K2179" s="19"/>
      <c r="L2179" s="19"/>
      <c r="R2179" s="19"/>
    </row>
    <row r="2180" spans="7:18" x14ac:dyDescent="0.25">
      <c r="G2180" s="19"/>
      <c r="J2180" s="19"/>
      <c r="K2180" s="19"/>
      <c r="L2180" s="19"/>
      <c r="R2180" s="19"/>
    </row>
    <row r="2181" spans="7:18" x14ac:dyDescent="0.25">
      <c r="G2181" s="19"/>
      <c r="J2181" s="19"/>
      <c r="K2181" s="19"/>
      <c r="L2181" s="19"/>
      <c r="R2181" s="19"/>
    </row>
    <row r="2182" spans="7:18" x14ac:dyDescent="0.25">
      <c r="G2182" s="19"/>
      <c r="J2182" s="19"/>
      <c r="K2182" s="19"/>
      <c r="L2182" s="19"/>
      <c r="R2182" s="19"/>
    </row>
    <row r="2183" spans="7:18" x14ac:dyDescent="0.25">
      <c r="G2183" s="19"/>
      <c r="J2183" s="19"/>
      <c r="K2183" s="19"/>
      <c r="L2183" s="19"/>
      <c r="R2183" s="19"/>
    </row>
    <row r="2184" spans="7:18" x14ac:dyDescent="0.25">
      <c r="G2184" s="19"/>
      <c r="J2184" s="19"/>
      <c r="K2184" s="19"/>
      <c r="L2184" s="19"/>
      <c r="R2184" s="19"/>
    </row>
    <row r="2185" spans="7:18" x14ac:dyDescent="0.25">
      <c r="G2185" s="19"/>
      <c r="J2185" s="19"/>
      <c r="K2185" s="19"/>
      <c r="L2185" s="19"/>
      <c r="R2185" s="19"/>
    </row>
    <row r="2186" spans="7:18" x14ac:dyDescent="0.25">
      <c r="G2186" s="19"/>
      <c r="J2186" s="19"/>
      <c r="K2186" s="19"/>
      <c r="L2186" s="19"/>
      <c r="R2186" s="19"/>
    </row>
    <row r="2187" spans="7:18" x14ac:dyDescent="0.25">
      <c r="G2187" s="19"/>
      <c r="J2187" s="19"/>
      <c r="K2187" s="19"/>
      <c r="L2187" s="19"/>
      <c r="R2187" s="19"/>
    </row>
    <row r="2188" spans="7:18" x14ac:dyDescent="0.25">
      <c r="G2188" s="19"/>
      <c r="J2188" s="19"/>
      <c r="K2188" s="19"/>
      <c r="L2188" s="19"/>
      <c r="R2188" s="19"/>
    </row>
    <row r="2189" spans="7:18" x14ac:dyDescent="0.25">
      <c r="G2189" s="19"/>
      <c r="J2189" s="19"/>
      <c r="K2189" s="19"/>
      <c r="L2189" s="19"/>
      <c r="R2189" s="19"/>
    </row>
    <row r="2190" spans="7:18" x14ac:dyDescent="0.25">
      <c r="G2190" s="19"/>
      <c r="J2190" s="19"/>
      <c r="K2190" s="19"/>
      <c r="L2190" s="19"/>
      <c r="R2190" s="19"/>
    </row>
    <row r="2191" spans="7:18" x14ac:dyDescent="0.25">
      <c r="G2191" s="19"/>
      <c r="J2191" s="19"/>
      <c r="K2191" s="19"/>
      <c r="L2191" s="19"/>
      <c r="R2191" s="19"/>
    </row>
    <row r="2192" spans="7:18" x14ac:dyDescent="0.25">
      <c r="G2192" s="19"/>
      <c r="J2192" s="19"/>
      <c r="K2192" s="19"/>
      <c r="L2192" s="19"/>
      <c r="R2192" s="19"/>
    </row>
    <row r="2193" spans="7:18" x14ac:dyDescent="0.25">
      <c r="G2193" s="19"/>
      <c r="J2193" s="19"/>
      <c r="K2193" s="19"/>
      <c r="L2193" s="19"/>
      <c r="R2193" s="19"/>
    </row>
    <row r="2194" spans="7:18" x14ac:dyDescent="0.25">
      <c r="G2194" s="19"/>
      <c r="J2194" s="19"/>
      <c r="K2194" s="19"/>
      <c r="L2194" s="19"/>
      <c r="R2194" s="19"/>
    </row>
    <row r="2195" spans="7:18" x14ac:dyDescent="0.25">
      <c r="G2195" s="19"/>
      <c r="J2195" s="19"/>
      <c r="K2195" s="19"/>
      <c r="L2195" s="19"/>
      <c r="R2195" s="19"/>
    </row>
    <row r="2196" spans="7:18" x14ac:dyDescent="0.25">
      <c r="G2196" s="19"/>
      <c r="J2196" s="19"/>
      <c r="K2196" s="19"/>
      <c r="L2196" s="19"/>
      <c r="R2196" s="19"/>
    </row>
    <row r="2197" spans="7:18" x14ac:dyDescent="0.25">
      <c r="G2197" s="19"/>
      <c r="J2197" s="19"/>
      <c r="K2197" s="19"/>
      <c r="L2197" s="19"/>
      <c r="R2197" s="19"/>
    </row>
    <row r="2198" spans="7:18" x14ac:dyDescent="0.25">
      <c r="G2198" s="19"/>
      <c r="J2198" s="19"/>
      <c r="K2198" s="19"/>
      <c r="L2198" s="19"/>
      <c r="R2198" s="19"/>
    </row>
    <row r="2199" spans="7:18" x14ac:dyDescent="0.25">
      <c r="G2199" s="19"/>
      <c r="J2199" s="19"/>
      <c r="K2199" s="19"/>
      <c r="L2199" s="19"/>
      <c r="R2199" s="19"/>
    </row>
    <row r="2200" spans="7:18" x14ac:dyDescent="0.25">
      <c r="G2200" s="19"/>
      <c r="J2200" s="19"/>
      <c r="K2200" s="19"/>
      <c r="L2200" s="19"/>
      <c r="R2200" s="19"/>
    </row>
    <row r="2201" spans="7:18" x14ac:dyDescent="0.25">
      <c r="G2201" s="19"/>
      <c r="J2201" s="19"/>
      <c r="K2201" s="19"/>
      <c r="L2201" s="19"/>
      <c r="R2201" s="19"/>
    </row>
    <row r="2202" spans="7:18" x14ac:dyDescent="0.25">
      <c r="G2202" s="19"/>
      <c r="J2202" s="19"/>
      <c r="K2202" s="19"/>
      <c r="L2202" s="19"/>
      <c r="R2202" s="19"/>
    </row>
    <row r="2203" spans="7:18" x14ac:dyDescent="0.25">
      <c r="G2203" s="19"/>
      <c r="J2203" s="19"/>
      <c r="K2203" s="19"/>
      <c r="L2203" s="19"/>
      <c r="R2203" s="19"/>
    </row>
    <row r="2204" spans="7:18" x14ac:dyDescent="0.25">
      <c r="G2204" s="19"/>
      <c r="J2204" s="19"/>
      <c r="K2204" s="19"/>
      <c r="L2204" s="19"/>
      <c r="R2204" s="19"/>
    </row>
    <row r="2205" spans="7:18" x14ac:dyDescent="0.25">
      <c r="G2205" s="19"/>
      <c r="J2205" s="19"/>
      <c r="K2205" s="19"/>
      <c r="L2205" s="19"/>
      <c r="R2205" s="19"/>
    </row>
    <row r="2206" spans="7:18" x14ac:dyDescent="0.25">
      <c r="G2206" s="19"/>
      <c r="J2206" s="19"/>
      <c r="K2206" s="19"/>
      <c r="L2206" s="19"/>
      <c r="R2206" s="19"/>
    </row>
    <row r="2207" spans="7:18" x14ac:dyDescent="0.25">
      <c r="G2207" s="19"/>
      <c r="J2207" s="19"/>
      <c r="K2207" s="19"/>
      <c r="L2207" s="19"/>
      <c r="R2207" s="19"/>
    </row>
    <row r="2208" spans="7:18" x14ac:dyDescent="0.25">
      <c r="G2208" s="19"/>
      <c r="J2208" s="19"/>
      <c r="K2208" s="19"/>
      <c r="L2208" s="19"/>
      <c r="R2208" s="19"/>
    </row>
    <row r="2209" spans="7:18" x14ac:dyDescent="0.25">
      <c r="G2209" s="19"/>
      <c r="J2209" s="19"/>
      <c r="K2209" s="19"/>
      <c r="L2209" s="19"/>
      <c r="R2209" s="19"/>
    </row>
    <row r="2210" spans="7:18" x14ac:dyDescent="0.25">
      <c r="G2210" s="19"/>
      <c r="J2210" s="19"/>
      <c r="K2210" s="19"/>
      <c r="L2210" s="19"/>
      <c r="R2210" s="19"/>
    </row>
    <row r="2211" spans="7:18" x14ac:dyDescent="0.25">
      <c r="G2211" s="19"/>
      <c r="J2211" s="19"/>
      <c r="K2211" s="19"/>
      <c r="L2211" s="19"/>
      <c r="R2211" s="19"/>
    </row>
    <row r="2212" spans="7:18" x14ac:dyDescent="0.25">
      <c r="G2212" s="19"/>
      <c r="J2212" s="19"/>
      <c r="K2212" s="19"/>
      <c r="L2212" s="19"/>
      <c r="R2212" s="19"/>
    </row>
    <row r="2213" spans="7:18" x14ac:dyDescent="0.25">
      <c r="G2213" s="19"/>
      <c r="J2213" s="19"/>
      <c r="K2213" s="19"/>
      <c r="L2213" s="19"/>
      <c r="R2213" s="19"/>
    </row>
    <row r="2214" spans="7:18" x14ac:dyDescent="0.25">
      <c r="G2214" s="19"/>
      <c r="J2214" s="19"/>
      <c r="K2214" s="19"/>
      <c r="L2214" s="19"/>
      <c r="R2214" s="19"/>
    </row>
    <row r="2215" spans="7:18" x14ac:dyDescent="0.25">
      <c r="G2215" s="19"/>
      <c r="J2215" s="19"/>
      <c r="K2215" s="19"/>
      <c r="L2215" s="19"/>
      <c r="R2215" s="19"/>
    </row>
    <row r="2216" spans="7:18" x14ac:dyDescent="0.25">
      <c r="G2216" s="19"/>
      <c r="J2216" s="19"/>
      <c r="K2216" s="19"/>
      <c r="L2216" s="19"/>
      <c r="R2216" s="19"/>
    </row>
    <row r="2217" spans="7:18" x14ac:dyDescent="0.25">
      <c r="G2217" s="19"/>
      <c r="J2217" s="19"/>
      <c r="K2217" s="19"/>
      <c r="L2217" s="19"/>
      <c r="R2217" s="19"/>
    </row>
    <row r="2218" spans="7:18" x14ac:dyDescent="0.25">
      <c r="G2218" s="19"/>
      <c r="J2218" s="19"/>
      <c r="K2218" s="19"/>
      <c r="L2218" s="19"/>
      <c r="R2218" s="19"/>
    </row>
    <row r="2219" spans="7:18" x14ac:dyDescent="0.25">
      <c r="G2219" s="19"/>
      <c r="J2219" s="19"/>
      <c r="K2219" s="19"/>
      <c r="L2219" s="19"/>
      <c r="R2219" s="19"/>
    </row>
    <row r="2220" spans="7:18" x14ac:dyDescent="0.25">
      <c r="G2220" s="19"/>
      <c r="J2220" s="19"/>
      <c r="K2220" s="19"/>
      <c r="L2220" s="19"/>
      <c r="R2220" s="19"/>
    </row>
    <row r="2221" spans="7:18" x14ac:dyDescent="0.25">
      <c r="G2221" s="19"/>
      <c r="J2221" s="19"/>
      <c r="K2221" s="19"/>
      <c r="L2221" s="19"/>
      <c r="R2221" s="19"/>
    </row>
    <row r="2222" spans="7:18" x14ac:dyDescent="0.25">
      <c r="G2222" s="19"/>
      <c r="J2222" s="19"/>
      <c r="K2222" s="19"/>
      <c r="L2222" s="19"/>
      <c r="R2222" s="19"/>
    </row>
    <row r="2223" spans="7:18" x14ac:dyDescent="0.25">
      <c r="G2223" s="19"/>
      <c r="J2223" s="19"/>
      <c r="K2223" s="19"/>
      <c r="L2223" s="19"/>
      <c r="R2223" s="19"/>
    </row>
    <row r="2224" spans="7:18" x14ac:dyDescent="0.25">
      <c r="G2224" s="19"/>
      <c r="J2224" s="19"/>
      <c r="K2224" s="19"/>
      <c r="L2224" s="19"/>
      <c r="R2224" s="19"/>
    </row>
    <row r="2225" spans="7:18" x14ac:dyDescent="0.25">
      <c r="G2225" s="19"/>
      <c r="J2225" s="19"/>
      <c r="K2225" s="19"/>
      <c r="L2225" s="19"/>
      <c r="R2225" s="19"/>
    </row>
    <row r="2226" spans="7:18" x14ac:dyDescent="0.25">
      <c r="G2226" s="19"/>
      <c r="J2226" s="19"/>
      <c r="K2226" s="19"/>
      <c r="L2226" s="19"/>
      <c r="R2226" s="19"/>
    </row>
    <row r="2227" spans="7:18" x14ac:dyDescent="0.25">
      <c r="G2227" s="19"/>
      <c r="J2227" s="19"/>
      <c r="K2227" s="19"/>
      <c r="L2227" s="19"/>
      <c r="R2227" s="19"/>
    </row>
    <row r="2228" spans="7:18" x14ac:dyDescent="0.25">
      <c r="G2228" s="19"/>
      <c r="J2228" s="19"/>
      <c r="K2228" s="19"/>
      <c r="L2228" s="19"/>
      <c r="R2228" s="19"/>
    </row>
    <row r="2229" spans="7:18" x14ac:dyDescent="0.25">
      <c r="G2229" s="19"/>
      <c r="J2229" s="19"/>
      <c r="K2229" s="19"/>
      <c r="L2229" s="19"/>
      <c r="R2229" s="19"/>
    </row>
    <row r="2230" spans="7:18" x14ac:dyDescent="0.25">
      <c r="G2230" s="19"/>
      <c r="J2230" s="19"/>
      <c r="K2230" s="19"/>
      <c r="L2230" s="19"/>
      <c r="R2230" s="19"/>
    </row>
    <row r="2231" spans="7:18" x14ac:dyDescent="0.25">
      <c r="G2231" s="19"/>
      <c r="J2231" s="19"/>
      <c r="K2231" s="19"/>
      <c r="L2231" s="19"/>
      <c r="R2231" s="19"/>
    </row>
    <row r="2232" spans="7:18" x14ac:dyDescent="0.25">
      <c r="G2232" s="19"/>
      <c r="J2232" s="19"/>
      <c r="K2232" s="19"/>
      <c r="L2232" s="19"/>
      <c r="R2232" s="19"/>
    </row>
    <row r="2233" spans="7:18" x14ac:dyDescent="0.25">
      <c r="G2233" s="19"/>
      <c r="J2233" s="19"/>
      <c r="K2233" s="19"/>
      <c r="L2233" s="19"/>
      <c r="R2233" s="19"/>
    </row>
    <row r="2234" spans="7:18" x14ac:dyDescent="0.25">
      <c r="G2234" s="19"/>
      <c r="J2234" s="19"/>
      <c r="K2234" s="19"/>
      <c r="L2234" s="19"/>
      <c r="R2234" s="19"/>
    </row>
    <row r="2235" spans="7:18" x14ac:dyDescent="0.25">
      <c r="G2235" s="19"/>
      <c r="J2235" s="19"/>
      <c r="K2235" s="19"/>
      <c r="L2235" s="19"/>
      <c r="R2235" s="19"/>
    </row>
    <row r="2236" spans="7:18" x14ac:dyDescent="0.25">
      <c r="G2236" s="19"/>
      <c r="J2236" s="19"/>
      <c r="K2236" s="19"/>
      <c r="L2236" s="19"/>
      <c r="R2236" s="19"/>
    </row>
    <row r="2237" spans="7:18" x14ac:dyDescent="0.25">
      <c r="G2237" s="19"/>
      <c r="J2237" s="19"/>
      <c r="K2237" s="19"/>
      <c r="L2237" s="19"/>
      <c r="R2237" s="19"/>
    </row>
    <row r="2238" spans="7:18" x14ac:dyDescent="0.25">
      <c r="G2238" s="19"/>
      <c r="J2238" s="19"/>
      <c r="K2238" s="19"/>
      <c r="L2238" s="19"/>
      <c r="R2238" s="19"/>
    </row>
    <row r="2239" spans="7:18" x14ac:dyDescent="0.25">
      <c r="G2239" s="19"/>
      <c r="J2239" s="19"/>
      <c r="K2239" s="19"/>
      <c r="L2239" s="19"/>
      <c r="R2239" s="19"/>
    </row>
    <row r="2240" spans="7:18" x14ac:dyDescent="0.25">
      <c r="G2240" s="19"/>
      <c r="J2240" s="19"/>
      <c r="K2240" s="19"/>
      <c r="L2240" s="19"/>
      <c r="R2240" s="19"/>
    </row>
    <row r="2241" spans="7:18" x14ac:dyDescent="0.25">
      <c r="G2241" s="19"/>
      <c r="J2241" s="19"/>
      <c r="K2241" s="19"/>
      <c r="L2241" s="19"/>
      <c r="R2241" s="19"/>
    </row>
    <row r="2242" spans="7:18" x14ac:dyDescent="0.25">
      <c r="G2242" s="19"/>
      <c r="J2242" s="19"/>
      <c r="K2242" s="19"/>
      <c r="L2242" s="19"/>
      <c r="R2242" s="19"/>
    </row>
    <row r="2243" spans="7:18" x14ac:dyDescent="0.25">
      <c r="G2243" s="19"/>
      <c r="J2243" s="19"/>
      <c r="K2243" s="19"/>
      <c r="L2243" s="19"/>
      <c r="R2243" s="19"/>
    </row>
    <row r="2244" spans="7:18" x14ac:dyDescent="0.25">
      <c r="G2244" s="19"/>
      <c r="J2244" s="19"/>
      <c r="K2244" s="19"/>
      <c r="L2244" s="19"/>
      <c r="R2244" s="19"/>
    </row>
    <row r="2245" spans="7:18" x14ac:dyDescent="0.25">
      <c r="G2245" s="19"/>
      <c r="J2245" s="19"/>
      <c r="K2245" s="19"/>
      <c r="L2245" s="19"/>
      <c r="R2245" s="19"/>
    </row>
    <row r="2246" spans="7:18" x14ac:dyDescent="0.25">
      <c r="G2246" s="19"/>
      <c r="J2246" s="19"/>
      <c r="K2246" s="19"/>
      <c r="L2246" s="19"/>
      <c r="R2246" s="19"/>
    </row>
    <row r="2247" spans="7:18" x14ac:dyDescent="0.25">
      <c r="G2247" s="19"/>
      <c r="J2247" s="19"/>
      <c r="K2247" s="19"/>
      <c r="L2247" s="19"/>
      <c r="R2247" s="19"/>
    </row>
    <row r="2248" spans="7:18" x14ac:dyDescent="0.25">
      <c r="G2248" s="19"/>
      <c r="J2248" s="19"/>
      <c r="K2248" s="19"/>
      <c r="L2248" s="19"/>
      <c r="R2248" s="19"/>
    </row>
    <row r="2249" spans="7:18" x14ac:dyDescent="0.25">
      <c r="G2249" s="19"/>
      <c r="J2249" s="19"/>
      <c r="K2249" s="19"/>
      <c r="L2249" s="19"/>
      <c r="R2249" s="19"/>
    </row>
    <row r="2250" spans="7:18" x14ac:dyDescent="0.25">
      <c r="G2250" s="19"/>
      <c r="J2250" s="19"/>
      <c r="K2250" s="19"/>
      <c r="L2250" s="19"/>
      <c r="R2250" s="19"/>
    </row>
    <row r="2252" spans="7:18" x14ac:dyDescent="0.25">
      <c r="G2252" s="19"/>
      <c r="J2252" s="19"/>
      <c r="K2252" s="19"/>
      <c r="L2252" s="19"/>
      <c r="R2252" s="19"/>
    </row>
    <row r="2253" spans="7:18" x14ac:dyDescent="0.25">
      <c r="G2253" s="19"/>
      <c r="J2253" s="19"/>
      <c r="K2253" s="19"/>
      <c r="L2253" s="19"/>
      <c r="R2253" s="19"/>
    </row>
    <row r="2254" spans="7:18" x14ac:dyDescent="0.25">
      <c r="G2254" s="19"/>
      <c r="J2254" s="19"/>
      <c r="K2254" s="19"/>
      <c r="L2254" s="19"/>
      <c r="R2254" s="19"/>
    </row>
    <row r="2255" spans="7:18" x14ac:dyDescent="0.25">
      <c r="G2255" s="19"/>
      <c r="J2255" s="19"/>
      <c r="K2255" s="19"/>
      <c r="L2255" s="19"/>
      <c r="R2255" s="19"/>
    </row>
    <row r="2256" spans="7:18" x14ac:dyDescent="0.25">
      <c r="G2256" s="19"/>
      <c r="J2256" s="19"/>
      <c r="K2256" s="19"/>
      <c r="L2256" s="19"/>
      <c r="R2256" s="19"/>
    </row>
    <row r="2257" spans="7:18" x14ac:dyDescent="0.25">
      <c r="G2257" s="19"/>
      <c r="J2257" s="19"/>
      <c r="K2257" s="19"/>
      <c r="L2257" s="19"/>
      <c r="R2257" s="19"/>
    </row>
    <row r="2258" spans="7:18" x14ac:dyDescent="0.25">
      <c r="G2258" s="19"/>
      <c r="J2258" s="19"/>
      <c r="K2258" s="19"/>
      <c r="L2258" s="19"/>
      <c r="R2258" s="19"/>
    </row>
    <row r="2259" spans="7:18" x14ac:dyDescent="0.25">
      <c r="G2259" s="19"/>
      <c r="J2259" s="19"/>
      <c r="K2259" s="19"/>
      <c r="L2259" s="19"/>
      <c r="R2259" s="19"/>
    </row>
    <row r="2260" spans="7:18" x14ac:dyDescent="0.25">
      <c r="G2260" s="19"/>
      <c r="J2260" s="19"/>
      <c r="K2260" s="19"/>
      <c r="L2260" s="19"/>
      <c r="R2260" s="19"/>
    </row>
    <row r="2261" spans="7:18" x14ac:dyDescent="0.25">
      <c r="G2261" s="19"/>
      <c r="J2261" s="19"/>
      <c r="K2261" s="19"/>
      <c r="L2261" s="19"/>
      <c r="R2261" s="19"/>
    </row>
    <row r="2262" spans="7:18" x14ac:dyDescent="0.25">
      <c r="G2262" s="19"/>
      <c r="J2262" s="19"/>
      <c r="K2262" s="19"/>
      <c r="L2262" s="19"/>
      <c r="R2262" s="19"/>
    </row>
    <row r="2263" spans="7:18" x14ac:dyDescent="0.25">
      <c r="G2263" s="19"/>
      <c r="J2263" s="19"/>
      <c r="K2263" s="19"/>
      <c r="L2263" s="19"/>
      <c r="R2263" s="19"/>
    </row>
    <row r="2264" spans="7:18" x14ac:dyDescent="0.25">
      <c r="G2264" s="19"/>
      <c r="J2264" s="19"/>
      <c r="K2264" s="19"/>
      <c r="L2264" s="19"/>
      <c r="R2264" s="19"/>
    </row>
    <row r="2265" spans="7:18" x14ac:dyDescent="0.25">
      <c r="G2265" s="19"/>
      <c r="J2265" s="19"/>
      <c r="K2265" s="19"/>
      <c r="L2265" s="19"/>
      <c r="R2265" s="19"/>
    </row>
    <row r="2266" spans="7:18" x14ac:dyDescent="0.25">
      <c r="G2266" s="19"/>
      <c r="J2266" s="19"/>
      <c r="K2266" s="19"/>
      <c r="L2266" s="19"/>
      <c r="R2266" s="19"/>
    </row>
    <row r="2267" spans="7:18" x14ac:dyDescent="0.25">
      <c r="G2267" s="19"/>
      <c r="J2267" s="19"/>
      <c r="K2267" s="19"/>
      <c r="L2267" s="19"/>
      <c r="R2267" s="19"/>
    </row>
    <row r="2268" spans="7:18" x14ac:dyDescent="0.25">
      <c r="G2268" s="19"/>
      <c r="J2268" s="19"/>
      <c r="K2268" s="19"/>
      <c r="L2268" s="19"/>
      <c r="R2268" s="19"/>
    </row>
    <row r="2269" spans="7:18" x14ac:dyDescent="0.25">
      <c r="G2269" s="19"/>
      <c r="J2269" s="19"/>
      <c r="K2269" s="19"/>
      <c r="L2269" s="19"/>
      <c r="R2269" s="19"/>
    </row>
    <row r="2270" spans="7:18" x14ac:dyDescent="0.25">
      <c r="G2270" s="19"/>
      <c r="J2270" s="19"/>
      <c r="K2270" s="19"/>
      <c r="L2270" s="19"/>
      <c r="R2270" s="19"/>
    </row>
    <row r="2271" spans="7:18" x14ac:dyDescent="0.25">
      <c r="G2271" s="19"/>
      <c r="J2271" s="19"/>
      <c r="K2271" s="19"/>
      <c r="L2271" s="19"/>
      <c r="R2271" s="19"/>
    </row>
    <row r="2272" spans="7:18" x14ac:dyDescent="0.25">
      <c r="G2272" s="19"/>
      <c r="J2272" s="19"/>
      <c r="K2272" s="19"/>
      <c r="L2272" s="19"/>
      <c r="R2272" s="19"/>
    </row>
    <row r="2273" spans="7:18" x14ac:dyDescent="0.25">
      <c r="G2273" s="19"/>
      <c r="J2273" s="19"/>
      <c r="K2273" s="19"/>
      <c r="L2273" s="19"/>
      <c r="R2273" s="19"/>
    </row>
    <row r="2274" spans="7:18" x14ac:dyDescent="0.25">
      <c r="G2274" s="19"/>
      <c r="J2274" s="19"/>
      <c r="K2274" s="19"/>
      <c r="L2274" s="19"/>
      <c r="R2274" s="19"/>
    </row>
    <row r="2275" spans="7:18" x14ac:dyDescent="0.25">
      <c r="G2275" s="19"/>
      <c r="J2275" s="19"/>
      <c r="K2275" s="19"/>
      <c r="L2275" s="19"/>
      <c r="R2275" s="19"/>
    </row>
    <row r="2276" spans="7:18" x14ac:dyDescent="0.25">
      <c r="G2276" s="19"/>
      <c r="J2276" s="19"/>
      <c r="K2276" s="19"/>
      <c r="L2276" s="19"/>
      <c r="R2276" s="19"/>
    </row>
    <row r="2277" spans="7:18" x14ac:dyDescent="0.25">
      <c r="G2277" s="19"/>
      <c r="J2277" s="19"/>
      <c r="K2277" s="19"/>
      <c r="L2277" s="19"/>
      <c r="R2277" s="19"/>
    </row>
    <row r="2278" spans="7:18" x14ac:dyDescent="0.25">
      <c r="G2278" s="19"/>
      <c r="J2278" s="19"/>
      <c r="K2278" s="19"/>
      <c r="L2278" s="19"/>
      <c r="R2278" s="19"/>
    </row>
    <row r="2279" spans="7:18" x14ac:dyDescent="0.25">
      <c r="G2279" s="19"/>
      <c r="J2279" s="19"/>
      <c r="K2279" s="19"/>
      <c r="L2279" s="19"/>
      <c r="R2279" s="19"/>
    </row>
    <row r="2280" spans="7:18" x14ac:dyDescent="0.25">
      <c r="G2280" s="19"/>
      <c r="J2280" s="19"/>
      <c r="K2280" s="19"/>
      <c r="L2280" s="19"/>
      <c r="R2280" s="19"/>
    </row>
    <row r="2281" spans="7:18" x14ac:dyDescent="0.25">
      <c r="G2281" s="19"/>
      <c r="J2281" s="19"/>
      <c r="K2281" s="19"/>
      <c r="L2281" s="19"/>
      <c r="R2281" s="19"/>
    </row>
    <row r="2282" spans="7:18" x14ac:dyDescent="0.25">
      <c r="G2282" s="19"/>
      <c r="J2282" s="19"/>
      <c r="K2282" s="19"/>
      <c r="L2282" s="19"/>
      <c r="R2282" s="19"/>
    </row>
    <row r="2283" spans="7:18" x14ac:dyDescent="0.25">
      <c r="G2283" s="19"/>
      <c r="J2283" s="19"/>
      <c r="K2283" s="19"/>
      <c r="L2283" s="19"/>
      <c r="R2283" s="19"/>
    </row>
    <row r="2284" spans="7:18" x14ac:dyDescent="0.25">
      <c r="G2284" s="19"/>
      <c r="J2284" s="19"/>
      <c r="K2284" s="19"/>
      <c r="L2284" s="19"/>
      <c r="R2284" s="19"/>
    </row>
    <row r="2285" spans="7:18" x14ac:dyDescent="0.25">
      <c r="G2285" s="19"/>
      <c r="J2285" s="19"/>
      <c r="K2285" s="19"/>
      <c r="L2285" s="19"/>
      <c r="R2285" s="19"/>
    </row>
    <row r="2286" spans="7:18" x14ac:dyDescent="0.25">
      <c r="G2286" s="19"/>
      <c r="J2286" s="19"/>
      <c r="K2286" s="19"/>
      <c r="L2286" s="19"/>
      <c r="R2286" s="19"/>
    </row>
    <row r="2287" spans="7:18" x14ac:dyDescent="0.25">
      <c r="G2287" s="19"/>
      <c r="J2287" s="19"/>
      <c r="K2287" s="19"/>
      <c r="L2287" s="19"/>
      <c r="R2287" s="19"/>
    </row>
    <row r="2288" spans="7:18" x14ac:dyDescent="0.25">
      <c r="G2288" s="19"/>
      <c r="J2288" s="19"/>
      <c r="K2288" s="19"/>
      <c r="L2288" s="19"/>
      <c r="R2288" s="19"/>
    </row>
    <row r="2289" spans="7:18" x14ac:dyDescent="0.25">
      <c r="G2289" s="19"/>
      <c r="J2289" s="19"/>
      <c r="K2289" s="19"/>
      <c r="L2289" s="19"/>
      <c r="R2289" s="19"/>
    </row>
    <row r="2290" spans="7:18" x14ac:dyDescent="0.25">
      <c r="G2290" s="19"/>
      <c r="J2290" s="19"/>
      <c r="K2290" s="19"/>
      <c r="L2290" s="19"/>
      <c r="R2290" s="19"/>
    </row>
    <row r="2291" spans="7:18" x14ac:dyDescent="0.25">
      <c r="G2291" s="19"/>
      <c r="J2291" s="19"/>
      <c r="K2291" s="19"/>
      <c r="L2291" s="19"/>
      <c r="R2291" s="19"/>
    </row>
    <row r="2292" spans="7:18" x14ac:dyDescent="0.25">
      <c r="G2292" s="19"/>
      <c r="J2292" s="19"/>
      <c r="K2292" s="19"/>
      <c r="L2292" s="19"/>
      <c r="R2292" s="19"/>
    </row>
    <row r="2293" spans="7:18" x14ac:dyDescent="0.25">
      <c r="G2293" s="19"/>
      <c r="J2293" s="19"/>
      <c r="K2293" s="19"/>
      <c r="L2293" s="19"/>
      <c r="R2293" s="19"/>
    </row>
    <row r="2294" spans="7:18" x14ac:dyDescent="0.25">
      <c r="G2294" s="19"/>
      <c r="J2294" s="19"/>
      <c r="K2294" s="19"/>
      <c r="L2294" s="19"/>
      <c r="R2294" s="19"/>
    </row>
    <row r="2295" spans="7:18" x14ac:dyDescent="0.25">
      <c r="G2295" s="19"/>
      <c r="J2295" s="19"/>
      <c r="K2295" s="19"/>
      <c r="L2295" s="19"/>
      <c r="R2295" s="19"/>
    </row>
    <row r="2296" spans="7:18" x14ac:dyDescent="0.25">
      <c r="G2296" s="19"/>
      <c r="J2296" s="19"/>
      <c r="K2296" s="19"/>
      <c r="L2296" s="19"/>
      <c r="R2296" s="19"/>
    </row>
    <row r="2297" spans="7:18" x14ac:dyDescent="0.25">
      <c r="G2297" s="19"/>
      <c r="J2297" s="19"/>
      <c r="K2297" s="19"/>
      <c r="L2297" s="19"/>
      <c r="R2297" s="19"/>
    </row>
    <row r="2298" spans="7:18" x14ac:dyDescent="0.25">
      <c r="G2298" s="19"/>
      <c r="J2298" s="19"/>
      <c r="K2298" s="19"/>
      <c r="L2298" s="19"/>
      <c r="R2298" s="19"/>
    </row>
    <row r="2299" spans="7:18" x14ac:dyDescent="0.25">
      <c r="G2299" s="19"/>
      <c r="J2299" s="19"/>
      <c r="K2299" s="19"/>
      <c r="L2299" s="19"/>
      <c r="R2299" s="19"/>
    </row>
    <row r="2300" spans="7:18" x14ac:dyDescent="0.25">
      <c r="G2300" s="19"/>
      <c r="J2300" s="19"/>
      <c r="K2300" s="19"/>
      <c r="L2300" s="19"/>
      <c r="R2300" s="19"/>
    </row>
    <row r="2301" spans="7:18" x14ac:dyDescent="0.25">
      <c r="G2301" s="19"/>
      <c r="J2301" s="19"/>
      <c r="K2301" s="19"/>
      <c r="L2301" s="19"/>
      <c r="R2301" s="19"/>
    </row>
    <row r="2302" spans="7:18" x14ac:dyDescent="0.25">
      <c r="G2302" s="19"/>
      <c r="J2302" s="19"/>
      <c r="K2302" s="19"/>
      <c r="L2302" s="19"/>
      <c r="R2302" s="19"/>
    </row>
    <row r="2303" spans="7:18" x14ac:dyDescent="0.25">
      <c r="G2303" s="19"/>
      <c r="J2303" s="19"/>
      <c r="K2303" s="19"/>
      <c r="L2303" s="19"/>
      <c r="R2303" s="19"/>
    </row>
    <row r="2304" spans="7:18" x14ac:dyDescent="0.25">
      <c r="G2304" s="19"/>
      <c r="J2304" s="19"/>
      <c r="K2304" s="19"/>
      <c r="L2304" s="19"/>
      <c r="R2304" s="19"/>
    </row>
    <row r="2305" spans="7:18" x14ac:dyDescent="0.25">
      <c r="G2305" s="19"/>
      <c r="J2305" s="19"/>
      <c r="K2305" s="19"/>
      <c r="L2305" s="19"/>
      <c r="R2305" s="19"/>
    </row>
    <row r="2306" spans="7:18" x14ac:dyDescent="0.25">
      <c r="G2306" s="19"/>
      <c r="J2306" s="19"/>
      <c r="K2306" s="19"/>
      <c r="L2306" s="19"/>
      <c r="R2306" s="19"/>
    </row>
    <row r="2307" spans="7:18" x14ac:dyDescent="0.25">
      <c r="G2307" s="19"/>
      <c r="J2307" s="19"/>
      <c r="K2307" s="19"/>
      <c r="L2307" s="19"/>
      <c r="R2307" s="19"/>
    </row>
    <row r="2308" spans="7:18" x14ac:dyDescent="0.25">
      <c r="G2308" s="19"/>
      <c r="J2308" s="19"/>
      <c r="K2308" s="19"/>
      <c r="L2308" s="19"/>
      <c r="R2308" s="19"/>
    </row>
    <row r="2309" spans="7:18" x14ac:dyDescent="0.25">
      <c r="G2309" s="19"/>
      <c r="J2309" s="19"/>
      <c r="K2309" s="19"/>
      <c r="L2309" s="19"/>
      <c r="R2309" s="19"/>
    </row>
    <row r="2310" spans="7:18" x14ac:dyDescent="0.25">
      <c r="G2310" s="19"/>
      <c r="J2310" s="19"/>
      <c r="K2310" s="19"/>
      <c r="L2310" s="19"/>
      <c r="R2310" s="19"/>
    </row>
    <row r="2311" spans="7:18" x14ac:dyDescent="0.25">
      <c r="G2311" s="19"/>
      <c r="J2311" s="19"/>
      <c r="K2311" s="19"/>
      <c r="L2311" s="19"/>
      <c r="R2311" s="19"/>
    </row>
    <row r="2312" spans="7:18" x14ac:dyDescent="0.25">
      <c r="G2312" s="19"/>
      <c r="J2312" s="19"/>
      <c r="K2312" s="19"/>
      <c r="L2312" s="19"/>
      <c r="R2312" s="19"/>
    </row>
    <row r="2313" spans="7:18" x14ac:dyDescent="0.25">
      <c r="G2313" s="19"/>
      <c r="J2313" s="19"/>
      <c r="K2313" s="19"/>
      <c r="L2313" s="19"/>
      <c r="R2313" s="19"/>
    </row>
    <row r="2314" spans="7:18" x14ac:dyDescent="0.25">
      <c r="G2314" s="19"/>
      <c r="J2314" s="19"/>
      <c r="K2314" s="19"/>
      <c r="L2314" s="19"/>
      <c r="R2314" s="19"/>
    </row>
    <row r="2315" spans="7:18" x14ac:dyDescent="0.25">
      <c r="G2315" s="19"/>
      <c r="J2315" s="19"/>
      <c r="K2315" s="19"/>
      <c r="L2315" s="19"/>
      <c r="R2315" s="19"/>
    </row>
    <row r="2316" spans="7:18" x14ac:dyDescent="0.25">
      <c r="G2316" s="19"/>
      <c r="J2316" s="19"/>
      <c r="K2316" s="19"/>
      <c r="L2316" s="19"/>
      <c r="R2316" s="19"/>
    </row>
    <row r="2317" spans="7:18" x14ac:dyDescent="0.25">
      <c r="G2317" s="19"/>
      <c r="J2317" s="19"/>
      <c r="K2317" s="19"/>
      <c r="L2317" s="19"/>
      <c r="R2317" s="19"/>
    </row>
    <row r="2318" spans="7:18" x14ac:dyDescent="0.25">
      <c r="G2318" s="19"/>
      <c r="J2318" s="19"/>
      <c r="K2318" s="19"/>
      <c r="L2318" s="19"/>
      <c r="R2318" s="19"/>
    </row>
    <row r="2319" spans="7:18" x14ac:dyDescent="0.25">
      <c r="G2319" s="19"/>
      <c r="J2319" s="19"/>
      <c r="K2319" s="19"/>
      <c r="L2319" s="19"/>
      <c r="R2319" s="19"/>
    </row>
    <row r="2320" spans="7:18" x14ac:dyDescent="0.25">
      <c r="G2320" s="19"/>
      <c r="J2320" s="19"/>
      <c r="K2320" s="19"/>
      <c r="L2320" s="19"/>
      <c r="R2320" s="19"/>
    </row>
    <row r="2321" spans="7:18" x14ac:dyDescent="0.25">
      <c r="G2321" s="19"/>
      <c r="J2321" s="19"/>
      <c r="K2321" s="19"/>
      <c r="L2321" s="19"/>
      <c r="R2321" s="19"/>
    </row>
    <row r="2322" spans="7:18" x14ac:dyDescent="0.25">
      <c r="G2322" s="19"/>
      <c r="J2322" s="19"/>
      <c r="K2322" s="19"/>
      <c r="L2322" s="19"/>
      <c r="R2322" s="19"/>
    </row>
    <row r="2323" spans="7:18" x14ac:dyDescent="0.25">
      <c r="G2323" s="19"/>
      <c r="J2323" s="19"/>
      <c r="K2323" s="19"/>
      <c r="L2323" s="19"/>
      <c r="R2323" s="19"/>
    </row>
    <row r="2324" spans="7:18" x14ac:dyDescent="0.25">
      <c r="G2324" s="19"/>
      <c r="J2324" s="19"/>
      <c r="K2324" s="19"/>
      <c r="L2324" s="19"/>
      <c r="R2324" s="19"/>
    </row>
    <row r="2325" spans="7:18" x14ac:dyDescent="0.25">
      <c r="G2325" s="19"/>
      <c r="J2325" s="19"/>
      <c r="K2325" s="19"/>
      <c r="L2325" s="19"/>
      <c r="R2325" s="19"/>
    </row>
    <row r="2326" spans="7:18" x14ac:dyDescent="0.25">
      <c r="G2326" s="19"/>
      <c r="J2326" s="19"/>
      <c r="K2326" s="19"/>
      <c r="L2326" s="19"/>
      <c r="R2326" s="19"/>
    </row>
    <row r="2327" spans="7:18" x14ac:dyDescent="0.25">
      <c r="G2327" s="19"/>
      <c r="J2327" s="19"/>
      <c r="K2327" s="19"/>
      <c r="L2327" s="19"/>
      <c r="R2327" s="19"/>
    </row>
    <row r="2328" spans="7:18" x14ac:dyDescent="0.25">
      <c r="G2328" s="19"/>
      <c r="J2328" s="19"/>
      <c r="K2328" s="19"/>
      <c r="L2328" s="19"/>
      <c r="R2328" s="19"/>
    </row>
    <row r="2329" spans="7:18" x14ac:dyDescent="0.25">
      <c r="G2329" s="19"/>
      <c r="J2329" s="19"/>
      <c r="K2329" s="19"/>
      <c r="L2329" s="19"/>
      <c r="R2329" s="19"/>
    </row>
    <row r="2330" spans="7:18" x14ac:dyDescent="0.25">
      <c r="G2330" s="19"/>
      <c r="J2330" s="19"/>
      <c r="K2330" s="19"/>
      <c r="L2330" s="19"/>
      <c r="R2330" s="19"/>
    </row>
    <row r="2331" spans="7:18" x14ac:dyDescent="0.25">
      <c r="G2331" s="19"/>
      <c r="J2331" s="19"/>
      <c r="K2331" s="19"/>
      <c r="L2331" s="19"/>
      <c r="R2331" s="19"/>
    </row>
    <row r="2332" spans="7:18" x14ac:dyDescent="0.25">
      <c r="G2332" s="19"/>
      <c r="J2332" s="19"/>
      <c r="K2332" s="19"/>
      <c r="L2332" s="19"/>
      <c r="R2332" s="19"/>
    </row>
    <row r="2333" spans="7:18" x14ac:dyDescent="0.25">
      <c r="G2333" s="19"/>
      <c r="J2333" s="19"/>
      <c r="K2333" s="19"/>
      <c r="L2333" s="19"/>
      <c r="R2333" s="19"/>
    </row>
    <row r="2334" spans="7:18" x14ac:dyDescent="0.25">
      <c r="G2334" s="19"/>
      <c r="J2334" s="19"/>
      <c r="K2334" s="19"/>
      <c r="L2334" s="19"/>
      <c r="R2334" s="19"/>
    </row>
    <row r="2335" spans="7:18" x14ac:dyDescent="0.25">
      <c r="G2335" s="19"/>
      <c r="J2335" s="19"/>
      <c r="K2335" s="19"/>
      <c r="L2335" s="19"/>
      <c r="R2335" s="19"/>
    </row>
    <row r="2336" spans="7:18" x14ac:dyDescent="0.25">
      <c r="G2336" s="19"/>
      <c r="J2336" s="19"/>
      <c r="K2336" s="19"/>
      <c r="L2336" s="19"/>
      <c r="R2336" s="19"/>
    </row>
    <row r="2337" spans="7:18" x14ac:dyDescent="0.25">
      <c r="G2337" s="19"/>
      <c r="J2337" s="19"/>
      <c r="K2337" s="19"/>
      <c r="L2337" s="19"/>
      <c r="R2337" s="19"/>
    </row>
    <row r="2338" spans="7:18" x14ac:dyDescent="0.25">
      <c r="G2338" s="19"/>
      <c r="J2338" s="19"/>
      <c r="K2338" s="19"/>
      <c r="L2338" s="19"/>
      <c r="R2338" s="19"/>
    </row>
    <row r="2339" spans="7:18" x14ac:dyDescent="0.25">
      <c r="G2339" s="19"/>
      <c r="J2339" s="19"/>
      <c r="K2339" s="19"/>
      <c r="L2339" s="19"/>
      <c r="R2339" s="19"/>
    </row>
    <row r="2340" spans="7:18" x14ac:dyDescent="0.25">
      <c r="G2340" s="19"/>
      <c r="J2340" s="19"/>
      <c r="K2340" s="19"/>
      <c r="L2340" s="19"/>
      <c r="R2340" s="19"/>
    </row>
    <row r="2341" spans="7:18" x14ac:dyDescent="0.25">
      <c r="G2341" s="19"/>
      <c r="J2341" s="19"/>
      <c r="K2341" s="19"/>
      <c r="L2341" s="19"/>
      <c r="R2341" s="19"/>
    </row>
    <row r="2342" spans="7:18" x14ac:dyDescent="0.25">
      <c r="G2342" s="19"/>
      <c r="J2342" s="19"/>
      <c r="K2342" s="19"/>
      <c r="L2342" s="19"/>
      <c r="R2342" s="19"/>
    </row>
    <row r="2343" spans="7:18" x14ac:dyDescent="0.25">
      <c r="G2343" s="19"/>
      <c r="J2343" s="19"/>
      <c r="K2343" s="19"/>
      <c r="L2343" s="19"/>
      <c r="R2343" s="19"/>
    </row>
    <row r="2344" spans="7:18" x14ac:dyDescent="0.25">
      <c r="G2344" s="19"/>
      <c r="J2344" s="19"/>
      <c r="K2344" s="19"/>
      <c r="L2344" s="19"/>
      <c r="R2344" s="19"/>
    </row>
    <row r="2345" spans="7:18" x14ac:dyDescent="0.25">
      <c r="G2345" s="19"/>
      <c r="J2345" s="19"/>
      <c r="K2345" s="19"/>
      <c r="L2345" s="19"/>
      <c r="R2345" s="19"/>
    </row>
    <row r="2346" spans="7:18" x14ac:dyDescent="0.25">
      <c r="G2346" s="19"/>
      <c r="J2346" s="19"/>
      <c r="K2346" s="19"/>
      <c r="L2346" s="19"/>
      <c r="R2346" s="19"/>
    </row>
    <row r="2347" spans="7:18" x14ac:dyDescent="0.25">
      <c r="G2347" s="19"/>
      <c r="J2347" s="19"/>
      <c r="K2347" s="19"/>
      <c r="L2347" s="19"/>
      <c r="R2347" s="19"/>
    </row>
    <row r="2348" spans="7:18" x14ac:dyDescent="0.25">
      <c r="G2348" s="19"/>
      <c r="J2348" s="19"/>
      <c r="K2348" s="19"/>
      <c r="L2348" s="19"/>
      <c r="R2348" s="19"/>
    </row>
    <row r="2349" spans="7:18" x14ac:dyDescent="0.25">
      <c r="G2349" s="19"/>
      <c r="J2349" s="19"/>
      <c r="K2349" s="19"/>
      <c r="L2349" s="19"/>
      <c r="R2349" s="19"/>
    </row>
    <row r="2350" spans="7:18" x14ac:dyDescent="0.25">
      <c r="G2350" s="19"/>
      <c r="J2350" s="19"/>
      <c r="K2350" s="19"/>
      <c r="L2350" s="19"/>
      <c r="R2350" s="19"/>
    </row>
    <row r="2351" spans="7:18" x14ac:dyDescent="0.25">
      <c r="G2351" s="19"/>
      <c r="J2351" s="19"/>
      <c r="K2351" s="19"/>
      <c r="L2351" s="19"/>
      <c r="R2351" s="19"/>
    </row>
    <row r="2352" spans="7:18" x14ac:dyDescent="0.25">
      <c r="G2352" s="19"/>
      <c r="J2352" s="19"/>
      <c r="K2352" s="19"/>
      <c r="L2352" s="19"/>
      <c r="R2352" s="19"/>
    </row>
    <row r="2353" spans="7:18" x14ac:dyDescent="0.25">
      <c r="G2353" s="19"/>
      <c r="J2353" s="19"/>
      <c r="K2353" s="19"/>
      <c r="L2353" s="19"/>
      <c r="R2353" s="19"/>
    </row>
    <row r="2354" spans="7:18" x14ac:dyDescent="0.25">
      <c r="G2354" s="19"/>
      <c r="J2354" s="19"/>
      <c r="K2354" s="19"/>
      <c r="L2354" s="19"/>
      <c r="R2354" s="19"/>
    </row>
    <row r="2355" spans="7:18" x14ac:dyDescent="0.25">
      <c r="G2355" s="19"/>
      <c r="J2355" s="19"/>
      <c r="K2355" s="19"/>
      <c r="L2355" s="19"/>
      <c r="R2355" s="19"/>
    </row>
    <row r="2356" spans="7:18" x14ac:dyDescent="0.25">
      <c r="G2356" s="19"/>
      <c r="J2356" s="19"/>
      <c r="K2356" s="19"/>
      <c r="L2356" s="19"/>
      <c r="R2356" s="19"/>
    </row>
    <row r="2357" spans="7:18" x14ac:dyDescent="0.25">
      <c r="G2357" s="19"/>
      <c r="J2357" s="19"/>
      <c r="K2357" s="19"/>
      <c r="L2357" s="19"/>
      <c r="R2357" s="19"/>
    </row>
    <row r="2358" spans="7:18" x14ac:dyDescent="0.25">
      <c r="G2358" s="19"/>
      <c r="J2358" s="19"/>
      <c r="K2358" s="19"/>
      <c r="L2358" s="19"/>
      <c r="R2358" s="19"/>
    </row>
    <row r="2359" spans="7:18" x14ac:dyDescent="0.25">
      <c r="G2359" s="19"/>
      <c r="J2359" s="19"/>
      <c r="K2359" s="19"/>
      <c r="L2359" s="19"/>
      <c r="R2359" s="19"/>
    </row>
    <row r="2360" spans="7:18" x14ac:dyDescent="0.25">
      <c r="G2360" s="19"/>
      <c r="J2360" s="19"/>
      <c r="K2360" s="19"/>
      <c r="L2360" s="19"/>
      <c r="R2360" s="19"/>
    </row>
    <row r="2361" spans="7:18" x14ac:dyDescent="0.25">
      <c r="G2361" s="19"/>
      <c r="J2361" s="19"/>
      <c r="K2361" s="19"/>
      <c r="L2361" s="19"/>
      <c r="R2361" s="19"/>
    </row>
    <row r="2362" spans="7:18" x14ac:dyDescent="0.25">
      <c r="G2362" s="19"/>
      <c r="J2362" s="19"/>
      <c r="K2362" s="19"/>
      <c r="L2362" s="19"/>
      <c r="R2362" s="19"/>
    </row>
    <row r="2363" spans="7:18" x14ac:dyDescent="0.25">
      <c r="G2363" s="19"/>
      <c r="J2363" s="19"/>
      <c r="K2363" s="19"/>
      <c r="L2363" s="19"/>
      <c r="R2363" s="19"/>
    </row>
    <row r="2364" spans="7:18" x14ac:dyDescent="0.25">
      <c r="G2364" s="19"/>
      <c r="J2364" s="19"/>
      <c r="K2364" s="19"/>
      <c r="L2364" s="19"/>
      <c r="R2364" s="19"/>
    </row>
    <row r="2365" spans="7:18" x14ac:dyDescent="0.25">
      <c r="G2365" s="19"/>
      <c r="J2365" s="19"/>
      <c r="K2365" s="19"/>
      <c r="L2365" s="19"/>
      <c r="R2365" s="19"/>
    </row>
    <row r="2366" spans="7:18" x14ac:dyDescent="0.25">
      <c r="G2366" s="19"/>
      <c r="J2366" s="19"/>
      <c r="K2366" s="19"/>
      <c r="L2366" s="19"/>
      <c r="R2366" s="19"/>
    </row>
    <row r="2367" spans="7:18" x14ac:dyDescent="0.25">
      <c r="G2367" s="19"/>
      <c r="J2367" s="19"/>
      <c r="K2367" s="19"/>
      <c r="L2367" s="19"/>
      <c r="R2367" s="19"/>
    </row>
    <row r="2368" spans="7:18" x14ac:dyDescent="0.25">
      <c r="G2368" s="19"/>
      <c r="J2368" s="19"/>
      <c r="K2368" s="19"/>
      <c r="L2368" s="19"/>
      <c r="R2368" s="19"/>
    </row>
    <row r="2369" spans="7:18" x14ac:dyDescent="0.25">
      <c r="G2369" s="19"/>
      <c r="J2369" s="19"/>
      <c r="K2369" s="19"/>
      <c r="L2369" s="19"/>
      <c r="R2369" s="19"/>
    </row>
    <row r="2370" spans="7:18" x14ac:dyDescent="0.25">
      <c r="G2370" s="19"/>
      <c r="J2370" s="19"/>
      <c r="K2370" s="19"/>
      <c r="L2370" s="19"/>
      <c r="R2370" s="19"/>
    </row>
    <row r="2371" spans="7:18" x14ac:dyDescent="0.25">
      <c r="G2371" s="19"/>
      <c r="J2371" s="19"/>
      <c r="K2371" s="19"/>
      <c r="L2371" s="19"/>
      <c r="R2371" s="19"/>
    </row>
    <row r="2372" spans="7:18" x14ac:dyDescent="0.25">
      <c r="G2372" s="19"/>
      <c r="J2372" s="19"/>
      <c r="K2372" s="19"/>
      <c r="L2372" s="19"/>
      <c r="R2372" s="19"/>
    </row>
    <row r="2373" spans="7:18" x14ac:dyDescent="0.25">
      <c r="G2373" s="19"/>
      <c r="J2373" s="19"/>
      <c r="K2373" s="19"/>
      <c r="L2373" s="19"/>
      <c r="R2373" s="19"/>
    </row>
    <row r="2374" spans="7:18" x14ac:dyDescent="0.25">
      <c r="G2374" s="19"/>
      <c r="J2374" s="19"/>
      <c r="K2374" s="19"/>
      <c r="L2374" s="19"/>
      <c r="R2374" s="19"/>
    </row>
    <row r="2375" spans="7:18" x14ac:dyDescent="0.25">
      <c r="G2375" s="19"/>
      <c r="J2375" s="19"/>
      <c r="K2375" s="19"/>
      <c r="L2375" s="19"/>
      <c r="R2375" s="19"/>
    </row>
    <row r="2376" spans="7:18" x14ac:dyDescent="0.25">
      <c r="G2376" s="19"/>
      <c r="J2376" s="19"/>
      <c r="K2376" s="19"/>
      <c r="L2376" s="19"/>
      <c r="R2376" s="19"/>
    </row>
    <row r="2377" spans="7:18" x14ac:dyDescent="0.25">
      <c r="G2377" s="19"/>
      <c r="J2377" s="19"/>
      <c r="K2377" s="19"/>
      <c r="L2377" s="19"/>
      <c r="R2377" s="19"/>
    </row>
    <row r="2378" spans="7:18" x14ac:dyDescent="0.25">
      <c r="G2378" s="19"/>
      <c r="J2378" s="19"/>
      <c r="K2378" s="19"/>
      <c r="L2378" s="19"/>
      <c r="R2378" s="19"/>
    </row>
    <row r="2379" spans="7:18" x14ac:dyDescent="0.25">
      <c r="G2379" s="19"/>
      <c r="J2379" s="19"/>
      <c r="K2379" s="19"/>
      <c r="L2379" s="19"/>
      <c r="R2379" s="19"/>
    </row>
    <row r="2380" spans="7:18" x14ac:dyDescent="0.25">
      <c r="G2380" s="19"/>
      <c r="J2380" s="19"/>
      <c r="K2380" s="19"/>
      <c r="L2380" s="19"/>
      <c r="R2380" s="19"/>
    </row>
    <row r="2381" spans="7:18" x14ac:dyDescent="0.25">
      <c r="G2381" s="19"/>
      <c r="J2381" s="19"/>
      <c r="K2381" s="19"/>
      <c r="L2381" s="19"/>
      <c r="R2381" s="19"/>
    </row>
    <row r="2382" spans="7:18" x14ac:dyDescent="0.25">
      <c r="G2382" s="19"/>
      <c r="J2382" s="19"/>
      <c r="K2382" s="19"/>
      <c r="L2382" s="19"/>
      <c r="R2382" s="19"/>
    </row>
    <row r="2383" spans="7:18" x14ac:dyDescent="0.25">
      <c r="G2383" s="19"/>
      <c r="J2383" s="19"/>
      <c r="K2383" s="19"/>
      <c r="L2383" s="19"/>
      <c r="R2383" s="19"/>
    </row>
    <row r="2384" spans="7:18" x14ac:dyDescent="0.25">
      <c r="G2384" s="19"/>
      <c r="J2384" s="19"/>
      <c r="K2384" s="19"/>
      <c r="L2384" s="19"/>
      <c r="R2384" s="19"/>
    </row>
    <row r="2385" spans="7:18" x14ac:dyDescent="0.25">
      <c r="G2385" s="19"/>
      <c r="J2385" s="19"/>
      <c r="K2385" s="19"/>
      <c r="L2385" s="19"/>
      <c r="R2385" s="19"/>
    </row>
    <row r="2386" spans="7:18" x14ac:dyDescent="0.25">
      <c r="G2386" s="19"/>
      <c r="J2386" s="19"/>
      <c r="K2386" s="19"/>
      <c r="L2386" s="19"/>
      <c r="R2386" s="19"/>
    </row>
    <row r="2387" spans="7:18" x14ac:dyDescent="0.25">
      <c r="G2387" s="19"/>
      <c r="J2387" s="19"/>
      <c r="K2387" s="19"/>
      <c r="L2387" s="19"/>
      <c r="R2387" s="19"/>
    </row>
    <row r="2388" spans="7:18" x14ac:dyDescent="0.25">
      <c r="G2388" s="19"/>
      <c r="J2388" s="19"/>
      <c r="K2388" s="19"/>
      <c r="L2388" s="19"/>
      <c r="R2388" s="19"/>
    </row>
    <row r="2389" spans="7:18" x14ac:dyDescent="0.25">
      <c r="G2389" s="19"/>
      <c r="J2389" s="19"/>
      <c r="K2389" s="19"/>
      <c r="L2389" s="19"/>
      <c r="R2389" s="19"/>
    </row>
    <row r="2390" spans="7:18" x14ac:dyDescent="0.25">
      <c r="G2390" s="19"/>
      <c r="J2390" s="19"/>
      <c r="K2390" s="19"/>
      <c r="L2390" s="19"/>
      <c r="R2390" s="19"/>
    </row>
    <row r="2391" spans="7:18" x14ac:dyDescent="0.25">
      <c r="G2391" s="19"/>
      <c r="J2391" s="19"/>
      <c r="K2391" s="19"/>
      <c r="L2391" s="19"/>
      <c r="R2391" s="19"/>
    </row>
    <row r="2392" spans="7:18" x14ac:dyDescent="0.25">
      <c r="G2392" s="19"/>
      <c r="J2392" s="19"/>
      <c r="K2392" s="19"/>
      <c r="L2392" s="19"/>
      <c r="R2392" s="19"/>
    </row>
    <row r="2393" spans="7:18" x14ac:dyDescent="0.25">
      <c r="G2393" s="19"/>
      <c r="J2393" s="19"/>
      <c r="K2393" s="19"/>
      <c r="L2393" s="19"/>
      <c r="R2393" s="19"/>
    </row>
    <row r="2394" spans="7:18" x14ac:dyDescent="0.25">
      <c r="G2394" s="19"/>
      <c r="J2394" s="19"/>
      <c r="K2394" s="19"/>
      <c r="L2394" s="19"/>
      <c r="R2394" s="19"/>
    </row>
    <row r="2395" spans="7:18" x14ac:dyDescent="0.25">
      <c r="G2395" s="19"/>
      <c r="J2395" s="19"/>
      <c r="K2395" s="19"/>
      <c r="L2395" s="19"/>
      <c r="R2395" s="19"/>
    </row>
    <row r="2396" spans="7:18" x14ac:dyDescent="0.25">
      <c r="G2396" s="19"/>
      <c r="J2396" s="19"/>
      <c r="K2396" s="19"/>
      <c r="L2396" s="19"/>
      <c r="R2396" s="19"/>
    </row>
    <row r="2397" spans="7:18" x14ac:dyDescent="0.25">
      <c r="G2397" s="19"/>
      <c r="J2397" s="19"/>
      <c r="K2397" s="19"/>
      <c r="L2397" s="19"/>
      <c r="R2397" s="19"/>
    </row>
    <row r="2398" spans="7:18" x14ac:dyDescent="0.25">
      <c r="G2398" s="19"/>
      <c r="J2398" s="19"/>
      <c r="K2398" s="19"/>
      <c r="L2398" s="19"/>
      <c r="R2398" s="19"/>
    </row>
    <row r="2399" spans="7:18" x14ac:dyDescent="0.25">
      <c r="G2399" s="19"/>
      <c r="J2399" s="19"/>
      <c r="K2399" s="19"/>
      <c r="L2399" s="19"/>
      <c r="R2399" s="19"/>
    </row>
    <row r="2400" spans="7:18" x14ac:dyDescent="0.25">
      <c r="G2400" s="19"/>
      <c r="J2400" s="19"/>
      <c r="K2400" s="19"/>
      <c r="L2400" s="19"/>
      <c r="R2400" s="19"/>
    </row>
    <row r="2401" spans="7:18" x14ac:dyDescent="0.25">
      <c r="G2401" s="19"/>
      <c r="J2401" s="19"/>
      <c r="K2401" s="19"/>
      <c r="L2401" s="19"/>
      <c r="R2401" s="19"/>
    </row>
    <row r="2402" spans="7:18" x14ac:dyDescent="0.25">
      <c r="G2402" s="19"/>
      <c r="J2402" s="19"/>
      <c r="K2402" s="19"/>
      <c r="L2402" s="19"/>
      <c r="R2402" s="19"/>
    </row>
    <row r="2403" spans="7:18" x14ac:dyDescent="0.25">
      <c r="G2403" s="19"/>
      <c r="J2403" s="19"/>
      <c r="K2403" s="19"/>
      <c r="L2403" s="19"/>
      <c r="R2403" s="19"/>
    </row>
    <row r="2404" spans="7:18" x14ac:dyDescent="0.25">
      <c r="G2404" s="19"/>
      <c r="J2404" s="19"/>
      <c r="K2404" s="19"/>
      <c r="L2404" s="19"/>
      <c r="R2404" s="19"/>
    </row>
    <row r="2405" spans="7:18" x14ac:dyDescent="0.25">
      <c r="G2405" s="19"/>
      <c r="J2405" s="19"/>
      <c r="K2405" s="19"/>
      <c r="L2405" s="19"/>
      <c r="R2405" s="19"/>
    </row>
    <row r="2406" spans="7:18" x14ac:dyDescent="0.25">
      <c r="G2406" s="19"/>
      <c r="J2406" s="19"/>
      <c r="K2406" s="19"/>
      <c r="L2406" s="19"/>
      <c r="R2406" s="19"/>
    </row>
    <row r="2407" spans="7:18" x14ac:dyDescent="0.25">
      <c r="G2407" s="19"/>
      <c r="J2407" s="19"/>
      <c r="K2407" s="19"/>
      <c r="L2407" s="19"/>
      <c r="R2407" s="19"/>
    </row>
    <row r="2408" spans="7:18" x14ac:dyDescent="0.25">
      <c r="G2408" s="19"/>
      <c r="J2408" s="19"/>
      <c r="K2408" s="19"/>
      <c r="L2408" s="19"/>
      <c r="R2408" s="19"/>
    </row>
    <row r="2409" spans="7:18" x14ac:dyDescent="0.25">
      <c r="G2409" s="19"/>
      <c r="J2409" s="19"/>
      <c r="K2409" s="19"/>
      <c r="L2409" s="19"/>
      <c r="R2409" s="19"/>
    </row>
    <row r="2410" spans="7:18" x14ac:dyDescent="0.25">
      <c r="G2410" s="19"/>
      <c r="J2410" s="19"/>
      <c r="K2410" s="19"/>
      <c r="L2410" s="19"/>
      <c r="R2410" s="19"/>
    </row>
    <row r="2411" spans="7:18" x14ac:dyDescent="0.25">
      <c r="G2411" s="19"/>
      <c r="J2411" s="19"/>
      <c r="K2411" s="19"/>
      <c r="L2411" s="19"/>
      <c r="R2411" s="19"/>
    </row>
    <row r="2412" spans="7:18" x14ac:dyDescent="0.25">
      <c r="G2412" s="19"/>
      <c r="J2412" s="19"/>
      <c r="K2412" s="19"/>
      <c r="L2412" s="19"/>
      <c r="R2412" s="19"/>
    </row>
    <row r="2413" spans="7:18" x14ac:dyDescent="0.25">
      <c r="G2413" s="19"/>
      <c r="J2413" s="19"/>
      <c r="K2413" s="19"/>
      <c r="L2413" s="19"/>
      <c r="R2413" s="19"/>
    </row>
    <row r="2414" spans="7:18" x14ac:dyDescent="0.25">
      <c r="G2414" s="19"/>
      <c r="J2414" s="19"/>
      <c r="K2414" s="19"/>
      <c r="L2414" s="19"/>
      <c r="R2414" s="19"/>
    </row>
    <row r="2415" spans="7:18" x14ac:dyDescent="0.25">
      <c r="G2415" s="19"/>
      <c r="J2415" s="19"/>
      <c r="K2415" s="19"/>
      <c r="L2415" s="19"/>
      <c r="R2415" s="19"/>
    </row>
    <row r="2416" spans="7:18" x14ac:dyDescent="0.25">
      <c r="G2416" s="19"/>
      <c r="J2416" s="19"/>
      <c r="K2416" s="19"/>
      <c r="L2416" s="19"/>
      <c r="R2416" s="19"/>
    </row>
    <row r="2417" spans="7:18" x14ac:dyDescent="0.25">
      <c r="G2417" s="19"/>
      <c r="J2417" s="19"/>
      <c r="K2417" s="19"/>
      <c r="L2417" s="19"/>
      <c r="R2417" s="19"/>
    </row>
    <row r="2418" spans="7:18" x14ac:dyDescent="0.25">
      <c r="G2418" s="19"/>
      <c r="J2418" s="19"/>
      <c r="K2418" s="19"/>
      <c r="L2418" s="19"/>
      <c r="R2418" s="19"/>
    </row>
    <row r="2419" spans="7:18" x14ac:dyDescent="0.25">
      <c r="G2419" s="19"/>
      <c r="J2419" s="19"/>
      <c r="K2419" s="19"/>
      <c r="L2419" s="19"/>
      <c r="R2419" s="19"/>
    </row>
    <row r="2420" spans="7:18" x14ac:dyDescent="0.25">
      <c r="G2420" s="19"/>
      <c r="J2420" s="19"/>
      <c r="K2420" s="19"/>
      <c r="L2420" s="19"/>
      <c r="R2420" s="19"/>
    </row>
    <row r="2421" spans="7:18" x14ac:dyDescent="0.25">
      <c r="G2421" s="19"/>
      <c r="J2421" s="19"/>
      <c r="K2421" s="19"/>
      <c r="L2421" s="19"/>
      <c r="R2421" s="19"/>
    </row>
    <row r="2422" spans="7:18" x14ac:dyDescent="0.25">
      <c r="G2422" s="19"/>
      <c r="J2422" s="19"/>
      <c r="K2422" s="19"/>
      <c r="L2422" s="19"/>
      <c r="R2422" s="19"/>
    </row>
    <row r="2423" spans="7:18" x14ac:dyDescent="0.25">
      <c r="G2423" s="19"/>
      <c r="J2423" s="19"/>
      <c r="K2423" s="19"/>
      <c r="L2423" s="19"/>
      <c r="R2423" s="19"/>
    </row>
    <row r="2424" spans="7:18" x14ac:dyDescent="0.25">
      <c r="G2424" s="19"/>
      <c r="J2424" s="19"/>
      <c r="K2424" s="19"/>
      <c r="L2424" s="19"/>
      <c r="R2424" s="19"/>
    </row>
    <row r="2425" spans="7:18" x14ac:dyDescent="0.25">
      <c r="G2425" s="19"/>
      <c r="J2425" s="19"/>
      <c r="K2425" s="19"/>
      <c r="L2425" s="19"/>
      <c r="R2425" s="19"/>
    </row>
    <row r="2426" spans="7:18" x14ac:dyDescent="0.25">
      <c r="G2426" s="19"/>
      <c r="J2426" s="19"/>
      <c r="K2426" s="19"/>
      <c r="L2426" s="19"/>
      <c r="R2426" s="19"/>
    </row>
    <row r="2427" spans="7:18" x14ac:dyDescent="0.25">
      <c r="G2427" s="19"/>
      <c r="J2427" s="19"/>
      <c r="K2427" s="19"/>
      <c r="L2427" s="19"/>
      <c r="R2427" s="19"/>
    </row>
    <row r="2428" spans="7:18" x14ac:dyDescent="0.25">
      <c r="G2428" s="19"/>
      <c r="J2428" s="19"/>
      <c r="K2428" s="19"/>
      <c r="L2428" s="19"/>
      <c r="R2428" s="19"/>
    </row>
    <row r="2429" spans="7:18" x14ac:dyDescent="0.25">
      <c r="G2429" s="19"/>
      <c r="J2429" s="19"/>
      <c r="K2429" s="19"/>
      <c r="L2429" s="19"/>
      <c r="R2429" s="19"/>
    </row>
    <row r="2430" spans="7:18" x14ac:dyDescent="0.25">
      <c r="G2430" s="19"/>
      <c r="J2430" s="19"/>
      <c r="K2430" s="19"/>
      <c r="L2430" s="19"/>
      <c r="R2430" s="19"/>
    </row>
    <row r="2431" spans="7:18" x14ac:dyDescent="0.25">
      <c r="G2431" s="19"/>
      <c r="J2431" s="19"/>
      <c r="K2431" s="19"/>
      <c r="L2431" s="19"/>
      <c r="R2431" s="19"/>
    </row>
    <row r="2432" spans="7:18" x14ac:dyDescent="0.25">
      <c r="G2432" s="19"/>
      <c r="J2432" s="19"/>
      <c r="K2432" s="19"/>
      <c r="L2432" s="19"/>
      <c r="R2432" s="19"/>
    </row>
    <row r="2433" spans="7:18" x14ac:dyDescent="0.25">
      <c r="G2433" s="19"/>
      <c r="J2433" s="19"/>
      <c r="K2433" s="19"/>
      <c r="L2433" s="19"/>
      <c r="R2433" s="19"/>
    </row>
    <row r="2434" spans="7:18" x14ac:dyDescent="0.25">
      <c r="G2434" s="19"/>
      <c r="J2434" s="19"/>
      <c r="K2434" s="19"/>
      <c r="L2434" s="19"/>
      <c r="R2434" s="19"/>
    </row>
    <row r="2435" spans="7:18" x14ac:dyDescent="0.25">
      <c r="G2435" s="19"/>
      <c r="J2435" s="19"/>
      <c r="K2435" s="19"/>
      <c r="L2435" s="19"/>
      <c r="R2435" s="19"/>
    </row>
    <row r="2436" spans="7:18" x14ac:dyDescent="0.25">
      <c r="G2436" s="19"/>
      <c r="J2436" s="19"/>
      <c r="K2436" s="19"/>
      <c r="L2436" s="19"/>
      <c r="R2436" s="19"/>
    </row>
    <row r="2437" spans="7:18" x14ac:dyDescent="0.25">
      <c r="G2437" s="19"/>
      <c r="J2437" s="19"/>
      <c r="K2437" s="19"/>
      <c r="L2437" s="19"/>
      <c r="R2437" s="19"/>
    </row>
    <row r="2438" spans="7:18" x14ac:dyDescent="0.25">
      <c r="G2438" s="19"/>
      <c r="J2438" s="19"/>
      <c r="K2438" s="19"/>
      <c r="L2438" s="19"/>
      <c r="R2438" s="19"/>
    </row>
    <row r="2439" spans="7:18" x14ac:dyDescent="0.25">
      <c r="G2439" s="19"/>
      <c r="J2439" s="19"/>
      <c r="K2439" s="19"/>
      <c r="L2439" s="19"/>
      <c r="R2439" s="19"/>
    </row>
    <row r="2440" spans="7:18" x14ac:dyDescent="0.25">
      <c r="G2440" s="19"/>
      <c r="J2440" s="19"/>
      <c r="K2440" s="19"/>
      <c r="L2440" s="19"/>
      <c r="R2440" s="19"/>
    </row>
    <row r="2441" spans="7:18" x14ac:dyDescent="0.25">
      <c r="G2441" s="19"/>
      <c r="J2441" s="19"/>
      <c r="K2441" s="19"/>
      <c r="L2441" s="19"/>
      <c r="R2441" s="19"/>
    </row>
    <row r="2442" spans="7:18" x14ac:dyDescent="0.25">
      <c r="G2442" s="19"/>
      <c r="J2442" s="19"/>
      <c r="K2442" s="19"/>
      <c r="L2442" s="19"/>
      <c r="R2442" s="19"/>
    </row>
    <row r="2443" spans="7:18" x14ac:dyDescent="0.25">
      <c r="G2443" s="19"/>
      <c r="J2443" s="19"/>
      <c r="K2443" s="19"/>
      <c r="L2443" s="19"/>
      <c r="R2443" s="19"/>
    </row>
    <row r="2444" spans="7:18" x14ac:dyDescent="0.25">
      <c r="G2444" s="19"/>
      <c r="J2444" s="19"/>
      <c r="K2444" s="19"/>
      <c r="L2444" s="19"/>
      <c r="R2444" s="19"/>
    </row>
    <row r="2445" spans="7:18" x14ac:dyDescent="0.25">
      <c r="G2445" s="19"/>
      <c r="J2445" s="19"/>
      <c r="K2445" s="19"/>
      <c r="L2445" s="19"/>
      <c r="R2445" s="19"/>
    </row>
    <row r="2446" spans="7:18" x14ac:dyDescent="0.25">
      <c r="G2446" s="19"/>
      <c r="J2446" s="19"/>
      <c r="K2446" s="19"/>
      <c r="L2446" s="19"/>
      <c r="R2446" s="19"/>
    </row>
    <row r="2447" spans="7:18" x14ac:dyDescent="0.25">
      <c r="G2447" s="19"/>
      <c r="J2447" s="19"/>
      <c r="K2447" s="19"/>
      <c r="L2447" s="19"/>
      <c r="R2447" s="19"/>
    </row>
    <row r="2448" spans="7:18" x14ac:dyDescent="0.25">
      <c r="G2448" s="19"/>
      <c r="J2448" s="19"/>
      <c r="K2448" s="19"/>
      <c r="L2448" s="19"/>
      <c r="R2448" s="19"/>
    </row>
    <row r="2449" spans="7:18" x14ac:dyDescent="0.25">
      <c r="G2449" s="19"/>
      <c r="J2449" s="19"/>
      <c r="K2449" s="19"/>
      <c r="L2449" s="19"/>
      <c r="R2449" s="19"/>
    </row>
    <row r="2450" spans="7:18" x14ac:dyDescent="0.25">
      <c r="G2450" s="19"/>
      <c r="J2450" s="19"/>
      <c r="K2450" s="19"/>
      <c r="L2450" s="19"/>
      <c r="R2450" s="19"/>
    </row>
    <row r="2451" spans="7:18" x14ac:dyDescent="0.25">
      <c r="G2451" s="19"/>
      <c r="J2451" s="19"/>
      <c r="K2451" s="19"/>
      <c r="L2451" s="19"/>
      <c r="R2451" s="19"/>
    </row>
    <row r="2452" spans="7:18" x14ac:dyDescent="0.25">
      <c r="G2452" s="19"/>
      <c r="J2452" s="19"/>
      <c r="K2452" s="19"/>
      <c r="L2452" s="19"/>
      <c r="R2452" s="19"/>
    </row>
    <row r="2453" spans="7:18" x14ac:dyDescent="0.25">
      <c r="G2453" s="19"/>
      <c r="J2453" s="19"/>
      <c r="K2453" s="19"/>
      <c r="L2453" s="19"/>
      <c r="R2453" s="19"/>
    </row>
    <row r="2454" spans="7:18" x14ac:dyDescent="0.25">
      <c r="G2454" s="19"/>
      <c r="J2454" s="19"/>
      <c r="K2454" s="19"/>
      <c r="L2454" s="19"/>
      <c r="R2454" s="19"/>
    </row>
    <row r="2455" spans="7:18" x14ac:dyDescent="0.25">
      <c r="G2455" s="19"/>
      <c r="J2455" s="19"/>
      <c r="K2455" s="19"/>
      <c r="L2455" s="19"/>
      <c r="R2455" s="19"/>
    </row>
    <row r="2456" spans="7:18" x14ac:dyDescent="0.25">
      <c r="G2456" s="19"/>
      <c r="J2456" s="19"/>
      <c r="K2456" s="19"/>
      <c r="L2456" s="19"/>
      <c r="R2456" s="19"/>
    </row>
    <row r="2457" spans="7:18" x14ac:dyDescent="0.25">
      <c r="G2457" s="19"/>
      <c r="J2457" s="19"/>
      <c r="K2457" s="19"/>
      <c r="L2457" s="19"/>
      <c r="R2457" s="19"/>
    </row>
    <row r="2458" spans="7:18" x14ac:dyDescent="0.25">
      <c r="G2458" s="19"/>
      <c r="J2458" s="19"/>
      <c r="K2458" s="19"/>
      <c r="L2458" s="19"/>
      <c r="R2458" s="19"/>
    </row>
    <row r="2459" spans="7:18" x14ac:dyDescent="0.25">
      <c r="G2459" s="19"/>
      <c r="J2459" s="19"/>
      <c r="K2459" s="19"/>
      <c r="L2459" s="19"/>
      <c r="R2459" s="19"/>
    </row>
    <row r="2460" spans="7:18" x14ac:dyDescent="0.25">
      <c r="G2460" s="19"/>
      <c r="J2460" s="19"/>
      <c r="K2460" s="19"/>
      <c r="L2460" s="19"/>
      <c r="R2460" s="19"/>
    </row>
    <row r="2461" spans="7:18" x14ac:dyDescent="0.25">
      <c r="G2461" s="19"/>
      <c r="J2461" s="19"/>
      <c r="K2461" s="19"/>
      <c r="L2461" s="19"/>
      <c r="R2461" s="19"/>
    </row>
    <row r="2462" spans="7:18" x14ac:dyDescent="0.25">
      <c r="G2462" s="19"/>
      <c r="J2462" s="19"/>
      <c r="K2462" s="19"/>
      <c r="L2462" s="19"/>
      <c r="R2462" s="19"/>
    </row>
    <row r="2463" spans="7:18" x14ac:dyDescent="0.25">
      <c r="G2463" s="19"/>
      <c r="J2463" s="19"/>
      <c r="K2463" s="19"/>
      <c r="L2463" s="19"/>
      <c r="R2463" s="19"/>
    </row>
    <row r="2464" spans="7:18" x14ac:dyDescent="0.25">
      <c r="G2464" s="19"/>
      <c r="J2464" s="19"/>
      <c r="K2464" s="19"/>
      <c r="L2464" s="19"/>
      <c r="R2464" s="19"/>
    </row>
    <row r="2465" spans="7:18" x14ac:dyDescent="0.25">
      <c r="G2465" s="19"/>
      <c r="J2465" s="19"/>
      <c r="K2465" s="19"/>
      <c r="L2465" s="19"/>
      <c r="R2465" s="19"/>
    </row>
    <row r="2466" spans="7:18" x14ac:dyDescent="0.25">
      <c r="G2466" s="19"/>
      <c r="J2466" s="19"/>
      <c r="K2466" s="19"/>
      <c r="L2466" s="19"/>
      <c r="R2466" s="19"/>
    </row>
    <row r="2467" spans="7:18" x14ac:dyDescent="0.25">
      <c r="G2467" s="19"/>
      <c r="J2467" s="19"/>
      <c r="K2467" s="19"/>
      <c r="L2467" s="19"/>
      <c r="R2467" s="19"/>
    </row>
    <row r="2468" spans="7:18" x14ac:dyDescent="0.25">
      <c r="G2468" s="19"/>
      <c r="J2468" s="19"/>
      <c r="K2468" s="19"/>
      <c r="L2468" s="19"/>
      <c r="R2468" s="19"/>
    </row>
    <row r="2469" spans="7:18" x14ac:dyDescent="0.25">
      <c r="G2469" s="19"/>
      <c r="J2469" s="19"/>
      <c r="K2469" s="19"/>
      <c r="L2469" s="19"/>
      <c r="R2469" s="19"/>
    </row>
    <row r="2470" spans="7:18" x14ac:dyDescent="0.25">
      <c r="G2470" s="19"/>
      <c r="J2470" s="19"/>
      <c r="K2470" s="19"/>
      <c r="L2470" s="19"/>
      <c r="R2470" s="19"/>
    </row>
    <row r="2471" spans="7:18" x14ac:dyDescent="0.25">
      <c r="G2471" s="19"/>
      <c r="J2471" s="19"/>
      <c r="K2471" s="19"/>
      <c r="L2471" s="19"/>
      <c r="R2471" s="19"/>
    </row>
    <row r="2472" spans="7:18" x14ac:dyDescent="0.25">
      <c r="G2472" s="19"/>
      <c r="J2472" s="19"/>
      <c r="K2472" s="19"/>
      <c r="L2472" s="19"/>
      <c r="R2472" s="19"/>
    </row>
    <row r="2473" spans="7:18" x14ac:dyDescent="0.25">
      <c r="G2473" s="19"/>
      <c r="J2473" s="19"/>
      <c r="K2473" s="19"/>
      <c r="L2473" s="19"/>
      <c r="R2473" s="19"/>
    </row>
    <row r="2474" spans="7:18" x14ac:dyDescent="0.25">
      <c r="G2474" s="19"/>
      <c r="J2474" s="19"/>
      <c r="K2474" s="19"/>
      <c r="L2474" s="19"/>
      <c r="R2474" s="19"/>
    </row>
    <row r="2475" spans="7:18" x14ac:dyDescent="0.25">
      <c r="G2475" s="19"/>
      <c r="J2475" s="19"/>
      <c r="K2475" s="19"/>
      <c r="L2475" s="19"/>
      <c r="R2475" s="19"/>
    </row>
    <row r="2476" spans="7:18" x14ac:dyDescent="0.25">
      <c r="G2476" s="19"/>
      <c r="J2476" s="19"/>
      <c r="K2476" s="19"/>
      <c r="L2476" s="19"/>
      <c r="R2476" s="19"/>
    </row>
    <row r="2477" spans="7:18" x14ac:dyDescent="0.25">
      <c r="G2477" s="19"/>
      <c r="J2477" s="19"/>
      <c r="K2477" s="19"/>
      <c r="L2477" s="19"/>
      <c r="R2477" s="19"/>
    </row>
    <row r="2478" spans="7:18" x14ac:dyDescent="0.25">
      <c r="G2478" s="19"/>
      <c r="J2478" s="19"/>
      <c r="K2478" s="19"/>
      <c r="L2478" s="19"/>
      <c r="R2478" s="19"/>
    </row>
    <row r="2479" spans="7:18" x14ac:dyDescent="0.25">
      <c r="G2479" s="19"/>
      <c r="J2479" s="19"/>
      <c r="K2479" s="19"/>
      <c r="L2479" s="19"/>
      <c r="R2479" s="19"/>
    </row>
    <row r="2480" spans="7:18" x14ac:dyDescent="0.25">
      <c r="G2480" s="19"/>
      <c r="J2480" s="19"/>
      <c r="K2480" s="19"/>
      <c r="L2480" s="19"/>
      <c r="R2480" s="19"/>
    </row>
    <row r="2481" spans="7:18" x14ac:dyDescent="0.25">
      <c r="G2481" s="19"/>
      <c r="J2481" s="19"/>
      <c r="K2481" s="19"/>
      <c r="L2481" s="19"/>
      <c r="R2481" s="19"/>
    </row>
    <row r="2482" spans="7:18" x14ac:dyDescent="0.25">
      <c r="G2482" s="19"/>
      <c r="J2482" s="19"/>
      <c r="K2482" s="19"/>
      <c r="L2482" s="19"/>
      <c r="R2482" s="19"/>
    </row>
    <row r="2483" spans="7:18" x14ac:dyDescent="0.25">
      <c r="G2483" s="19"/>
      <c r="J2483" s="19"/>
      <c r="K2483" s="19"/>
      <c r="L2483" s="19"/>
      <c r="R2483" s="19"/>
    </row>
    <row r="2484" spans="7:18" x14ac:dyDescent="0.25">
      <c r="G2484" s="19"/>
      <c r="J2484" s="19"/>
      <c r="K2484" s="19"/>
      <c r="L2484" s="19"/>
      <c r="R2484" s="19"/>
    </row>
    <row r="2485" spans="7:18" x14ac:dyDescent="0.25">
      <c r="G2485" s="19"/>
      <c r="J2485" s="19"/>
      <c r="K2485" s="19"/>
      <c r="L2485" s="19"/>
      <c r="R2485" s="19"/>
    </row>
    <row r="2486" spans="7:18" x14ac:dyDescent="0.25">
      <c r="G2486" s="19"/>
      <c r="J2486" s="19"/>
      <c r="K2486" s="19"/>
      <c r="L2486" s="19"/>
      <c r="R2486" s="19"/>
    </row>
    <row r="2487" spans="7:18" x14ac:dyDescent="0.25">
      <c r="G2487" s="19"/>
      <c r="J2487" s="19"/>
      <c r="K2487" s="19"/>
      <c r="L2487" s="19"/>
      <c r="R2487" s="19"/>
    </row>
    <row r="2488" spans="7:18" x14ac:dyDescent="0.25">
      <c r="G2488" s="19"/>
      <c r="J2488" s="19"/>
      <c r="K2488" s="19"/>
      <c r="L2488" s="19"/>
      <c r="R2488" s="19"/>
    </row>
    <row r="2489" spans="7:18" x14ac:dyDescent="0.25">
      <c r="G2489" s="19"/>
      <c r="J2489" s="19"/>
      <c r="K2489" s="19"/>
      <c r="L2489" s="19"/>
      <c r="R2489" s="19"/>
    </row>
    <row r="2490" spans="7:18" x14ac:dyDescent="0.25">
      <c r="G2490" s="19"/>
      <c r="J2490" s="19"/>
      <c r="K2490" s="19"/>
      <c r="L2490" s="19"/>
      <c r="R2490" s="19"/>
    </row>
    <row r="2491" spans="7:18" x14ac:dyDescent="0.25">
      <c r="G2491" s="19"/>
      <c r="J2491" s="19"/>
      <c r="K2491" s="19"/>
      <c r="L2491" s="19"/>
      <c r="R2491" s="19"/>
    </row>
    <row r="2492" spans="7:18" x14ac:dyDescent="0.25">
      <c r="G2492" s="19"/>
      <c r="J2492" s="19"/>
      <c r="K2492" s="19"/>
      <c r="L2492" s="19"/>
      <c r="R2492" s="19"/>
    </row>
    <row r="2493" spans="7:18" x14ac:dyDescent="0.25">
      <c r="G2493" s="19"/>
      <c r="J2493" s="19"/>
      <c r="K2493" s="19"/>
      <c r="L2493" s="19"/>
      <c r="R2493" s="19"/>
    </row>
    <row r="2494" spans="7:18" x14ac:dyDescent="0.25">
      <c r="G2494" s="19"/>
      <c r="J2494" s="19"/>
      <c r="K2494" s="19"/>
      <c r="L2494" s="19"/>
      <c r="R2494" s="19"/>
    </row>
    <row r="2495" spans="7:18" x14ac:dyDescent="0.25">
      <c r="G2495" s="19"/>
      <c r="J2495" s="19"/>
      <c r="K2495" s="19"/>
      <c r="L2495" s="19"/>
      <c r="R2495" s="19"/>
    </row>
    <row r="2496" spans="7:18" x14ac:dyDescent="0.25">
      <c r="G2496" s="19"/>
      <c r="J2496" s="19"/>
      <c r="K2496" s="19"/>
      <c r="L2496" s="19"/>
      <c r="R2496" s="19"/>
    </row>
    <row r="2497" spans="7:18" x14ac:dyDescent="0.25">
      <c r="G2497" s="19"/>
      <c r="J2497" s="19"/>
      <c r="K2497" s="19"/>
      <c r="L2497" s="19"/>
      <c r="R2497" s="19"/>
    </row>
    <row r="2498" spans="7:18" x14ac:dyDescent="0.25">
      <c r="G2498" s="19"/>
      <c r="J2498" s="19"/>
      <c r="K2498" s="19"/>
      <c r="L2498" s="19"/>
      <c r="R2498" s="19"/>
    </row>
    <row r="2499" spans="7:18" x14ac:dyDescent="0.25">
      <c r="G2499" s="19"/>
      <c r="J2499" s="19"/>
      <c r="K2499" s="19"/>
      <c r="L2499" s="19"/>
      <c r="R2499" s="19"/>
    </row>
    <row r="2500" spans="7:18" x14ac:dyDescent="0.25">
      <c r="G2500" s="19"/>
      <c r="J2500" s="19"/>
      <c r="K2500" s="19"/>
      <c r="L2500" s="19"/>
      <c r="R2500" s="19"/>
    </row>
    <row r="2502" spans="7:18" x14ac:dyDescent="0.25">
      <c r="G2502" s="19"/>
      <c r="J2502" s="19"/>
      <c r="K2502" s="19"/>
      <c r="L2502" s="19"/>
      <c r="R2502" s="19"/>
    </row>
    <row r="2503" spans="7:18" x14ac:dyDescent="0.25">
      <c r="G2503" s="19"/>
      <c r="J2503" s="19"/>
      <c r="K2503" s="19"/>
      <c r="L2503" s="19"/>
      <c r="R2503" s="19"/>
    </row>
    <row r="2504" spans="7:18" x14ac:dyDescent="0.25">
      <c r="G2504" s="19"/>
      <c r="J2504" s="19"/>
      <c r="K2504" s="19"/>
      <c r="L2504" s="19"/>
      <c r="R2504" s="19"/>
    </row>
    <row r="2505" spans="7:18" x14ac:dyDescent="0.25">
      <c r="G2505" s="19"/>
      <c r="J2505" s="19"/>
      <c r="K2505" s="19"/>
      <c r="L2505" s="19"/>
      <c r="R2505" s="19"/>
    </row>
    <row r="2506" spans="7:18" x14ac:dyDescent="0.25">
      <c r="G2506" s="19"/>
      <c r="J2506" s="19"/>
      <c r="K2506" s="19"/>
      <c r="L2506" s="19"/>
      <c r="R2506" s="19"/>
    </row>
    <row r="2507" spans="7:18" x14ac:dyDescent="0.25">
      <c r="G2507" s="19"/>
      <c r="J2507" s="19"/>
      <c r="K2507" s="19"/>
      <c r="L2507" s="19"/>
      <c r="R2507" s="19"/>
    </row>
    <row r="2508" spans="7:18" x14ac:dyDescent="0.25">
      <c r="G2508" s="19"/>
      <c r="J2508" s="19"/>
      <c r="K2508" s="19"/>
      <c r="L2508" s="19"/>
      <c r="R2508" s="19"/>
    </row>
    <row r="2509" spans="7:18" x14ac:dyDescent="0.25">
      <c r="G2509" s="19"/>
      <c r="J2509" s="19"/>
      <c r="K2509" s="19"/>
      <c r="L2509" s="19"/>
      <c r="R2509" s="19"/>
    </row>
    <row r="2510" spans="7:18" x14ac:dyDescent="0.25">
      <c r="G2510" s="19"/>
      <c r="J2510" s="19"/>
      <c r="K2510" s="19"/>
      <c r="L2510" s="19"/>
      <c r="R2510" s="19"/>
    </row>
    <row r="2511" spans="7:18" x14ac:dyDescent="0.25">
      <c r="G2511" s="19"/>
      <c r="J2511" s="19"/>
      <c r="K2511" s="19"/>
      <c r="L2511" s="19"/>
      <c r="R2511" s="19"/>
    </row>
    <row r="2512" spans="7:18" x14ac:dyDescent="0.25">
      <c r="G2512" s="19"/>
      <c r="J2512" s="19"/>
      <c r="K2512" s="19"/>
      <c r="L2512" s="19"/>
      <c r="R2512" s="19"/>
    </row>
    <row r="2513" spans="7:18" x14ac:dyDescent="0.25">
      <c r="G2513" s="19"/>
      <c r="J2513" s="19"/>
      <c r="K2513" s="19"/>
      <c r="L2513" s="19"/>
      <c r="R2513" s="19"/>
    </row>
    <row r="2514" spans="7:18" x14ac:dyDescent="0.25">
      <c r="G2514" s="19"/>
      <c r="J2514" s="19"/>
      <c r="K2514" s="19"/>
      <c r="L2514" s="19"/>
      <c r="R2514" s="19"/>
    </row>
    <row r="2515" spans="7:18" x14ac:dyDescent="0.25">
      <c r="G2515" s="19"/>
      <c r="J2515" s="19"/>
      <c r="K2515" s="19"/>
      <c r="L2515" s="19"/>
      <c r="R2515" s="19"/>
    </row>
    <row r="2516" spans="7:18" x14ac:dyDescent="0.25">
      <c r="G2516" s="19"/>
      <c r="J2516" s="19"/>
      <c r="K2516" s="19"/>
      <c r="L2516" s="19"/>
      <c r="R2516" s="19"/>
    </row>
    <row r="2517" spans="7:18" x14ac:dyDescent="0.25">
      <c r="G2517" s="19"/>
      <c r="J2517" s="19"/>
      <c r="K2517" s="19"/>
      <c r="L2517" s="19"/>
      <c r="R2517" s="19"/>
    </row>
    <row r="2518" spans="7:18" x14ac:dyDescent="0.25">
      <c r="G2518" s="19"/>
      <c r="J2518" s="19"/>
      <c r="K2518" s="19"/>
      <c r="L2518" s="19"/>
      <c r="R2518" s="19"/>
    </row>
    <row r="2519" spans="7:18" x14ac:dyDescent="0.25">
      <c r="G2519" s="19"/>
      <c r="J2519" s="19"/>
      <c r="K2519" s="19"/>
      <c r="L2519" s="19"/>
      <c r="R2519" s="19"/>
    </row>
    <row r="2520" spans="7:18" x14ac:dyDescent="0.25">
      <c r="G2520" s="19"/>
      <c r="J2520" s="19"/>
      <c r="K2520" s="19"/>
      <c r="L2520" s="19"/>
      <c r="R2520" s="19"/>
    </row>
    <row r="2521" spans="7:18" x14ac:dyDescent="0.25">
      <c r="G2521" s="19"/>
      <c r="J2521" s="19"/>
      <c r="K2521" s="19"/>
      <c r="L2521" s="19"/>
      <c r="R2521" s="19"/>
    </row>
    <row r="2522" spans="7:18" x14ac:dyDescent="0.25">
      <c r="G2522" s="19"/>
      <c r="J2522" s="19"/>
      <c r="K2522" s="19"/>
      <c r="L2522" s="19"/>
      <c r="R2522" s="19"/>
    </row>
    <row r="2523" spans="7:18" x14ac:dyDescent="0.25">
      <c r="G2523" s="19"/>
      <c r="J2523" s="19"/>
      <c r="K2523" s="19"/>
      <c r="L2523" s="19"/>
      <c r="R2523" s="19"/>
    </row>
    <row r="2524" spans="7:18" x14ac:dyDescent="0.25">
      <c r="G2524" s="19"/>
      <c r="J2524" s="19"/>
      <c r="K2524" s="19"/>
      <c r="L2524" s="19"/>
      <c r="R2524" s="19"/>
    </row>
    <row r="2525" spans="7:18" x14ac:dyDescent="0.25">
      <c r="G2525" s="19"/>
      <c r="J2525" s="19"/>
      <c r="K2525" s="19"/>
      <c r="L2525" s="19"/>
      <c r="R2525" s="19"/>
    </row>
    <row r="2526" spans="7:18" x14ac:dyDescent="0.25">
      <c r="G2526" s="19"/>
      <c r="J2526" s="19"/>
      <c r="K2526" s="19"/>
      <c r="L2526" s="19"/>
      <c r="R2526" s="19"/>
    </row>
    <row r="2527" spans="7:18" x14ac:dyDescent="0.25">
      <c r="G2527" s="19"/>
      <c r="J2527" s="19"/>
      <c r="K2527" s="19"/>
      <c r="L2527" s="19"/>
      <c r="R2527" s="19"/>
    </row>
    <row r="2528" spans="7:18" x14ac:dyDescent="0.25">
      <c r="G2528" s="19"/>
      <c r="J2528" s="19"/>
      <c r="K2528" s="19"/>
      <c r="L2528" s="19"/>
      <c r="R2528" s="19"/>
    </row>
    <row r="2529" spans="7:18" x14ac:dyDescent="0.25">
      <c r="G2529" s="19"/>
      <c r="J2529" s="19"/>
      <c r="K2529" s="19"/>
      <c r="L2529" s="19"/>
      <c r="R2529" s="19"/>
    </row>
    <row r="2530" spans="7:18" x14ac:dyDescent="0.25">
      <c r="G2530" s="19"/>
      <c r="J2530" s="19"/>
      <c r="K2530" s="19"/>
      <c r="L2530" s="19"/>
      <c r="R2530" s="19"/>
    </row>
    <row r="2531" spans="7:18" x14ac:dyDescent="0.25">
      <c r="G2531" s="19"/>
      <c r="J2531" s="19"/>
      <c r="K2531" s="19"/>
      <c r="L2531" s="19"/>
      <c r="R2531" s="19"/>
    </row>
    <row r="2532" spans="7:18" x14ac:dyDescent="0.25">
      <c r="G2532" s="19"/>
      <c r="J2532" s="19"/>
      <c r="K2532" s="19"/>
      <c r="L2532" s="19"/>
      <c r="R2532" s="19"/>
    </row>
    <row r="2533" spans="7:18" x14ac:dyDescent="0.25">
      <c r="G2533" s="19"/>
      <c r="J2533" s="19"/>
      <c r="K2533" s="19"/>
      <c r="L2533" s="19"/>
      <c r="R2533" s="19"/>
    </row>
    <row r="2534" spans="7:18" x14ac:dyDescent="0.25">
      <c r="G2534" s="19"/>
      <c r="J2534" s="19"/>
      <c r="K2534" s="19"/>
      <c r="L2534" s="19"/>
      <c r="R2534" s="19"/>
    </row>
    <row r="2535" spans="7:18" x14ac:dyDescent="0.25">
      <c r="G2535" s="19"/>
      <c r="J2535" s="19"/>
      <c r="K2535" s="19"/>
      <c r="L2535" s="19"/>
      <c r="R2535" s="19"/>
    </row>
    <row r="2536" spans="7:18" x14ac:dyDescent="0.25">
      <c r="G2536" s="19"/>
      <c r="J2536" s="19"/>
      <c r="K2536" s="19"/>
      <c r="L2536" s="19"/>
      <c r="R2536" s="19"/>
    </row>
    <row r="2537" spans="7:18" x14ac:dyDescent="0.25">
      <c r="G2537" s="19"/>
      <c r="J2537" s="19"/>
      <c r="K2537" s="19"/>
      <c r="L2537" s="19"/>
      <c r="R2537" s="19"/>
    </row>
    <row r="2538" spans="7:18" x14ac:dyDescent="0.25">
      <c r="G2538" s="19"/>
      <c r="J2538" s="19"/>
      <c r="K2538" s="19"/>
      <c r="L2538" s="19"/>
      <c r="R2538" s="19"/>
    </row>
    <row r="2539" spans="7:18" x14ac:dyDescent="0.25">
      <c r="G2539" s="19"/>
      <c r="J2539" s="19"/>
      <c r="K2539" s="19"/>
      <c r="L2539" s="19"/>
      <c r="R2539" s="19"/>
    </row>
    <row r="2540" spans="7:18" x14ac:dyDescent="0.25">
      <c r="G2540" s="19"/>
      <c r="J2540" s="19"/>
      <c r="K2540" s="19"/>
      <c r="L2540" s="19"/>
      <c r="R2540" s="19"/>
    </row>
    <row r="2541" spans="7:18" x14ac:dyDescent="0.25">
      <c r="G2541" s="19"/>
      <c r="J2541" s="19"/>
      <c r="K2541" s="19"/>
      <c r="L2541" s="19"/>
      <c r="R2541" s="19"/>
    </row>
    <row r="2542" spans="7:18" x14ac:dyDescent="0.25">
      <c r="G2542" s="19"/>
      <c r="J2542" s="19"/>
      <c r="K2542" s="19"/>
      <c r="L2542" s="19"/>
      <c r="R2542" s="19"/>
    </row>
    <row r="2543" spans="7:18" x14ac:dyDescent="0.25">
      <c r="G2543" s="19"/>
      <c r="J2543" s="19"/>
      <c r="K2543" s="19"/>
      <c r="L2543" s="19"/>
      <c r="R2543" s="19"/>
    </row>
    <row r="2544" spans="7:18" x14ac:dyDescent="0.25">
      <c r="G2544" s="19"/>
      <c r="J2544" s="19"/>
      <c r="K2544" s="19"/>
      <c r="L2544" s="19"/>
      <c r="R2544" s="19"/>
    </row>
    <row r="2545" spans="7:18" x14ac:dyDescent="0.25">
      <c r="G2545" s="19"/>
      <c r="J2545" s="19"/>
      <c r="K2545" s="19"/>
      <c r="L2545" s="19"/>
      <c r="R2545" s="19"/>
    </row>
    <row r="2546" spans="7:18" x14ac:dyDescent="0.25">
      <c r="G2546" s="19"/>
      <c r="J2546" s="19"/>
      <c r="K2546" s="19"/>
      <c r="L2546" s="19"/>
      <c r="R2546" s="19"/>
    </row>
    <row r="2547" spans="7:18" x14ac:dyDescent="0.25">
      <c r="G2547" s="19"/>
      <c r="J2547" s="19"/>
      <c r="K2547" s="19"/>
      <c r="L2547" s="19"/>
      <c r="R2547" s="19"/>
    </row>
    <row r="2548" spans="7:18" x14ac:dyDescent="0.25">
      <c r="G2548" s="19"/>
      <c r="J2548" s="19"/>
      <c r="K2548" s="19"/>
      <c r="L2548" s="19"/>
      <c r="R2548" s="19"/>
    </row>
    <row r="2549" spans="7:18" x14ac:dyDescent="0.25">
      <c r="G2549" s="19"/>
      <c r="J2549" s="19"/>
      <c r="K2549" s="19"/>
      <c r="L2549" s="19"/>
      <c r="R2549" s="19"/>
    </row>
    <row r="2550" spans="7:18" x14ac:dyDescent="0.25">
      <c r="G2550" s="19"/>
      <c r="J2550" s="19"/>
      <c r="K2550" s="19"/>
      <c r="L2550" s="19"/>
      <c r="R2550" s="19"/>
    </row>
    <row r="2551" spans="7:18" x14ac:dyDescent="0.25">
      <c r="G2551" s="19"/>
      <c r="J2551" s="19"/>
      <c r="K2551" s="19"/>
      <c r="L2551" s="19"/>
      <c r="R2551" s="19"/>
    </row>
    <row r="2552" spans="7:18" x14ac:dyDescent="0.25">
      <c r="G2552" s="19"/>
      <c r="J2552" s="19"/>
      <c r="K2552" s="19"/>
      <c r="L2552" s="19"/>
      <c r="R2552" s="19"/>
    </row>
    <row r="2553" spans="7:18" x14ac:dyDescent="0.25">
      <c r="G2553" s="19"/>
      <c r="J2553" s="19"/>
      <c r="K2553" s="19"/>
      <c r="L2553" s="19"/>
      <c r="R2553" s="19"/>
    </row>
    <row r="2554" spans="7:18" x14ac:dyDescent="0.25">
      <c r="G2554" s="19"/>
      <c r="J2554" s="19"/>
      <c r="K2554" s="19"/>
      <c r="L2554" s="19"/>
      <c r="R2554" s="19"/>
    </row>
    <row r="2555" spans="7:18" x14ac:dyDescent="0.25">
      <c r="G2555" s="19"/>
      <c r="J2555" s="19"/>
      <c r="K2555" s="19"/>
      <c r="L2555" s="19"/>
      <c r="R2555" s="19"/>
    </row>
    <row r="2556" spans="7:18" x14ac:dyDescent="0.25">
      <c r="G2556" s="19"/>
      <c r="J2556" s="19"/>
      <c r="K2556" s="19"/>
      <c r="L2556" s="19"/>
      <c r="R2556" s="19"/>
    </row>
    <row r="2557" spans="7:18" x14ac:dyDescent="0.25">
      <c r="G2557" s="19"/>
      <c r="J2557" s="19"/>
      <c r="K2557" s="19"/>
      <c r="L2557" s="19"/>
      <c r="R2557" s="19"/>
    </row>
    <row r="2558" spans="7:18" x14ac:dyDescent="0.25">
      <c r="G2558" s="19"/>
      <c r="J2558" s="19"/>
      <c r="K2558" s="19"/>
      <c r="L2558" s="19"/>
      <c r="R2558" s="19"/>
    </row>
    <row r="2559" spans="7:18" x14ac:dyDescent="0.25">
      <c r="G2559" s="19"/>
      <c r="J2559" s="19"/>
      <c r="K2559" s="19"/>
      <c r="L2559" s="19"/>
      <c r="R2559" s="19"/>
    </row>
    <row r="2560" spans="7:18" x14ac:dyDescent="0.25">
      <c r="G2560" s="19"/>
      <c r="J2560" s="19"/>
      <c r="K2560" s="19"/>
      <c r="L2560" s="19"/>
      <c r="R2560" s="19"/>
    </row>
    <row r="2561" spans="7:18" x14ac:dyDescent="0.25">
      <c r="G2561" s="19"/>
      <c r="J2561" s="19"/>
      <c r="K2561" s="19"/>
      <c r="L2561" s="19"/>
      <c r="R2561" s="19"/>
    </row>
    <row r="2562" spans="7:18" x14ac:dyDescent="0.25">
      <c r="G2562" s="19"/>
      <c r="J2562" s="19"/>
      <c r="K2562" s="19"/>
      <c r="L2562" s="19"/>
      <c r="R2562" s="19"/>
    </row>
    <row r="2563" spans="7:18" x14ac:dyDescent="0.25">
      <c r="G2563" s="19"/>
      <c r="J2563" s="19"/>
      <c r="K2563" s="19"/>
      <c r="L2563" s="19"/>
      <c r="R2563" s="19"/>
    </row>
    <row r="2564" spans="7:18" x14ac:dyDescent="0.25">
      <c r="G2564" s="19"/>
      <c r="J2564" s="19"/>
      <c r="K2564" s="19"/>
      <c r="L2564" s="19"/>
      <c r="R2564" s="19"/>
    </row>
    <row r="2565" spans="7:18" x14ac:dyDescent="0.25">
      <c r="G2565" s="19"/>
      <c r="J2565" s="19"/>
      <c r="K2565" s="19"/>
      <c r="L2565" s="19"/>
      <c r="R2565" s="19"/>
    </row>
    <row r="2566" spans="7:18" x14ac:dyDescent="0.25">
      <c r="G2566" s="19"/>
      <c r="J2566" s="19"/>
      <c r="K2566" s="19"/>
      <c r="L2566" s="19"/>
      <c r="R2566" s="19"/>
    </row>
    <row r="2567" spans="7:18" x14ac:dyDescent="0.25">
      <c r="G2567" s="19"/>
      <c r="J2567" s="19"/>
      <c r="K2567" s="19"/>
      <c r="L2567" s="19"/>
      <c r="R2567" s="19"/>
    </row>
    <row r="2568" spans="7:18" x14ac:dyDescent="0.25">
      <c r="G2568" s="19"/>
      <c r="J2568" s="19"/>
      <c r="K2568" s="19"/>
      <c r="L2568" s="19"/>
      <c r="R2568" s="19"/>
    </row>
    <row r="2569" spans="7:18" x14ac:dyDescent="0.25">
      <c r="G2569" s="19"/>
      <c r="J2569" s="19"/>
      <c r="K2569" s="19"/>
      <c r="L2569" s="19"/>
      <c r="R2569" s="19"/>
    </row>
    <row r="2570" spans="7:18" x14ac:dyDescent="0.25">
      <c r="G2570" s="19"/>
      <c r="J2570" s="19"/>
      <c r="K2570" s="19"/>
      <c r="L2570" s="19"/>
      <c r="R2570" s="19"/>
    </row>
    <row r="2571" spans="7:18" x14ac:dyDescent="0.25">
      <c r="G2571" s="19"/>
      <c r="J2571" s="19"/>
      <c r="K2571" s="19"/>
      <c r="L2571" s="19"/>
      <c r="R2571" s="19"/>
    </row>
    <row r="2572" spans="7:18" x14ac:dyDescent="0.25">
      <c r="G2572" s="19"/>
      <c r="J2572" s="19"/>
      <c r="K2572" s="19"/>
      <c r="L2572" s="19"/>
      <c r="R2572" s="19"/>
    </row>
    <row r="2573" spans="7:18" x14ac:dyDescent="0.25">
      <c r="G2573" s="19"/>
      <c r="J2573" s="19"/>
      <c r="K2573" s="19"/>
      <c r="L2573" s="19"/>
      <c r="R2573" s="19"/>
    </row>
    <row r="2574" spans="7:18" x14ac:dyDescent="0.25">
      <c r="G2574" s="19"/>
      <c r="J2574" s="19"/>
      <c r="K2574" s="19"/>
      <c r="L2574" s="19"/>
      <c r="R2574" s="19"/>
    </row>
    <row r="2575" spans="7:18" x14ac:dyDescent="0.25">
      <c r="G2575" s="19"/>
      <c r="J2575" s="19"/>
      <c r="K2575" s="19"/>
      <c r="L2575" s="19"/>
      <c r="R2575" s="19"/>
    </row>
    <row r="2576" spans="7:18" x14ac:dyDescent="0.25">
      <c r="G2576" s="19"/>
      <c r="J2576" s="19"/>
      <c r="K2576" s="19"/>
      <c r="L2576" s="19"/>
      <c r="R2576" s="19"/>
    </row>
    <row r="2577" spans="7:18" x14ac:dyDescent="0.25">
      <c r="G2577" s="19"/>
      <c r="J2577" s="19"/>
      <c r="K2577" s="19"/>
      <c r="L2577" s="19"/>
      <c r="R2577" s="19"/>
    </row>
    <row r="2578" spans="7:18" x14ac:dyDescent="0.25">
      <c r="G2578" s="19"/>
      <c r="J2578" s="19"/>
      <c r="K2578" s="19"/>
      <c r="L2578" s="19"/>
      <c r="R2578" s="19"/>
    </row>
    <row r="2579" spans="7:18" x14ac:dyDescent="0.25">
      <c r="G2579" s="19"/>
      <c r="J2579" s="19"/>
      <c r="K2579" s="19"/>
      <c r="L2579" s="19"/>
      <c r="R2579" s="19"/>
    </row>
    <row r="2580" spans="7:18" x14ac:dyDescent="0.25">
      <c r="G2580" s="19"/>
      <c r="J2580" s="19"/>
      <c r="K2580" s="19"/>
      <c r="L2580" s="19"/>
      <c r="R2580" s="19"/>
    </row>
    <row r="2581" spans="7:18" x14ac:dyDescent="0.25">
      <c r="G2581" s="19"/>
      <c r="J2581" s="19"/>
      <c r="K2581" s="19"/>
      <c r="L2581" s="19"/>
      <c r="R2581" s="19"/>
    </row>
    <row r="2582" spans="7:18" x14ac:dyDescent="0.25">
      <c r="G2582" s="19"/>
      <c r="J2582" s="19"/>
      <c r="K2582" s="19"/>
      <c r="L2582" s="19"/>
      <c r="R2582" s="19"/>
    </row>
    <row r="2583" spans="7:18" x14ac:dyDescent="0.25">
      <c r="G2583" s="19"/>
      <c r="J2583" s="19"/>
      <c r="K2583" s="19"/>
      <c r="L2583" s="19"/>
      <c r="R2583" s="19"/>
    </row>
    <row r="2584" spans="7:18" x14ac:dyDescent="0.25">
      <c r="G2584" s="19"/>
      <c r="J2584" s="19"/>
      <c r="K2584" s="19"/>
      <c r="L2584" s="19"/>
      <c r="R2584" s="19"/>
    </row>
    <row r="2585" spans="7:18" x14ac:dyDescent="0.25">
      <c r="G2585" s="19"/>
      <c r="J2585" s="19"/>
      <c r="K2585" s="19"/>
      <c r="L2585" s="19"/>
      <c r="R2585" s="19"/>
    </row>
    <row r="2586" spans="7:18" x14ac:dyDescent="0.25">
      <c r="G2586" s="19"/>
      <c r="J2586" s="19"/>
      <c r="K2586" s="19"/>
      <c r="L2586" s="19"/>
      <c r="R2586" s="19"/>
    </row>
    <row r="2587" spans="7:18" x14ac:dyDescent="0.25">
      <c r="G2587" s="19"/>
      <c r="J2587" s="19"/>
      <c r="K2587" s="19"/>
      <c r="L2587" s="19"/>
      <c r="R2587" s="19"/>
    </row>
    <row r="2588" spans="7:18" x14ac:dyDescent="0.25">
      <c r="G2588" s="19"/>
      <c r="J2588" s="19"/>
      <c r="K2588" s="19"/>
      <c r="L2588" s="19"/>
      <c r="R2588" s="19"/>
    </row>
    <row r="2589" spans="7:18" x14ac:dyDescent="0.25">
      <c r="G2589" s="19"/>
      <c r="J2589" s="19"/>
      <c r="K2589" s="19"/>
      <c r="L2589" s="19"/>
      <c r="R2589" s="19"/>
    </row>
    <row r="2590" spans="7:18" x14ac:dyDescent="0.25">
      <c r="G2590" s="19"/>
      <c r="J2590" s="19"/>
      <c r="K2590" s="19"/>
      <c r="L2590" s="19"/>
      <c r="R2590" s="19"/>
    </row>
    <row r="2591" spans="7:18" x14ac:dyDescent="0.25">
      <c r="G2591" s="19"/>
      <c r="J2591" s="19"/>
      <c r="K2591" s="19"/>
      <c r="L2591" s="19"/>
      <c r="R2591" s="19"/>
    </row>
    <row r="2592" spans="7:18" x14ac:dyDescent="0.25">
      <c r="G2592" s="19"/>
      <c r="J2592" s="19"/>
      <c r="K2592" s="19"/>
      <c r="L2592" s="19"/>
      <c r="R2592" s="19"/>
    </row>
    <row r="2593" spans="7:18" x14ac:dyDescent="0.25">
      <c r="G2593" s="19"/>
      <c r="J2593" s="19"/>
      <c r="K2593" s="19"/>
      <c r="L2593" s="19"/>
      <c r="R2593" s="19"/>
    </row>
    <row r="2594" spans="7:18" x14ac:dyDescent="0.25">
      <c r="G2594" s="19"/>
      <c r="J2594" s="19"/>
      <c r="K2594" s="19"/>
      <c r="L2594" s="19"/>
      <c r="R2594" s="19"/>
    </row>
    <row r="2595" spans="7:18" x14ac:dyDescent="0.25">
      <c r="G2595" s="19"/>
      <c r="J2595" s="19"/>
      <c r="K2595" s="19"/>
      <c r="L2595" s="19"/>
      <c r="R2595" s="19"/>
    </row>
    <row r="2596" spans="7:18" x14ac:dyDescent="0.25">
      <c r="G2596" s="19"/>
      <c r="J2596" s="19"/>
      <c r="K2596" s="19"/>
      <c r="L2596" s="19"/>
      <c r="R2596" s="19"/>
    </row>
    <row r="2597" spans="7:18" x14ac:dyDescent="0.25">
      <c r="G2597" s="19"/>
      <c r="J2597" s="19"/>
      <c r="K2597" s="19"/>
      <c r="L2597" s="19"/>
      <c r="R2597" s="19"/>
    </row>
    <row r="2598" spans="7:18" x14ac:dyDescent="0.25">
      <c r="G2598" s="19"/>
      <c r="J2598" s="19"/>
      <c r="K2598" s="19"/>
      <c r="L2598" s="19"/>
      <c r="R2598" s="19"/>
    </row>
    <row r="2599" spans="7:18" x14ac:dyDescent="0.25">
      <c r="G2599" s="19"/>
      <c r="J2599" s="19"/>
      <c r="K2599" s="19"/>
      <c r="L2599" s="19"/>
      <c r="R2599" s="19"/>
    </row>
    <row r="2600" spans="7:18" x14ac:dyDescent="0.25">
      <c r="G2600" s="19"/>
      <c r="J2600" s="19"/>
      <c r="K2600" s="19"/>
      <c r="L2600" s="19"/>
      <c r="R2600" s="19"/>
    </row>
    <row r="2601" spans="7:18" x14ac:dyDescent="0.25">
      <c r="G2601" s="19"/>
      <c r="J2601" s="19"/>
      <c r="K2601" s="19"/>
      <c r="L2601" s="19"/>
      <c r="R2601" s="19"/>
    </row>
    <row r="2602" spans="7:18" x14ac:dyDescent="0.25">
      <c r="G2602" s="19"/>
      <c r="J2602" s="19"/>
      <c r="K2602" s="19"/>
      <c r="L2602" s="19"/>
      <c r="R2602" s="19"/>
    </row>
    <row r="2603" spans="7:18" x14ac:dyDescent="0.25">
      <c r="G2603" s="19"/>
      <c r="J2603" s="19"/>
      <c r="K2603" s="19"/>
      <c r="L2603" s="19"/>
      <c r="R2603" s="19"/>
    </row>
    <row r="2604" spans="7:18" x14ac:dyDescent="0.25">
      <c r="G2604" s="19"/>
      <c r="J2604" s="19"/>
      <c r="K2604" s="19"/>
      <c r="L2604" s="19"/>
      <c r="R2604" s="19"/>
    </row>
    <row r="2605" spans="7:18" x14ac:dyDescent="0.25">
      <c r="G2605" s="19"/>
      <c r="J2605" s="19"/>
      <c r="K2605" s="19"/>
      <c r="L2605" s="19"/>
      <c r="R2605" s="19"/>
    </row>
    <row r="2606" spans="7:18" x14ac:dyDescent="0.25">
      <c r="G2606" s="19"/>
      <c r="J2606" s="19"/>
      <c r="K2606" s="19"/>
      <c r="L2606" s="19"/>
      <c r="R2606" s="19"/>
    </row>
    <row r="2607" spans="7:18" x14ac:dyDescent="0.25">
      <c r="G2607" s="19"/>
      <c r="J2607" s="19"/>
      <c r="K2607" s="19"/>
      <c r="L2607" s="19"/>
      <c r="R2607" s="19"/>
    </row>
    <row r="2608" spans="7:18" x14ac:dyDescent="0.25">
      <c r="G2608" s="19"/>
      <c r="J2608" s="19"/>
      <c r="K2608" s="19"/>
      <c r="L2608" s="19"/>
      <c r="R2608" s="19"/>
    </row>
    <row r="2609" spans="7:18" x14ac:dyDescent="0.25">
      <c r="G2609" s="19"/>
      <c r="J2609" s="19"/>
      <c r="K2609" s="19"/>
      <c r="L2609" s="19"/>
      <c r="R2609" s="19"/>
    </row>
    <row r="2610" spans="7:18" x14ac:dyDescent="0.25">
      <c r="G2610" s="19"/>
      <c r="J2610" s="19"/>
      <c r="K2610" s="19"/>
      <c r="L2610" s="19"/>
      <c r="R2610" s="19"/>
    </row>
    <row r="2611" spans="7:18" x14ac:dyDescent="0.25">
      <c r="G2611" s="19"/>
      <c r="J2611" s="19"/>
      <c r="K2611" s="19"/>
      <c r="L2611" s="19"/>
      <c r="R2611" s="19"/>
    </row>
    <row r="2612" spans="7:18" x14ac:dyDescent="0.25">
      <c r="G2612" s="19"/>
      <c r="J2612" s="19"/>
      <c r="K2612" s="19"/>
      <c r="L2612" s="19"/>
      <c r="R2612" s="19"/>
    </row>
    <row r="2613" spans="7:18" x14ac:dyDescent="0.25">
      <c r="G2613" s="19"/>
      <c r="J2613" s="19"/>
      <c r="K2613" s="19"/>
      <c r="L2613" s="19"/>
      <c r="R2613" s="19"/>
    </row>
    <row r="2614" spans="7:18" x14ac:dyDescent="0.25">
      <c r="G2614" s="19"/>
      <c r="J2614" s="19"/>
      <c r="K2614" s="19"/>
      <c r="L2614" s="19"/>
      <c r="R2614" s="19"/>
    </row>
    <row r="2615" spans="7:18" x14ac:dyDescent="0.25">
      <c r="G2615" s="19"/>
      <c r="J2615" s="19"/>
      <c r="K2615" s="19"/>
      <c r="L2615" s="19"/>
      <c r="R2615" s="19"/>
    </row>
    <row r="2616" spans="7:18" x14ac:dyDescent="0.25">
      <c r="G2616" s="19"/>
      <c r="J2616" s="19"/>
      <c r="K2616" s="19"/>
      <c r="L2616" s="19"/>
      <c r="R2616" s="19"/>
    </row>
    <row r="2617" spans="7:18" x14ac:dyDescent="0.25">
      <c r="G2617" s="19"/>
      <c r="J2617" s="19"/>
      <c r="K2617" s="19"/>
      <c r="L2617" s="19"/>
      <c r="R2617" s="19"/>
    </row>
    <row r="2618" spans="7:18" x14ac:dyDescent="0.25">
      <c r="G2618" s="19"/>
      <c r="J2618" s="19"/>
      <c r="K2618" s="19"/>
      <c r="L2618" s="19"/>
      <c r="R2618" s="19"/>
    </row>
    <row r="2619" spans="7:18" x14ac:dyDescent="0.25">
      <c r="G2619" s="19"/>
      <c r="J2619" s="19"/>
      <c r="K2619" s="19"/>
      <c r="L2619" s="19"/>
      <c r="R2619" s="19"/>
    </row>
    <row r="2620" spans="7:18" x14ac:dyDescent="0.25">
      <c r="G2620" s="19"/>
      <c r="J2620" s="19"/>
      <c r="K2620" s="19"/>
      <c r="L2620" s="19"/>
      <c r="R2620" s="19"/>
    </row>
    <row r="2621" spans="7:18" x14ac:dyDescent="0.25">
      <c r="G2621" s="19"/>
      <c r="J2621" s="19"/>
      <c r="K2621" s="19"/>
      <c r="L2621" s="19"/>
      <c r="R2621" s="19"/>
    </row>
    <row r="2622" spans="7:18" x14ac:dyDescent="0.25">
      <c r="G2622" s="19"/>
      <c r="J2622" s="19"/>
      <c r="K2622" s="19"/>
      <c r="L2622" s="19"/>
      <c r="R2622" s="19"/>
    </row>
    <row r="2623" spans="7:18" x14ac:dyDescent="0.25">
      <c r="G2623" s="19"/>
      <c r="J2623" s="19"/>
      <c r="K2623" s="19"/>
      <c r="L2623" s="19"/>
      <c r="R2623" s="19"/>
    </row>
    <row r="2624" spans="7:18" x14ac:dyDescent="0.25">
      <c r="G2624" s="19"/>
      <c r="J2624" s="19"/>
      <c r="K2624" s="19"/>
      <c r="L2624" s="19"/>
      <c r="R2624" s="19"/>
    </row>
    <row r="2625" spans="7:18" x14ac:dyDescent="0.25">
      <c r="G2625" s="19"/>
      <c r="J2625" s="19"/>
      <c r="K2625" s="19"/>
      <c r="L2625" s="19"/>
      <c r="R2625" s="19"/>
    </row>
    <row r="2626" spans="7:18" x14ac:dyDescent="0.25">
      <c r="G2626" s="19"/>
      <c r="J2626" s="19"/>
      <c r="K2626" s="19"/>
      <c r="L2626" s="19"/>
      <c r="R2626" s="19"/>
    </row>
    <row r="2627" spans="7:18" x14ac:dyDescent="0.25">
      <c r="G2627" s="19"/>
      <c r="J2627" s="19"/>
      <c r="K2627" s="19"/>
      <c r="L2627" s="19"/>
      <c r="R2627" s="19"/>
    </row>
    <row r="2628" spans="7:18" x14ac:dyDescent="0.25">
      <c r="G2628" s="19"/>
      <c r="J2628" s="19"/>
      <c r="K2628" s="19"/>
      <c r="L2628" s="19"/>
      <c r="R2628" s="19"/>
    </row>
    <row r="2629" spans="7:18" x14ac:dyDescent="0.25">
      <c r="G2629" s="19"/>
      <c r="J2629" s="19"/>
      <c r="K2629" s="19"/>
      <c r="L2629" s="19"/>
      <c r="R2629" s="19"/>
    </row>
    <row r="2630" spans="7:18" x14ac:dyDescent="0.25">
      <c r="G2630" s="19"/>
      <c r="J2630" s="19"/>
      <c r="K2630" s="19"/>
      <c r="L2630" s="19"/>
      <c r="R2630" s="19"/>
    </row>
    <row r="2631" spans="7:18" x14ac:dyDescent="0.25">
      <c r="G2631" s="19"/>
      <c r="J2631" s="19"/>
      <c r="K2631" s="19"/>
      <c r="L2631" s="19"/>
      <c r="R2631" s="19"/>
    </row>
    <row r="2632" spans="7:18" x14ac:dyDescent="0.25">
      <c r="G2632" s="19"/>
      <c r="J2632" s="19"/>
      <c r="K2632" s="19"/>
      <c r="L2632" s="19"/>
      <c r="R2632" s="19"/>
    </row>
    <row r="2633" spans="7:18" x14ac:dyDescent="0.25">
      <c r="G2633" s="19"/>
      <c r="J2633" s="19"/>
      <c r="K2633" s="19"/>
      <c r="L2633" s="19"/>
      <c r="R2633" s="19"/>
    </row>
    <row r="2634" spans="7:18" x14ac:dyDescent="0.25">
      <c r="G2634" s="19"/>
      <c r="J2634" s="19"/>
      <c r="K2634" s="19"/>
      <c r="L2634" s="19"/>
      <c r="R2634" s="19"/>
    </row>
    <row r="2635" spans="7:18" x14ac:dyDescent="0.25">
      <c r="G2635" s="19"/>
      <c r="J2635" s="19"/>
      <c r="K2635" s="19"/>
      <c r="L2635" s="19"/>
      <c r="R2635" s="19"/>
    </row>
    <row r="2636" spans="7:18" x14ac:dyDescent="0.25">
      <c r="G2636" s="19"/>
      <c r="J2636" s="19"/>
      <c r="K2636" s="19"/>
      <c r="L2636" s="19"/>
      <c r="R2636" s="19"/>
    </row>
    <row r="2637" spans="7:18" x14ac:dyDescent="0.25">
      <c r="G2637" s="19"/>
      <c r="J2637" s="19"/>
      <c r="K2637" s="19"/>
      <c r="L2637" s="19"/>
      <c r="R2637" s="19"/>
    </row>
    <row r="2638" spans="7:18" x14ac:dyDescent="0.25">
      <c r="G2638" s="19"/>
      <c r="J2638" s="19"/>
      <c r="K2638" s="19"/>
      <c r="L2638" s="19"/>
      <c r="R2638" s="19"/>
    </row>
    <row r="2639" spans="7:18" x14ac:dyDescent="0.25">
      <c r="G2639" s="19"/>
      <c r="J2639" s="19"/>
      <c r="K2639" s="19"/>
      <c r="L2639" s="19"/>
      <c r="R2639" s="19"/>
    </row>
    <row r="2640" spans="7:18" x14ac:dyDescent="0.25">
      <c r="G2640" s="19"/>
      <c r="J2640" s="19"/>
      <c r="K2640" s="19"/>
      <c r="L2640" s="19"/>
      <c r="R2640" s="19"/>
    </row>
    <row r="2641" spans="7:18" x14ac:dyDescent="0.25">
      <c r="G2641" s="19"/>
      <c r="J2641" s="19"/>
      <c r="K2641" s="19"/>
      <c r="L2641" s="19"/>
      <c r="R2641" s="19"/>
    </row>
    <row r="2642" spans="7:18" x14ac:dyDescent="0.25">
      <c r="G2642" s="19"/>
      <c r="J2642" s="19"/>
      <c r="K2642" s="19"/>
      <c r="L2642" s="19"/>
      <c r="R2642" s="19"/>
    </row>
    <row r="2643" spans="7:18" x14ac:dyDescent="0.25">
      <c r="G2643" s="19"/>
      <c r="J2643" s="19"/>
      <c r="K2643" s="19"/>
      <c r="L2643" s="19"/>
      <c r="R2643" s="19"/>
    </row>
    <row r="2644" spans="7:18" x14ac:dyDescent="0.25">
      <c r="G2644" s="19"/>
      <c r="J2644" s="19"/>
      <c r="K2644" s="19"/>
      <c r="L2644" s="19"/>
      <c r="R2644" s="19"/>
    </row>
    <row r="2645" spans="7:18" x14ac:dyDescent="0.25">
      <c r="G2645" s="19"/>
      <c r="J2645" s="19"/>
      <c r="K2645" s="19"/>
      <c r="L2645" s="19"/>
      <c r="R2645" s="19"/>
    </row>
    <row r="2646" spans="7:18" x14ac:dyDescent="0.25">
      <c r="G2646" s="19"/>
      <c r="J2646" s="19"/>
      <c r="K2646" s="19"/>
      <c r="L2646" s="19"/>
      <c r="R2646" s="19"/>
    </row>
    <row r="2647" spans="7:18" x14ac:dyDescent="0.25">
      <c r="G2647" s="19"/>
      <c r="J2647" s="19"/>
      <c r="K2647" s="19"/>
      <c r="L2647" s="19"/>
      <c r="R2647" s="19"/>
    </row>
    <row r="2648" spans="7:18" x14ac:dyDescent="0.25">
      <c r="G2648" s="19"/>
      <c r="J2648" s="19"/>
      <c r="K2648" s="19"/>
      <c r="L2648" s="19"/>
      <c r="R2648" s="19"/>
    </row>
    <row r="2649" spans="7:18" x14ac:dyDescent="0.25">
      <c r="G2649" s="19"/>
      <c r="J2649" s="19"/>
      <c r="K2649" s="19"/>
      <c r="L2649" s="19"/>
      <c r="R2649" s="19"/>
    </row>
    <row r="2650" spans="7:18" x14ac:dyDescent="0.25">
      <c r="G2650" s="19"/>
      <c r="J2650" s="19"/>
      <c r="K2650" s="19"/>
      <c r="L2650" s="19"/>
      <c r="R2650" s="19"/>
    </row>
    <row r="2651" spans="7:18" x14ac:dyDescent="0.25">
      <c r="G2651" s="19"/>
      <c r="J2651" s="19"/>
      <c r="K2651" s="19"/>
      <c r="L2651" s="19"/>
      <c r="R2651" s="19"/>
    </row>
    <row r="2652" spans="7:18" x14ac:dyDescent="0.25">
      <c r="G2652" s="19"/>
      <c r="J2652" s="19"/>
      <c r="K2652" s="19"/>
      <c r="L2652" s="19"/>
      <c r="R2652" s="19"/>
    </row>
    <row r="2653" spans="7:18" x14ac:dyDescent="0.25">
      <c r="G2653" s="19"/>
      <c r="J2653" s="19"/>
      <c r="K2653" s="19"/>
      <c r="L2653" s="19"/>
      <c r="R2653" s="19"/>
    </row>
    <row r="2654" spans="7:18" x14ac:dyDescent="0.25">
      <c r="G2654" s="19"/>
      <c r="J2654" s="19"/>
      <c r="K2654" s="19"/>
      <c r="L2654" s="19"/>
      <c r="R2654" s="19"/>
    </row>
    <row r="2655" spans="7:18" x14ac:dyDescent="0.25">
      <c r="G2655" s="19"/>
      <c r="J2655" s="19"/>
      <c r="K2655" s="19"/>
      <c r="L2655" s="19"/>
      <c r="R2655" s="19"/>
    </row>
    <row r="2656" spans="7:18" x14ac:dyDescent="0.25">
      <c r="G2656" s="19"/>
      <c r="J2656" s="19"/>
      <c r="K2656" s="19"/>
      <c r="L2656" s="19"/>
      <c r="R2656" s="19"/>
    </row>
    <row r="2657" spans="7:18" x14ac:dyDescent="0.25">
      <c r="G2657" s="19"/>
      <c r="J2657" s="19"/>
      <c r="K2657" s="19"/>
      <c r="L2657" s="19"/>
      <c r="R2657" s="19"/>
    </row>
    <row r="2658" spans="7:18" x14ac:dyDescent="0.25">
      <c r="G2658" s="19"/>
      <c r="J2658" s="19"/>
      <c r="K2658" s="19"/>
      <c r="L2658" s="19"/>
      <c r="R2658" s="19"/>
    </row>
    <row r="2659" spans="7:18" x14ac:dyDescent="0.25">
      <c r="G2659" s="19"/>
      <c r="J2659" s="19"/>
      <c r="K2659" s="19"/>
      <c r="L2659" s="19"/>
      <c r="R2659" s="19"/>
    </row>
    <row r="2660" spans="7:18" x14ac:dyDescent="0.25">
      <c r="G2660" s="19"/>
      <c r="J2660" s="19"/>
      <c r="K2660" s="19"/>
      <c r="L2660" s="19"/>
      <c r="R2660" s="19"/>
    </row>
    <row r="2661" spans="7:18" x14ac:dyDescent="0.25">
      <c r="G2661" s="19"/>
      <c r="J2661" s="19"/>
      <c r="K2661" s="19"/>
      <c r="L2661" s="19"/>
      <c r="R2661" s="19"/>
    </row>
    <row r="2662" spans="7:18" x14ac:dyDescent="0.25">
      <c r="G2662" s="19"/>
      <c r="J2662" s="19"/>
      <c r="K2662" s="19"/>
      <c r="L2662" s="19"/>
      <c r="R2662" s="19"/>
    </row>
    <row r="2663" spans="7:18" x14ac:dyDescent="0.25">
      <c r="G2663" s="19"/>
      <c r="J2663" s="19"/>
      <c r="K2663" s="19"/>
      <c r="L2663" s="19"/>
      <c r="R2663" s="19"/>
    </row>
    <row r="2664" spans="7:18" x14ac:dyDescent="0.25">
      <c r="G2664" s="19"/>
      <c r="J2664" s="19"/>
      <c r="K2664" s="19"/>
      <c r="L2664" s="19"/>
      <c r="R2664" s="19"/>
    </row>
    <row r="2665" spans="7:18" x14ac:dyDescent="0.25">
      <c r="G2665" s="19"/>
      <c r="J2665" s="19"/>
      <c r="K2665" s="19"/>
      <c r="L2665" s="19"/>
      <c r="R2665" s="19"/>
    </row>
    <row r="2666" spans="7:18" x14ac:dyDescent="0.25">
      <c r="G2666" s="19"/>
      <c r="J2666" s="19"/>
      <c r="K2666" s="19"/>
      <c r="L2666" s="19"/>
      <c r="R2666" s="19"/>
    </row>
    <row r="2667" spans="7:18" x14ac:dyDescent="0.25">
      <c r="G2667" s="19"/>
      <c r="J2667" s="19"/>
      <c r="K2667" s="19"/>
      <c r="L2667" s="19"/>
      <c r="R2667" s="19"/>
    </row>
    <row r="2668" spans="7:18" x14ac:dyDescent="0.25">
      <c r="G2668" s="19"/>
      <c r="J2668" s="19"/>
      <c r="K2668" s="19"/>
      <c r="L2668" s="19"/>
      <c r="R2668" s="19"/>
    </row>
    <row r="2669" spans="7:18" x14ac:dyDescent="0.25">
      <c r="G2669" s="19"/>
      <c r="J2669" s="19"/>
      <c r="K2669" s="19"/>
      <c r="L2669" s="19"/>
      <c r="R2669" s="19"/>
    </row>
    <row r="2670" spans="7:18" x14ac:dyDescent="0.25">
      <c r="G2670" s="19"/>
      <c r="J2670" s="19"/>
      <c r="K2670" s="19"/>
      <c r="L2670" s="19"/>
      <c r="R2670" s="19"/>
    </row>
    <row r="2671" spans="7:18" x14ac:dyDescent="0.25">
      <c r="G2671" s="19"/>
      <c r="J2671" s="19"/>
      <c r="K2671" s="19"/>
      <c r="L2671" s="19"/>
      <c r="R2671" s="19"/>
    </row>
    <row r="2672" spans="7:18" x14ac:dyDescent="0.25">
      <c r="G2672" s="19"/>
      <c r="J2672" s="19"/>
      <c r="K2672" s="19"/>
      <c r="L2672" s="19"/>
      <c r="R2672" s="19"/>
    </row>
    <row r="2673" spans="7:18" x14ac:dyDescent="0.25">
      <c r="G2673" s="19"/>
      <c r="J2673" s="19"/>
      <c r="K2673" s="19"/>
      <c r="L2673" s="19"/>
      <c r="R2673" s="19"/>
    </row>
    <row r="2674" spans="7:18" x14ac:dyDescent="0.25">
      <c r="G2674" s="19"/>
      <c r="J2674" s="19"/>
      <c r="K2674" s="19"/>
      <c r="L2674" s="19"/>
      <c r="R2674" s="19"/>
    </row>
    <row r="2675" spans="7:18" x14ac:dyDescent="0.25">
      <c r="G2675" s="19"/>
      <c r="J2675" s="19"/>
      <c r="K2675" s="19"/>
      <c r="L2675" s="19"/>
      <c r="R2675" s="19"/>
    </row>
    <row r="2676" spans="7:18" x14ac:dyDescent="0.25">
      <c r="G2676" s="19"/>
      <c r="J2676" s="19"/>
      <c r="K2676" s="19"/>
      <c r="L2676" s="19"/>
      <c r="R2676" s="19"/>
    </row>
    <row r="2677" spans="7:18" x14ac:dyDescent="0.25">
      <c r="G2677" s="19"/>
      <c r="J2677" s="19"/>
      <c r="K2677" s="19"/>
      <c r="L2677" s="19"/>
      <c r="R2677" s="19"/>
    </row>
    <row r="2678" spans="7:18" x14ac:dyDescent="0.25">
      <c r="G2678" s="19"/>
      <c r="J2678" s="19"/>
      <c r="K2678" s="19"/>
      <c r="L2678" s="19"/>
      <c r="R2678" s="19"/>
    </row>
    <row r="2679" spans="7:18" x14ac:dyDescent="0.25">
      <c r="G2679" s="19"/>
      <c r="J2679" s="19"/>
      <c r="K2679" s="19"/>
      <c r="L2679" s="19"/>
      <c r="R2679" s="19"/>
    </row>
    <row r="2680" spans="7:18" x14ac:dyDescent="0.25">
      <c r="G2680" s="19"/>
      <c r="J2680" s="19"/>
      <c r="K2680" s="19"/>
      <c r="L2680" s="19"/>
      <c r="R2680" s="19"/>
    </row>
    <row r="2681" spans="7:18" x14ac:dyDescent="0.25">
      <c r="G2681" s="19"/>
      <c r="J2681" s="19"/>
      <c r="K2681" s="19"/>
      <c r="L2681" s="19"/>
      <c r="R2681" s="19"/>
    </row>
    <row r="2682" spans="7:18" x14ac:dyDescent="0.25">
      <c r="G2682" s="19"/>
      <c r="J2682" s="19"/>
      <c r="K2682" s="19"/>
      <c r="L2682" s="19"/>
      <c r="R2682" s="19"/>
    </row>
    <row r="2683" spans="7:18" x14ac:dyDescent="0.25">
      <c r="G2683" s="19"/>
      <c r="J2683" s="19"/>
      <c r="K2683" s="19"/>
      <c r="L2683" s="19"/>
      <c r="R2683" s="19"/>
    </row>
    <row r="2684" spans="7:18" x14ac:dyDescent="0.25">
      <c r="G2684" s="19"/>
      <c r="J2684" s="19"/>
      <c r="K2684" s="19"/>
      <c r="L2684" s="19"/>
      <c r="R2684" s="19"/>
    </row>
    <row r="2685" spans="7:18" x14ac:dyDescent="0.25">
      <c r="G2685" s="19"/>
      <c r="J2685" s="19"/>
      <c r="K2685" s="19"/>
      <c r="L2685" s="19"/>
      <c r="R2685" s="19"/>
    </row>
    <row r="2686" spans="7:18" x14ac:dyDescent="0.25">
      <c r="G2686" s="19"/>
      <c r="J2686" s="19"/>
      <c r="K2686" s="19"/>
      <c r="L2686" s="19"/>
      <c r="R2686" s="19"/>
    </row>
    <row r="2687" spans="7:18" x14ac:dyDescent="0.25">
      <c r="G2687" s="19"/>
      <c r="J2687" s="19"/>
      <c r="K2687" s="19"/>
      <c r="L2687" s="19"/>
      <c r="R2687" s="19"/>
    </row>
    <row r="2688" spans="7:18" x14ac:dyDescent="0.25">
      <c r="G2688" s="19"/>
      <c r="J2688" s="19"/>
      <c r="K2688" s="19"/>
      <c r="L2688" s="19"/>
      <c r="R2688" s="19"/>
    </row>
    <row r="2689" spans="7:18" x14ac:dyDescent="0.25">
      <c r="G2689" s="19"/>
      <c r="J2689" s="19"/>
      <c r="K2689" s="19"/>
      <c r="L2689" s="19"/>
      <c r="R2689" s="19"/>
    </row>
    <row r="2690" spans="7:18" x14ac:dyDescent="0.25">
      <c r="G2690" s="19"/>
      <c r="J2690" s="19"/>
      <c r="K2690" s="19"/>
      <c r="L2690" s="19"/>
      <c r="R2690" s="19"/>
    </row>
    <row r="2691" spans="7:18" x14ac:dyDescent="0.25">
      <c r="G2691" s="19"/>
      <c r="J2691" s="19"/>
      <c r="K2691" s="19"/>
      <c r="L2691" s="19"/>
      <c r="R2691" s="19"/>
    </row>
    <row r="2692" spans="7:18" x14ac:dyDescent="0.25">
      <c r="G2692" s="19"/>
      <c r="J2692" s="19"/>
      <c r="K2692" s="19"/>
      <c r="L2692" s="19"/>
      <c r="R2692" s="19"/>
    </row>
    <row r="2693" spans="7:18" x14ac:dyDescent="0.25">
      <c r="G2693" s="19"/>
      <c r="J2693" s="19"/>
      <c r="K2693" s="19"/>
      <c r="L2693" s="19"/>
      <c r="R2693" s="19"/>
    </row>
    <row r="2694" spans="7:18" x14ac:dyDescent="0.25">
      <c r="G2694" s="19"/>
      <c r="J2694" s="19"/>
      <c r="K2694" s="19"/>
      <c r="L2694" s="19"/>
      <c r="R2694" s="19"/>
    </row>
    <row r="2695" spans="7:18" x14ac:dyDescent="0.25">
      <c r="G2695" s="19"/>
      <c r="J2695" s="19"/>
      <c r="K2695" s="19"/>
      <c r="L2695" s="19"/>
      <c r="R2695" s="19"/>
    </row>
    <row r="2696" spans="7:18" x14ac:dyDescent="0.25">
      <c r="G2696" s="19"/>
      <c r="J2696" s="19"/>
      <c r="K2696" s="19"/>
      <c r="L2696" s="19"/>
      <c r="R2696" s="19"/>
    </row>
    <row r="2697" spans="7:18" x14ac:dyDescent="0.25">
      <c r="G2697" s="19"/>
      <c r="J2697" s="19"/>
      <c r="K2697" s="19"/>
      <c r="L2697" s="19"/>
      <c r="R2697" s="19"/>
    </row>
    <row r="2698" spans="7:18" x14ac:dyDescent="0.25">
      <c r="G2698" s="19"/>
      <c r="J2698" s="19"/>
      <c r="K2698" s="19"/>
      <c r="L2698" s="19"/>
      <c r="R2698" s="19"/>
    </row>
    <row r="2699" spans="7:18" x14ac:dyDescent="0.25">
      <c r="G2699" s="19"/>
      <c r="J2699" s="19"/>
      <c r="K2699" s="19"/>
      <c r="L2699" s="19"/>
      <c r="R2699" s="19"/>
    </row>
    <row r="2700" spans="7:18" x14ac:dyDescent="0.25">
      <c r="G2700" s="19"/>
      <c r="J2700" s="19"/>
      <c r="K2700" s="19"/>
      <c r="L2700" s="19"/>
      <c r="R2700" s="19"/>
    </row>
    <row r="2701" spans="7:18" x14ac:dyDescent="0.25">
      <c r="G2701" s="19"/>
      <c r="J2701" s="19"/>
      <c r="K2701" s="19"/>
      <c r="L2701" s="19"/>
      <c r="R2701" s="19"/>
    </row>
    <row r="2702" spans="7:18" x14ac:dyDescent="0.25">
      <c r="G2702" s="19"/>
      <c r="J2702" s="19"/>
      <c r="K2702" s="19"/>
      <c r="L2702" s="19"/>
      <c r="R2702" s="19"/>
    </row>
    <row r="2703" spans="7:18" x14ac:dyDescent="0.25">
      <c r="G2703" s="19"/>
      <c r="J2703" s="19"/>
      <c r="K2703" s="19"/>
      <c r="L2703" s="19"/>
      <c r="R2703" s="19"/>
    </row>
    <row r="2704" spans="7:18" x14ac:dyDescent="0.25">
      <c r="G2704" s="19"/>
      <c r="J2704" s="19"/>
      <c r="K2704" s="19"/>
      <c r="L2704" s="19"/>
      <c r="R2704" s="19"/>
    </row>
    <row r="2705" spans="7:18" x14ac:dyDescent="0.25">
      <c r="G2705" s="19"/>
      <c r="J2705" s="19"/>
      <c r="K2705" s="19"/>
      <c r="L2705" s="19"/>
      <c r="R2705" s="19"/>
    </row>
    <row r="2706" spans="7:18" x14ac:dyDescent="0.25">
      <c r="G2706" s="19"/>
      <c r="J2706" s="19"/>
      <c r="K2706" s="19"/>
      <c r="L2706" s="19"/>
      <c r="R2706" s="19"/>
    </row>
    <row r="2707" spans="7:18" x14ac:dyDescent="0.25">
      <c r="G2707" s="19"/>
      <c r="J2707" s="19"/>
      <c r="K2707" s="19"/>
      <c r="L2707" s="19"/>
      <c r="R2707" s="19"/>
    </row>
    <row r="2708" spans="7:18" x14ac:dyDescent="0.25">
      <c r="G2708" s="19"/>
      <c r="J2708" s="19"/>
      <c r="K2708" s="19"/>
      <c r="L2708" s="19"/>
      <c r="R2708" s="19"/>
    </row>
    <row r="2709" spans="7:18" x14ac:dyDescent="0.25">
      <c r="G2709" s="19"/>
      <c r="J2709" s="19"/>
      <c r="K2709" s="19"/>
      <c r="L2709" s="19"/>
      <c r="R2709" s="19"/>
    </row>
    <row r="2710" spans="7:18" x14ac:dyDescent="0.25">
      <c r="G2710" s="19"/>
      <c r="J2710" s="19"/>
      <c r="K2710" s="19"/>
      <c r="L2710" s="19"/>
      <c r="R2710" s="19"/>
    </row>
    <row r="2711" spans="7:18" x14ac:dyDescent="0.25">
      <c r="G2711" s="19"/>
      <c r="J2711" s="19"/>
      <c r="K2711" s="19"/>
      <c r="L2711" s="19"/>
      <c r="R2711" s="19"/>
    </row>
    <row r="2712" spans="7:18" x14ac:dyDescent="0.25">
      <c r="G2712" s="19"/>
      <c r="J2712" s="19"/>
      <c r="K2712" s="19"/>
      <c r="L2712" s="19"/>
      <c r="R2712" s="19"/>
    </row>
    <row r="2713" spans="7:18" x14ac:dyDescent="0.25">
      <c r="G2713" s="19"/>
      <c r="J2713" s="19"/>
      <c r="K2713" s="19"/>
      <c r="L2713" s="19"/>
      <c r="R2713" s="19"/>
    </row>
    <row r="2714" spans="7:18" x14ac:dyDescent="0.25">
      <c r="G2714" s="19"/>
      <c r="J2714" s="19"/>
      <c r="K2714" s="19"/>
      <c r="L2714" s="19"/>
      <c r="R2714" s="19"/>
    </row>
    <row r="2715" spans="7:18" x14ac:dyDescent="0.25">
      <c r="G2715" s="19"/>
      <c r="J2715" s="19"/>
      <c r="K2715" s="19"/>
      <c r="L2715" s="19"/>
      <c r="R2715" s="19"/>
    </row>
    <row r="2716" spans="7:18" x14ac:dyDescent="0.25">
      <c r="G2716" s="19"/>
      <c r="J2716" s="19"/>
      <c r="K2716" s="19"/>
      <c r="L2716" s="19"/>
      <c r="R2716" s="19"/>
    </row>
    <row r="2717" spans="7:18" x14ac:dyDescent="0.25">
      <c r="G2717" s="19"/>
      <c r="J2717" s="19"/>
      <c r="K2717" s="19"/>
      <c r="L2717" s="19"/>
      <c r="R2717" s="19"/>
    </row>
    <row r="2718" spans="7:18" x14ac:dyDescent="0.25">
      <c r="G2718" s="19"/>
      <c r="J2718" s="19"/>
      <c r="K2718" s="19"/>
      <c r="L2718" s="19"/>
      <c r="R2718" s="19"/>
    </row>
    <row r="2719" spans="7:18" x14ac:dyDescent="0.25">
      <c r="G2719" s="19"/>
      <c r="J2719" s="19"/>
      <c r="K2719" s="19"/>
      <c r="L2719" s="19"/>
      <c r="R2719" s="19"/>
    </row>
    <row r="2720" spans="7:18" x14ac:dyDescent="0.25">
      <c r="G2720" s="19"/>
      <c r="J2720" s="19"/>
      <c r="K2720" s="19"/>
      <c r="L2720" s="19"/>
      <c r="R2720" s="19"/>
    </row>
    <row r="2721" spans="7:18" x14ac:dyDescent="0.25">
      <c r="G2721" s="19"/>
      <c r="J2721" s="19"/>
      <c r="K2721" s="19"/>
      <c r="L2721" s="19"/>
      <c r="R2721" s="19"/>
    </row>
    <row r="2722" spans="7:18" x14ac:dyDescent="0.25">
      <c r="G2722" s="19"/>
      <c r="J2722" s="19"/>
      <c r="K2722" s="19"/>
      <c r="L2722" s="19"/>
      <c r="R2722" s="19"/>
    </row>
    <row r="2723" spans="7:18" x14ac:dyDescent="0.25">
      <c r="G2723" s="19"/>
      <c r="J2723" s="19"/>
      <c r="K2723" s="19"/>
      <c r="L2723" s="19"/>
      <c r="R2723" s="19"/>
    </row>
    <row r="2724" spans="7:18" x14ac:dyDescent="0.25">
      <c r="G2724" s="19"/>
      <c r="J2724" s="19"/>
      <c r="K2724" s="19"/>
      <c r="L2724" s="19"/>
      <c r="R2724" s="19"/>
    </row>
    <row r="2725" spans="7:18" x14ac:dyDescent="0.25">
      <c r="G2725" s="19"/>
      <c r="J2725" s="19"/>
      <c r="K2725" s="19"/>
      <c r="L2725" s="19"/>
      <c r="R2725" s="19"/>
    </row>
    <row r="2726" spans="7:18" x14ac:dyDescent="0.25">
      <c r="G2726" s="19"/>
      <c r="J2726" s="19"/>
      <c r="K2726" s="19"/>
      <c r="L2726" s="19"/>
      <c r="R2726" s="19"/>
    </row>
    <row r="2727" spans="7:18" x14ac:dyDescent="0.25">
      <c r="G2727" s="19"/>
      <c r="J2727" s="19"/>
      <c r="K2727" s="19"/>
      <c r="L2727" s="19"/>
      <c r="R2727" s="19"/>
    </row>
    <row r="2728" spans="7:18" x14ac:dyDescent="0.25">
      <c r="G2728" s="19"/>
      <c r="J2728" s="19"/>
      <c r="K2728" s="19"/>
      <c r="L2728" s="19"/>
      <c r="R2728" s="19"/>
    </row>
    <row r="2729" spans="7:18" x14ac:dyDescent="0.25">
      <c r="G2729" s="19"/>
      <c r="J2729" s="19"/>
      <c r="K2729" s="19"/>
      <c r="L2729" s="19"/>
      <c r="R2729" s="19"/>
    </row>
    <row r="2730" spans="7:18" x14ac:dyDescent="0.25">
      <c r="G2730" s="19"/>
      <c r="J2730" s="19"/>
      <c r="K2730" s="19"/>
      <c r="L2730" s="19"/>
      <c r="R2730" s="19"/>
    </row>
    <row r="2731" spans="7:18" x14ac:dyDescent="0.25">
      <c r="G2731" s="19"/>
      <c r="J2731" s="19"/>
      <c r="K2731" s="19"/>
      <c r="L2731" s="19"/>
      <c r="R2731" s="19"/>
    </row>
    <row r="2732" spans="7:18" x14ac:dyDescent="0.25">
      <c r="G2732" s="19"/>
      <c r="J2732" s="19"/>
      <c r="K2732" s="19"/>
      <c r="L2732" s="19"/>
      <c r="R2732" s="19"/>
    </row>
    <row r="2733" spans="7:18" x14ac:dyDescent="0.25">
      <c r="G2733" s="19"/>
      <c r="J2733" s="19"/>
      <c r="K2733" s="19"/>
      <c r="L2733" s="19"/>
      <c r="R2733" s="19"/>
    </row>
    <row r="2734" spans="7:18" x14ac:dyDescent="0.25">
      <c r="G2734" s="19"/>
      <c r="J2734" s="19"/>
      <c r="K2734" s="19"/>
      <c r="L2734" s="19"/>
      <c r="R2734" s="19"/>
    </row>
    <row r="2735" spans="7:18" x14ac:dyDescent="0.25">
      <c r="G2735" s="19"/>
      <c r="J2735" s="19"/>
      <c r="K2735" s="19"/>
      <c r="L2735" s="19"/>
      <c r="R2735" s="19"/>
    </row>
    <row r="2736" spans="7:18" x14ac:dyDescent="0.25">
      <c r="G2736" s="19"/>
      <c r="J2736" s="19"/>
      <c r="K2736" s="19"/>
      <c r="L2736" s="19"/>
      <c r="R2736" s="19"/>
    </row>
    <row r="2737" spans="7:18" x14ac:dyDescent="0.25">
      <c r="G2737" s="19"/>
      <c r="J2737" s="19"/>
      <c r="K2737" s="19"/>
      <c r="L2737" s="19"/>
      <c r="R2737" s="19"/>
    </row>
    <row r="2738" spans="7:18" x14ac:dyDescent="0.25">
      <c r="G2738" s="19"/>
      <c r="J2738" s="19"/>
      <c r="K2738" s="19"/>
      <c r="L2738" s="19"/>
      <c r="R2738" s="19"/>
    </row>
    <row r="2739" spans="7:18" x14ac:dyDescent="0.25">
      <c r="G2739" s="19"/>
      <c r="J2739" s="19"/>
      <c r="K2739" s="19"/>
      <c r="L2739" s="19"/>
      <c r="R2739" s="19"/>
    </row>
    <row r="2740" spans="7:18" x14ac:dyDescent="0.25">
      <c r="G2740" s="19"/>
      <c r="J2740" s="19"/>
      <c r="K2740" s="19"/>
      <c r="L2740" s="19"/>
      <c r="R2740" s="19"/>
    </row>
    <row r="2741" spans="7:18" x14ac:dyDescent="0.25">
      <c r="G2741" s="19"/>
      <c r="J2741" s="19"/>
      <c r="K2741" s="19"/>
      <c r="L2741" s="19"/>
      <c r="R2741" s="19"/>
    </row>
    <row r="2742" spans="7:18" x14ac:dyDescent="0.25">
      <c r="G2742" s="19"/>
      <c r="J2742" s="19"/>
      <c r="K2742" s="19"/>
      <c r="L2742" s="19"/>
      <c r="R2742" s="19"/>
    </row>
    <row r="2743" spans="7:18" x14ac:dyDescent="0.25">
      <c r="G2743" s="19"/>
      <c r="J2743" s="19"/>
      <c r="K2743" s="19"/>
      <c r="L2743" s="19"/>
      <c r="R2743" s="19"/>
    </row>
    <row r="2744" spans="7:18" x14ac:dyDescent="0.25">
      <c r="G2744" s="19"/>
      <c r="J2744" s="19"/>
      <c r="K2744" s="19"/>
      <c r="L2744" s="19"/>
      <c r="R2744" s="19"/>
    </row>
    <row r="2745" spans="7:18" x14ac:dyDescent="0.25">
      <c r="G2745" s="19"/>
      <c r="J2745" s="19"/>
      <c r="K2745" s="19"/>
      <c r="L2745" s="19"/>
      <c r="R2745" s="19"/>
    </row>
    <row r="2746" spans="7:18" x14ac:dyDescent="0.25">
      <c r="G2746" s="19"/>
      <c r="J2746" s="19"/>
      <c r="K2746" s="19"/>
      <c r="L2746" s="19"/>
      <c r="R2746" s="19"/>
    </row>
    <row r="2747" spans="7:18" x14ac:dyDescent="0.25">
      <c r="G2747" s="19"/>
      <c r="J2747" s="19"/>
      <c r="K2747" s="19"/>
      <c r="L2747" s="19"/>
      <c r="R2747" s="19"/>
    </row>
    <row r="2748" spans="7:18" x14ac:dyDescent="0.25">
      <c r="G2748" s="19"/>
      <c r="J2748" s="19"/>
      <c r="K2748" s="19"/>
      <c r="L2748" s="19"/>
      <c r="R2748" s="19"/>
    </row>
    <row r="2749" spans="7:18" x14ac:dyDescent="0.25">
      <c r="G2749" s="19"/>
      <c r="J2749" s="19"/>
      <c r="K2749" s="19"/>
      <c r="L2749" s="19"/>
      <c r="R2749" s="19"/>
    </row>
    <row r="2750" spans="7:18" x14ac:dyDescent="0.25">
      <c r="G2750" s="19"/>
      <c r="J2750" s="19"/>
      <c r="K2750" s="19"/>
      <c r="L2750" s="19"/>
      <c r="R2750" s="19"/>
    </row>
    <row r="2752" spans="7:18" x14ac:dyDescent="0.25">
      <c r="G2752" s="19"/>
      <c r="J2752" s="19"/>
      <c r="K2752" s="19"/>
      <c r="L2752" s="19"/>
      <c r="R2752" s="19"/>
    </row>
    <row r="2753" spans="7:18" x14ac:dyDescent="0.25">
      <c r="G2753" s="19"/>
      <c r="J2753" s="19"/>
      <c r="K2753" s="19"/>
      <c r="L2753" s="19"/>
      <c r="R2753" s="19"/>
    </row>
    <row r="2754" spans="7:18" x14ac:dyDescent="0.25">
      <c r="G2754" s="19"/>
      <c r="J2754" s="19"/>
      <c r="K2754" s="19"/>
      <c r="L2754" s="19"/>
      <c r="R2754" s="19"/>
    </row>
    <row r="2755" spans="7:18" x14ac:dyDescent="0.25">
      <c r="G2755" s="19"/>
      <c r="J2755" s="19"/>
      <c r="K2755" s="19"/>
      <c r="L2755" s="19"/>
      <c r="R2755" s="19"/>
    </row>
    <row r="2756" spans="7:18" x14ac:dyDescent="0.25">
      <c r="G2756" s="19"/>
      <c r="J2756" s="19"/>
      <c r="K2756" s="19"/>
      <c r="L2756" s="19"/>
      <c r="R2756" s="19"/>
    </row>
    <row r="2757" spans="7:18" x14ac:dyDescent="0.25">
      <c r="G2757" s="19"/>
      <c r="J2757" s="19"/>
      <c r="K2757" s="19"/>
      <c r="L2757" s="19"/>
      <c r="R2757" s="19"/>
    </row>
    <row r="2758" spans="7:18" x14ac:dyDescent="0.25">
      <c r="G2758" s="19"/>
      <c r="J2758" s="19"/>
      <c r="K2758" s="19"/>
      <c r="L2758" s="19"/>
      <c r="R2758" s="19"/>
    </row>
    <row r="2759" spans="7:18" x14ac:dyDescent="0.25">
      <c r="G2759" s="19"/>
      <c r="J2759" s="19"/>
      <c r="K2759" s="19"/>
      <c r="L2759" s="19"/>
      <c r="R2759" s="19"/>
    </row>
    <row r="2760" spans="7:18" x14ac:dyDescent="0.25">
      <c r="G2760" s="19"/>
      <c r="J2760" s="19"/>
      <c r="K2760" s="19"/>
      <c r="L2760" s="19"/>
      <c r="R2760" s="19"/>
    </row>
    <row r="2761" spans="7:18" x14ac:dyDescent="0.25">
      <c r="G2761" s="19"/>
      <c r="J2761" s="19"/>
      <c r="K2761" s="19"/>
      <c r="L2761" s="19"/>
      <c r="R2761" s="19"/>
    </row>
    <row r="2762" spans="7:18" x14ac:dyDescent="0.25">
      <c r="G2762" s="19"/>
      <c r="J2762" s="19"/>
      <c r="K2762" s="19"/>
      <c r="L2762" s="19"/>
      <c r="R2762" s="19"/>
    </row>
    <row r="2763" spans="7:18" x14ac:dyDescent="0.25">
      <c r="G2763" s="19"/>
      <c r="J2763" s="19"/>
      <c r="K2763" s="19"/>
      <c r="L2763" s="19"/>
      <c r="R2763" s="19"/>
    </row>
    <row r="2764" spans="7:18" x14ac:dyDescent="0.25">
      <c r="G2764" s="19"/>
      <c r="J2764" s="19"/>
      <c r="K2764" s="19"/>
      <c r="L2764" s="19"/>
      <c r="R2764" s="19"/>
    </row>
    <row r="2765" spans="7:18" x14ac:dyDescent="0.25">
      <c r="G2765" s="19"/>
      <c r="J2765" s="19"/>
      <c r="K2765" s="19"/>
      <c r="L2765" s="19"/>
      <c r="R2765" s="19"/>
    </row>
    <row r="2766" spans="7:18" x14ac:dyDescent="0.25">
      <c r="G2766" s="19"/>
      <c r="J2766" s="19"/>
      <c r="K2766" s="19"/>
      <c r="L2766" s="19"/>
      <c r="R2766" s="19"/>
    </row>
    <row r="2767" spans="7:18" x14ac:dyDescent="0.25">
      <c r="G2767" s="19"/>
      <c r="J2767" s="19"/>
      <c r="K2767" s="19"/>
      <c r="L2767" s="19"/>
      <c r="R2767" s="19"/>
    </row>
    <row r="2768" spans="7:18" x14ac:dyDescent="0.25">
      <c r="G2768" s="19"/>
      <c r="J2768" s="19"/>
      <c r="K2768" s="19"/>
      <c r="L2768" s="19"/>
      <c r="R2768" s="19"/>
    </row>
    <row r="2769" spans="7:18" x14ac:dyDescent="0.25">
      <c r="G2769" s="19"/>
      <c r="J2769" s="19"/>
      <c r="K2769" s="19"/>
      <c r="L2769" s="19"/>
      <c r="R2769" s="19"/>
    </row>
    <row r="2770" spans="7:18" x14ac:dyDescent="0.25">
      <c r="G2770" s="19"/>
      <c r="J2770" s="19"/>
      <c r="K2770" s="19"/>
      <c r="L2770" s="19"/>
      <c r="R2770" s="19"/>
    </row>
    <row r="2771" spans="7:18" x14ac:dyDescent="0.25">
      <c r="G2771" s="19"/>
      <c r="J2771" s="19"/>
      <c r="K2771" s="19"/>
      <c r="L2771" s="19"/>
      <c r="R2771" s="19"/>
    </row>
    <row r="2772" spans="7:18" x14ac:dyDescent="0.25">
      <c r="G2772" s="19"/>
      <c r="J2772" s="19"/>
      <c r="K2772" s="19"/>
      <c r="L2772" s="19"/>
      <c r="R2772" s="19"/>
    </row>
    <row r="2773" spans="7:18" x14ac:dyDescent="0.25">
      <c r="G2773" s="19"/>
      <c r="J2773" s="19"/>
      <c r="K2773" s="19"/>
      <c r="L2773" s="19"/>
      <c r="R2773" s="19"/>
    </row>
    <row r="2774" spans="7:18" x14ac:dyDescent="0.25">
      <c r="G2774" s="19"/>
      <c r="J2774" s="19"/>
      <c r="K2774" s="19"/>
      <c r="L2774" s="19"/>
      <c r="R2774" s="19"/>
    </row>
    <row r="2775" spans="7:18" x14ac:dyDescent="0.25">
      <c r="G2775" s="19"/>
      <c r="J2775" s="19"/>
      <c r="K2775" s="19"/>
      <c r="L2775" s="19"/>
      <c r="R2775" s="19"/>
    </row>
    <row r="2776" spans="7:18" x14ac:dyDescent="0.25">
      <c r="G2776" s="19"/>
      <c r="J2776" s="19"/>
      <c r="K2776" s="19"/>
      <c r="L2776" s="19"/>
      <c r="R2776" s="19"/>
    </row>
    <row r="2777" spans="7:18" x14ac:dyDescent="0.25">
      <c r="G2777" s="19"/>
      <c r="J2777" s="19"/>
      <c r="K2777" s="19"/>
      <c r="L2777" s="19"/>
      <c r="R2777" s="19"/>
    </row>
    <row r="2778" spans="7:18" x14ac:dyDescent="0.25">
      <c r="G2778" s="19"/>
      <c r="J2778" s="19"/>
      <c r="K2778" s="19"/>
      <c r="L2778" s="19"/>
      <c r="R2778" s="19"/>
    </row>
    <row r="2779" spans="7:18" x14ac:dyDescent="0.25">
      <c r="G2779" s="19"/>
      <c r="J2779" s="19"/>
      <c r="K2779" s="19"/>
      <c r="L2779" s="19"/>
      <c r="R2779" s="19"/>
    </row>
    <row r="2780" spans="7:18" x14ac:dyDescent="0.25">
      <c r="G2780" s="19"/>
      <c r="J2780" s="19"/>
      <c r="K2780" s="19"/>
      <c r="L2780" s="19"/>
      <c r="R2780" s="19"/>
    </row>
    <row r="2781" spans="7:18" x14ac:dyDescent="0.25">
      <c r="G2781" s="19"/>
      <c r="J2781" s="19"/>
      <c r="K2781" s="19"/>
      <c r="L2781" s="19"/>
      <c r="R2781" s="19"/>
    </row>
    <row r="2782" spans="7:18" x14ac:dyDescent="0.25">
      <c r="G2782" s="19"/>
      <c r="J2782" s="19"/>
      <c r="K2782" s="19"/>
      <c r="L2782" s="19"/>
      <c r="R2782" s="19"/>
    </row>
    <row r="2783" spans="7:18" x14ac:dyDescent="0.25">
      <c r="G2783" s="19"/>
      <c r="J2783" s="19"/>
      <c r="K2783" s="19"/>
      <c r="L2783" s="19"/>
      <c r="R2783" s="19"/>
    </row>
    <row r="2784" spans="7:18" x14ac:dyDescent="0.25">
      <c r="G2784" s="19"/>
      <c r="J2784" s="19"/>
      <c r="K2784" s="19"/>
      <c r="L2784" s="19"/>
      <c r="R2784" s="19"/>
    </row>
    <row r="2785" spans="7:18" x14ac:dyDescent="0.25">
      <c r="G2785" s="19"/>
      <c r="J2785" s="19"/>
      <c r="K2785" s="19"/>
      <c r="L2785" s="19"/>
      <c r="R2785" s="19"/>
    </row>
    <row r="2786" spans="7:18" x14ac:dyDescent="0.25">
      <c r="G2786" s="19"/>
      <c r="J2786" s="19"/>
      <c r="K2786" s="19"/>
      <c r="L2786" s="19"/>
      <c r="R2786" s="19"/>
    </row>
    <row r="2787" spans="7:18" x14ac:dyDescent="0.25">
      <c r="G2787" s="19"/>
      <c r="J2787" s="19"/>
      <c r="K2787" s="19"/>
      <c r="L2787" s="19"/>
      <c r="R2787" s="19"/>
    </row>
    <row r="2788" spans="7:18" x14ac:dyDescent="0.25">
      <c r="G2788" s="19"/>
      <c r="J2788" s="19"/>
      <c r="K2788" s="19"/>
      <c r="L2788" s="19"/>
      <c r="R2788" s="19"/>
    </row>
    <row r="2789" spans="7:18" x14ac:dyDescent="0.25">
      <c r="G2789" s="19"/>
      <c r="J2789" s="19"/>
      <c r="K2789" s="19"/>
      <c r="L2789" s="19"/>
      <c r="R2789" s="19"/>
    </row>
    <row r="2790" spans="7:18" x14ac:dyDescent="0.25">
      <c r="G2790" s="19"/>
      <c r="J2790" s="19"/>
      <c r="K2790" s="19"/>
      <c r="L2790" s="19"/>
      <c r="R2790" s="19"/>
    </row>
    <row r="2791" spans="7:18" x14ac:dyDescent="0.25">
      <c r="G2791" s="19"/>
      <c r="J2791" s="19"/>
      <c r="K2791" s="19"/>
      <c r="L2791" s="19"/>
      <c r="R2791" s="19"/>
    </row>
    <row r="2792" spans="7:18" x14ac:dyDescent="0.25">
      <c r="G2792" s="19"/>
      <c r="J2792" s="19"/>
      <c r="K2792" s="19"/>
      <c r="L2792" s="19"/>
      <c r="R2792" s="19"/>
    </row>
    <row r="2793" spans="7:18" x14ac:dyDescent="0.25">
      <c r="G2793" s="19"/>
      <c r="J2793" s="19"/>
      <c r="K2793" s="19"/>
      <c r="L2793" s="19"/>
      <c r="R2793" s="19"/>
    </row>
    <row r="2794" spans="7:18" x14ac:dyDescent="0.25">
      <c r="G2794" s="19"/>
      <c r="J2794" s="19"/>
      <c r="K2794" s="19"/>
      <c r="L2794" s="19"/>
      <c r="R2794" s="19"/>
    </row>
    <row r="2795" spans="7:18" x14ac:dyDescent="0.25">
      <c r="G2795" s="19"/>
      <c r="J2795" s="19"/>
      <c r="K2795" s="19"/>
      <c r="L2795" s="19"/>
      <c r="R2795" s="19"/>
    </row>
    <row r="2796" spans="7:18" x14ac:dyDescent="0.25">
      <c r="G2796" s="19"/>
      <c r="J2796" s="19"/>
      <c r="K2796" s="19"/>
      <c r="L2796" s="19"/>
      <c r="R2796" s="19"/>
    </row>
    <row r="2797" spans="7:18" x14ac:dyDescent="0.25">
      <c r="G2797" s="19"/>
      <c r="J2797" s="19"/>
      <c r="K2797" s="19"/>
      <c r="L2797" s="19"/>
      <c r="R2797" s="19"/>
    </row>
    <row r="2798" spans="7:18" x14ac:dyDescent="0.25">
      <c r="G2798" s="19"/>
      <c r="J2798" s="19"/>
      <c r="K2798" s="19"/>
      <c r="L2798" s="19"/>
      <c r="R2798" s="19"/>
    </row>
    <row r="2799" spans="7:18" x14ac:dyDescent="0.25">
      <c r="G2799" s="19"/>
      <c r="J2799" s="19"/>
      <c r="K2799" s="19"/>
      <c r="L2799" s="19"/>
      <c r="R2799" s="19"/>
    </row>
    <row r="2800" spans="7:18" x14ac:dyDescent="0.25">
      <c r="G2800" s="19"/>
      <c r="J2800" s="19"/>
      <c r="K2800" s="19"/>
      <c r="L2800" s="19"/>
      <c r="R2800" s="19"/>
    </row>
    <row r="2801" spans="7:18" x14ac:dyDescent="0.25">
      <c r="G2801" s="19"/>
      <c r="J2801" s="19"/>
      <c r="K2801" s="19"/>
      <c r="L2801" s="19"/>
      <c r="R2801" s="19"/>
    </row>
    <row r="2802" spans="7:18" x14ac:dyDescent="0.25">
      <c r="G2802" s="19"/>
      <c r="J2802" s="19"/>
      <c r="K2802" s="19"/>
      <c r="L2802" s="19"/>
      <c r="R2802" s="19"/>
    </row>
    <row r="2803" spans="7:18" x14ac:dyDescent="0.25">
      <c r="G2803" s="19"/>
      <c r="J2803" s="19"/>
      <c r="K2803" s="19"/>
      <c r="L2803" s="19"/>
      <c r="R2803" s="19"/>
    </row>
    <row r="2804" spans="7:18" x14ac:dyDescent="0.25">
      <c r="G2804" s="19"/>
      <c r="J2804" s="19"/>
      <c r="K2804" s="19"/>
      <c r="L2804" s="19"/>
      <c r="R2804" s="19"/>
    </row>
    <row r="2805" spans="7:18" x14ac:dyDescent="0.25">
      <c r="G2805" s="19"/>
      <c r="J2805" s="19"/>
      <c r="K2805" s="19"/>
      <c r="L2805" s="19"/>
      <c r="R2805" s="19"/>
    </row>
    <row r="2806" spans="7:18" x14ac:dyDescent="0.25">
      <c r="G2806" s="19"/>
      <c r="J2806" s="19"/>
      <c r="K2806" s="19"/>
      <c r="L2806" s="19"/>
      <c r="R2806" s="19"/>
    </row>
    <row r="2807" spans="7:18" x14ac:dyDescent="0.25">
      <c r="G2807" s="19"/>
      <c r="J2807" s="19"/>
      <c r="K2807" s="19"/>
      <c r="L2807" s="19"/>
      <c r="R2807" s="19"/>
    </row>
    <row r="2808" spans="7:18" x14ac:dyDescent="0.25">
      <c r="G2808" s="19"/>
      <c r="J2808" s="19"/>
      <c r="K2808" s="19"/>
      <c r="L2808" s="19"/>
      <c r="R2808" s="19"/>
    </row>
    <row r="2809" spans="7:18" x14ac:dyDescent="0.25">
      <c r="G2809" s="19"/>
      <c r="J2809" s="19"/>
      <c r="K2809" s="19"/>
      <c r="L2809" s="19"/>
      <c r="R2809" s="19"/>
    </row>
    <row r="2810" spans="7:18" x14ac:dyDescent="0.25">
      <c r="G2810" s="19"/>
      <c r="J2810" s="19"/>
      <c r="K2810" s="19"/>
      <c r="L2810" s="19"/>
      <c r="R2810" s="19"/>
    </row>
    <row r="2811" spans="7:18" x14ac:dyDescent="0.25">
      <c r="G2811" s="19"/>
      <c r="J2811" s="19"/>
      <c r="K2811" s="19"/>
      <c r="L2811" s="19"/>
      <c r="R2811" s="19"/>
    </row>
    <row r="2812" spans="7:18" x14ac:dyDescent="0.25">
      <c r="G2812" s="19"/>
      <c r="J2812" s="19"/>
      <c r="K2812" s="19"/>
      <c r="L2812" s="19"/>
      <c r="R2812" s="19"/>
    </row>
    <row r="2813" spans="7:18" x14ac:dyDescent="0.25">
      <c r="G2813" s="19"/>
      <c r="J2813" s="19"/>
      <c r="K2813" s="19"/>
      <c r="L2813" s="19"/>
      <c r="R2813" s="19"/>
    </row>
    <row r="2814" spans="7:18" x14ac:dyDescent="0.25">
      <c r="G2814" s="19"/>
      <c r="J2814" s="19"/>
      <c r="K2814" s="19"/>
      <c r="L2814" s="19"/>
      <c r="R2814" s="19"/>
    </row>
    <row r="2815" spans="7:18" x14ac:dyDescent="0.25">
      <c r="G2815" s="19"/>
      <c r="J2815" s="19"/>
      <c r="K2815" s="19"/>
      <c r="L2815" s="19"/>
      <c r="R2815" s="19"/>
    </row>
    <row r="2816" spans="7:18" x14ac:dyDescent="0.25">
      <c r="G2816" s="19"/>
      <c r="J2816" s="19"/>
      <c r="K2816" s="19"/>
      <c r="L2816" s="19"/>
      <c r="R2816" s="19"/>
    </row>
    <row r="2817" spans="7:18" x14ac:dyDescent="0.25">
      <c r="G2817" s="19"/>
      <c r="J2817" s="19"/>
      <c r="K2817" s="19"/>
      <c r="L2817" s="19"/>
      <c r="R2817" s="19"/>
    </row>
    <row r="2818" spans="7:18" x14ac:dyDescent="0.25">
      <c r="G2818" s="19"/>
      <c r="J2818" s="19"/>
      <c r="K2818" s="19"/>
      <c r="L2818" s="19"/>
      <c r="R2818" s="19"/>
    </row>
    <row r="2819" spans="7:18" x14ac:dyDescent="0.25">
      <c r="G2819" s="19"/>
      <c r="J2819" s="19"/>
      <c r="K2819" s="19"/>
      <c r="L2819" s="19"/>
      <c r="R2819" s="19"/>
    </row>
    <row r="2820" spans="7:18" x14ac:dyDescent="0.25">
      <c r="G2820" s="19"/>
      <c r="J2820" s="19"/>
      <c r="K2820" s="19"/>
      <c r="L2820" s="19"/>
      <c r="R2820" s="19"/>
    </row>
    <row r="2821" spans="7:18" x14ac:dyDescent="0.25">
      <c r="G2821" s="19"/>
      <c r="J2821" s="19"/>
      <c r="K2821" s="19"/>
      <c r="L2821" s="19"/>
      <c r="R2821" s="19"/>
    </row>
    <row r="2822" spans="7:18" x14ac:dyDescent="0.25">
      <c r="G2822" s="19"/>
      <c r="J2822" s="19"/>
      <c r="K2822" s="19"/>
      <c r="L2822" s="19"/>
      <c r="R2822" s="19"/>
    </row>
    <row r="2823" spans="7:18" x14ac:dyDescent="0.25">
      <c r="G2823" s="19"/>
      <c r="J2823" s="19"/>
      <c r="K2823" s="19"/>
      <c r="L2823" s="19"/>
      <c r="R2823" s="19"/>
    </row>
    <row r="2824" spans="7:18" x14ac:dyDescent="0.25">
      <c r="G2824" s="19"/>
      <c r="J2824" s="19"/>
      <c r="K2824" s="19"/>
      <c r="L2824" s="19"/>
      <c r="R2824" s="19"/>
    </row>
    <row r="2825" spans="7:18" x14ac:dyDescent="0.25">
      <c r="G2825" s="19"/>
      <c r="J2825" s="19"/>
      <c r="K2825" s="19"/>
      <c r="L2825" s="19"/>
      <c r="R2825" s="19"/>
    </row>
    <row r="2826" spans="7:18" x14ac:dyDescent="0.25">
      <c r="G2826" s="19"/>
      <c r="J2826" s="19"/>
      <c r="K2826" s="19"/>
      <c r="L2826" s="19"/>
      <c r="R2826" s="19"/>
    </row>
    <row r="2827" spans="7:18" x14ac:dyDescent="0.25">
      <c r="G2827" s="19"/>
      <c r="J2827" s="19"/>
      <c r="K2827" s="19"/>
      <c r="L2827" s="19"/>
      <c r="R2827" s="19"/>
    </row>
    <row r="2828" spans="7:18" x14ac:dyDescent="0.25">
      <c r="G2828" s="19"/>
      <c r="J2828" s="19"/>
      <c r="K2828" s="19"/>
      <c r="L2828" s="19"/>
      <c r="R2828" s="19"/>
    </row>
    <row r="2829" spans="7:18" x14ac:dyDescent="0.25">
      <c r="G2829" s="19"/>
      <c r="J2829" s="19"/>
      <c r="K2829" s="19"/>
      <c r="L2829" s="19"/>
      <c r="R2829" s="19"/>
    </row>
    <row r="2830" spans="7:18" x14ac:dyDescent="0.25">
      <c r="G2830" s="19"/>
      <c r="J2830" s="19"/>
      <c r="K2830" s="19"/>
      <c r="L2830" s="19"/>
      <c r="R2830" s="19"/>
    </row>
    <row r="2831" spans="7:18" x14ac:dyDescent="0.25">
      <c r="G2831" s="19"/>
      <c r="J2831" s="19"/>
      <c r="K2831" s="19"/>
      <c r="L2831" s="19"/>
      <c r="R2831" s="19"/>
    </row>
    <row r="2832" spans="7:18" x14ac:dyDescent="0.25">
      <c r="G2832" s="19"/>
      <c r="J2832" s="19"/>
      <c r="K2832" s="19"/>
      <c r="L2832" s="19"/>
      <c r="R2832" s="19"/>
    </row>
    <row r="2833" spans="7:18" x14ac:dyDescent="0.25">
      <c r="G2833" s="19"/>
      <c r="J2833" s="19"/>
      <c r="K2833" s="19"/>
      <c r="L2833" s="19"/>
      <c r="R2833" s="19"/>
    </row>
    <row r="2834" spans="7:18" x14ac:dyDescent="0.25">
      <c r="G2834" s="19"/>
      <c r="J2834" s="19"/>
      <c r="K2834" s="19"/>
      <c r="L2834" s="19"/>
      <c r="R2834" s="19"/>
    </row>
    <row r="2835" spans="7:18" x14ac:dyDescent="0.25">
      <c r="G2835" s="19"/>
      <c r="J2835" s="19"/>
      <c r="K2835" s="19"/>
      <c r="L2835" s="19"/>
      <c r="R2835" s="19"/>
    </row>
    <row r="2836" spans="7:18" x14ac:dyDescent="0.25">
      <c r="G2836" s="19"/>
      <c r="J2836" s="19"/>
      <c r="K2836" s="19"/>
      <c r="L2836" s="19"/>
      <c r="R2836" s="19"/>
    </row>
    <row r="2837" spans="7:18" x14ac:dyDescent="0.25">
      <c r="G2837" s="19"/>
      <c r="J2837" s="19"/>
      <c r="K2837" s="19"/>
      <c r="L2837" s="19"/>
      <c r="R2837" s="19"/>
    </row>
    <row r="2838" spans="7:18" x14ac:dyDescent="0.25">
      <c r="G2838" s="19"/>
      <c r="J2838" s="19"/>
      <c r="K2838" s="19"/>
      <c r="L2838" s="19"/>
      <c r="R2838" s="19"/>
    </row>
    <row r="2839" spans="7:18" x14ac:dyDescent="0.25">
      <c r="G2839" s="19"/>
      <c r="J2839" s="19"/>
      <c r="K2839" s="19"/>
      <c r="L2839" s="19"/>
      <c r="R2839" s="19"/>
    </row>
    <row r="2840" spans="7:18" x14ac:dyDescent="0.25">
      <c r="G2840" s="19"/>
      <c r="J2840" s="19"/>
      <c r="K2840" s="19"/>
      <c r="L2840" s="19"/>
      <c r="R2840" s="19"/>
    </row>
    <row r="2841" spans="7:18" x14ac:dyDescent="0.25">
      <c r="G2841" s="19"/>
      <c r="J2841" s="19"/>
      <c r="K2841" s="19"/>
      <c r="L2841" s="19"/>
      <c r="R2841" s="19"/>
    </row>
    <row r="2842" spans="7:18" x14ac:dyDescent="0.25">
      <c r="G2842" s="19"/>
      <c r="J2842" s="19"/>
      <c r="K2842" s="19"/>
      <c r="L2842" s="19"/>
      <c r="R2842" s="19"/>
    </row>
    <row r="2843" spans="7:18" x14ac:dyDescent="0.25">
      <c r="G2843" s="19"/>
      <c r="J2843" s="19"/>
      <c r="K2843" s="19"/>
      <c r="L2843" s="19"/>
      <c r="R2843" s="19"/>
    </row>
    <row r="2844" spans="7:18" x14ac:dyDescent="0.25">
      <c r="G2844" s="19"/>
      <c r="J2844" s="19"/>
      <c r="K2844" s="19"/>
      <c r="L2844" s="19"/>
      <c r="R2844" s="19"/>
    </row>
    <row r="2845" spans="7:18" x14ac:dyDescent="0.25">
      <c r="G2845" s="19"/>
      <c r="J2845" s="19"/>
      <c r="K2845" s="19"/>
      <c r="L2845" s="19"/>
      <c r="R2845" s="19"/>
    </row>
    <row r="2846" spans="7:18" x14ac:dyDescent="0.25">
      <c r="G2846" s="19"/>
      <c r="J2846" s="19"/>
      <c r="K2846" s="19"/>
      <c r="L2846" s="19"/>
      <c r="R2846" s="19"/>
    </row>
    <row r="2847" spans="7:18" x14ac:dyDescent="0.25">
      <c r="G2847" s="19"/>
      <c r="J2847" s="19"/>
      <c r="K2847" s="19"/>
      <c r="L2847" s="19"/>
      <c r="R2847" s="19"/>
    </row>
    <row r="2848" spans="7:18" x14ac:dyDescent="0.25">
      <c r="G2848" s="19"/>
      <c r="J2848" s="19"/>
      <c r="K2848" s="19"/>
      <c r="L2848" s="19"/>
      <c r="R2848" s="19"/>
    </row>
    <row r="2849" spans="7:18" x14ac:dyDescent="0.25">
      <c r="G2849" s="19"/>
      <c r="J2849" s="19"/>
      <c r="K2849" s="19"/>
      <c r="L2849" s="19"/>
      <c r="R2849" s="19"/>
    </row>
    <row r="2850" spans="7:18" x14ac:dyDescent="0.25">
      <c r="G2850" s="19"/>
      <c r="J2850" s="19"/>
      <c r="K2850" s="19"/>
      <c r="L2850" s="19"/>
      <c r="R2850" s="19"/>
    </row>
    <row r="2851" spans="7:18" x14ac:dyDescent="0.25">
      <c r="G2851" s="19"/>
      <c r="J2851" s="19"/>
      <c r="K2851" s="19"/>
      <c r="L2851" s="19"/>
      <c r="R2851" s="19"/>
    </row>
    <row r="2852" spans="7:18" x14ac:dyDescent="0.25">
      <c r="G2852" s="19"/>
      <c r="J2852" s="19"/>
      <c r="K2852" s="19"/>
      <c r="L2852" s="19"/>
      <c r="R2852" s="19"/>
    </row>
    <row r="2853" spans="7:18" x14ac:dyDescent="0.25">
      <c r="G2853" s="19"/>
      <c r="J2853" s="19"/>
      <c r="K2853" s="19"/>
      <c r="L2853" s="19"/>
      <c r="R2853" s="19"/>
    </row>
    <row r="2854" spans="7:18" x14ac:dyDescent="0.25">
      <c r="G2854" s="19"/>
      <c r="J2854" s="19"/>
      <c r="K2854" s="19"/>
      <c r="L2854" s="19"/>
      <c r="R2854" s="19"/>
    </row>
    <row r="2855" spans="7:18" x14ac:dyDescent="0.25">
      <c r="G2855" s="19"/>
      <c r="J2855" s="19"/>
      <c r="K2855" s="19"/>
      <c r="L2855" s="19"/>
      <c r="R2855" s="19"/>
    </row>
    <row r="2856" spans="7:18" x14ac:dyDescent="0.25">
      <c r="G2856" s="19"/>
      <c r="J2856" s="19"/>
      <c r="K2856" s="19"/>
      <c r="L2856" s="19"/>
      <c r="R2856" s="19"/>
    </row>
    <row r="2857" spans="7:18" x14ac:dyDescent="0.25">
      <c r="G2857" s="19"/>
      <c r="J2857" s="19"/>
      <c r="K2857" s="19"/>
      <c r="L2857" s="19"/>
      <c r="R2857" s="19"/>
    </row>
    <row r="2858" spans="7:18" x14ac:dyDescent="0.25">
      <c r="G2858" s="19"/>
      <c r="J2858" s="19"/>
      <c r="K2858" s="19"/>
      <c r="L2858" s="19"/>
      <c r="R2858" s="19"/>
    </row>
    <row r="2859" spans="7:18" x14ac:dyDescent="0.25">
      <c r="G2859" s="19"/>
      <c r="J2859" s="19"/>
      <c r="K2859" s="19"/>
      <c r="L2859" s="19"/>
      <c r="R2859" s="19"/>
    </row>
    <row r="2860" spans="7:18" x14ac:dyDescent="0.25">
      <c r="G2860" s="19"/>
      <c r="J2860" s="19"/>
      <c r="K2860" s="19"/>
      <c r="L2860" s="19"/>
      <c r="R2860" s="19"/>
    </row>
    <row r="2861" spans="7:18" x14ac:dyDescent="0.25">
      <c r="G2861" s="19"/>
      <c r="J2861" s="19"/>
      <c r="K2861" s="19"/>
      <c r="L2861" s="19"/>
      <c r="R2861" s="19"/>
    </row>
    <row r="2862" spans="7:18" x14ac:dyDescent="0.25">
      <c r="G2862" s="19"/>
      <c r="J2862" s="19"/>
      <c r="K2862" s="19"/>
      <c r="L2862" s="19"/>
      <c r="R2862" s="19"/>
    </row>
    <row r="2863" spans="7:18" x14ac:dyDescent="0.25">
      <c r="G2863" s="19"/>
      <c r="J2863" s="19"/>
      <c r="K2863" s="19"/>
      <c r="L2863" s="19"/>
      <c r="R2863" s="19"/>
    </row>
    <row r="2864" spans="7:18" x14ac:dyDescent="0.25">
      <c r="G2864" s="19"/>
      <c r="J2864" s="19"/>
      <c r="K2864" s="19"/>
      <c r="L2864" s="19"/>
      <c r="R2864" s="19"/>
    </row>
    <row r="2865" spans="7:18" x14ac:dyDescent="0.25">
      <c r="G2865" s="19"/>
      <c r="J2865" s="19"/>
      <c r="K2865" s="19"/>
      <c r="L2865" s="19"/>
      <c r="R2865" s="19"/>
    </row>
    <row r="2866" spans="7:18" x14ac:dyDescent="0.25">
      <c r="G2866" s="19"/>
      <c r="J2866" s="19"/>
      <c r="K2866" s="19"/>
      <c r="L2866" s="19"/>
      <c r="R2866" s="19"/>
    </row>
    <row r="2867" spans="7:18" x14ac:dyDescent="0.25">
      <c r="G2867" s="19"/>
      <c r="J2867" s="19"/>
      <c r="K2867" s="19"/>
      <c r="L2867" s="19"/>
      <c r="R2867" s="19"/>
    </row>
    <row r="2868" spans="7:18" x14ac:dyDescent="0.25">
      <c r="G2868" s="19"/>
      <c r="J2868" s="19"/>
      <c r="K2868" s="19"/>
      <c r="L2868" s="19"/>
      <c r="R2868" s="19"/>
    </row>
    <row r="2869" spans="7:18" x14ac:dyDescent="0.25">
      <c r="G2869" s="19"/>
      <c r="J2869" s="19"/>
      <c r="K2869" s="19"/>
      <c r="L2869" s="19"/>
      <c r="R2869" s="19"/>
    </row>
    <row r="2870" spans="7:18" x14ac:dyDescent="0.25">
      <c r="G2870" s="19"/>
      <c r="J2870" s="19"/>
      <c r="K2870" s="19"/>
      <c r="L2870" s="19"/>
      <c r="R2870" s="19"/>
    </row>
    <row r="2871" spans="7:18" x14ac:dyDescent="0.25">
      <c r="G2871" s="19"/>
      <c r="J2871" s="19"/>
      <c r="K2871" s="19"/>
      <c r="L2871" s="19"/>
      <c r="R2871" s="19"/>
    </row>
    <row r="2872" spans="7:18" x14ac:dyDescent="0.25">
      <c r="G2872" s="19"/>
      <c r="J2872" s="19"/>
      <c r="K2872" s="19"/>
      <c r="L2872" s="19"/>
      <c r="R2872" s="19"/>
    </row>
    <row r="2873" spans="7:18" x14ac:dyDescent="0.25">
      <c r="G2873" s="19"/>
      <c r="J2873" s="19"/>
      <c r="K2873" s="19"/>
      <c r="L2873" s="19"/>
      <c r="R2873" s="19"/>
    </row>
    <row r="2874" spans="7:18" x14ac:dyDescent="0.25">
      <c r="G2874" s="19"/>
      <c r="J2874" s="19"/>
      <c r="K2874" s="19"/>
      <c r="L2874" s="19"/>
      <c r="R2874" s="19"/>
    </row>
    <row r="2875" spans="7:18" x14ac:dyDescent="0.25">
      <c r="G2875" s="19"/>
      <c r="J2875" s="19"/>
      <c r="K2875" s="19"/>
      <c r="L2875" s="19"/>
      <c r="R2875" s="19"/>
    </row>
    <row r="2876" spans="7:18" x14ac:dyDescent="0.25">
      <c r="G2876" s="19"/>
      <c r="J2876" s="19"/>
      <c r="K2876" s="19"/>
      <c r="L2876" s="19"/>
      <c r="R2876" s="19"/>
    </row>
    <row r="2877" spans="7:18" x14ac:dyDescent="0.25">
      <c r="G2877" s="19"/>
      <c r="J2877" s="19"/>
      <c r="K2877" s="19"/>
      <c r="L2877" s="19"/>
      <c r="R2877" s="19"/>
    </row>
    <row r="2878" spans="7:18" x14ac:dyDescent="0.25">
      <c r="G2878" s="19"/>
      <c r="J2878" s="19"/>
      <c r="K2878" s="19"/>
      <c r="L2878" s="19"/>
      <c r="R2878" s="19"/>
    </row>
    <row r="2879" spans="7:18" x14ac:dyDescent="0.25">
      <c r="G2879" s="19"/>
      <c r="J2879" s="19"/>
      <c r="K2879" s="19"/>
      <c r="L2879" s="19"/>
      <c r="R2879" s="19"/>
    </row>
    <row r="2880" spans="7:18" x14ac:dyDescent="0.25">
      <c r="G2880" s="19"/>
      <c r="J2880" s="19"/>
      <c r="K2880" s="19"/>
      <c r="L2880" s="19"/>
      <c r="R2880" s="19"/>
    </row>
    <row r="2881" spans="7:18" x14ac:dyDescent="0.25">
      <c r="G2881" s="19"/>
      <c r="J2881" s="19"/>
      <c r="K2881" s="19"/>
      <c r="L2881" s="19"/>
      <c r="R2881" s="19"/>
    </row>
    <row r="2882" spans="7:18" x14ac:dyDescent="0.25">
      <c r="G2882" s="19"/>
      <c r="J2882" s="19"/>
      <c r="K2882" s="19"/>
      <c r="L2882" s="19"/>
      <c r="R2882" s="19"/>
    </row>
    <row r="2883" spans="7:18" x14ac:dyDescent="0.25">
      <c r="G2883" s="19"/>
      <c r="J2883" s="19"/>
      <c r="K2883" s="19"/>
      <c r="L2883" s="19"/>
      <c r="R2883" s="19"/>
    </row>
    <row r="2884" spans="7:18" x14ac:dyDescent="0.25">
      <c r="G2884" s="19"/>
      <c r="J2884" s="19"/>
      <c r="K2884" s="19"/>
      <c r="L2884" s="19"/>
      <c r="R2884" s="19"/>
    </row>
    <row r="2885" spans="7:18" x14ac:dyDescent="0.25">
      <c r="G2885" s="19"/>
      <c r="J2885" s="19"/>
      <c r="K2885" s="19"/>
      <c r="L2885" s="19"/>
      <c r="R2885" s="19"/>
    </row>
    <row r="2886" spans="7:18" x14ac:dyDescent="0.25">
      <c r="G2886" s="19"/>
      <c r="J2886" s="19"/>
      <c r="K2886" s="19"/>
      <c r="L2886" s="19"/>
      <c r="R2886" s="19"/>
    </row>
    <row r="2887" spans="7:18" x14ac:dyDescent="0.25">
      <c r="G2887" s="19"/>
      <c r="J2887" s="19"/>
      <c r="K2887" s="19"/>
      <c r="L2887" s="19"/>
      <c r="R2887" s="19"/>
    </row>
    <row r="2888" spans="7:18" x14ac:dyDescent="0.25">
      <c r="G2888" s="19"/>
      <c r="J2888" s="19"/>
      <c r="K2888" s="19"/>
      <c r="L2888" s="19"/>
      <c r="R2888" s="19"/>
    </row>
    <row r="2889" spans="7:18" x14ac:dyDescent="0.25">
      <c r="G2889" s="19"/>
      <c r="J2889" s="19"/>
      <c r="K2889" s="19"/>
      <c r="L2889" s="19"/>
      <c r="R2889" s="19"/>
    </row>
    <row r="2890" spans="7:18" x14ac:dyDescent="0.25">
      <c r="G2890" s="19"/>
      <c r="J2890" s="19"/>
      <c r="K2890" s="19"/>
      <c r="L2890" s="19"/>
      <c r="R2890" s="19"/>
    </row>
    <row r="2891" spans="7:18" x14ac:dyDescent="0.25">
      <c r="G2891" s="19"/>
      <c r="J2891" s="19"/>
      <c r="K2891" s="19"/>
      <c r="L2891" s="19"/>
      <c r="R2891" s="19"/>
    </row>
    <row r="2892" spans="7:18" x14ac:dyDescent="0.25">
      <c r="G2892" s="19"/>
      <c r="J2892" s="19"/>
      <c r="K2892" s="19"/>
      <c r="L2892" s="19"/>
      <c r="R2892" s="19"/>
    </row>
    <row r="2893" spans="7:18" x14ac:dyDescent="0.25">
      <c r="G2893" s="19"/>
      <c r="J2893" s="19"/>
      <c r="K2893" s="19"/>
      <c r="L2893" s="19"/>
      <c r="R2893" s="19"/>
    </row>
    <row r="2894" spans="7:18" x14ac:dyDescent="0.25">
      <c r="G2894" s="19"/>
      <c r="J2894" s="19"/>
      <c r="K2894" s="19"/>
      <c r="L2894" s="19"/>
      <c r="R2894" s="19"/>
    </row>
    <row r="2895" spans="7:18" x14ac:dyDescent="0.25">
      <c r="G2895" s="19"/>
      <c r="J2895" s="19"/>
      <c r="K2895" s="19"/>
      <c r="L2895" s="19"/>
      <c r="R2895" s="19"/>
    </row>
    <row r="2896" spans="7:18" x14ac:dyDescent="0.25">
      <c r="G2896" s="19"/>
      <c r="J2896" s="19"/>
      <c r="K2896" s="19"/>
      <c r="L2896" s="19"/>
      <c r="R2896" s="19"/>
    </row>
    <row r="2897" spans="7:18" x14ac:dyDescent="0.25">
      <c r="G2897" s="19"/>
      <c r="J2897" s="19"/>
      <c r="K2897" s="19"/>
      <c r="L2897" s="19"/>
      <c r="R2897" s="19"/>
    </row>
    <row r="2898" spans="7:18" x14ac:dyDescent="0.25">
      <c r="G2898" s="19"/>
      <c r="J2898" s="19"/>
      <c r="K2898" s="19"/>
      <c r="L2898" s="19"/>
      <c r="R2898" s="19"/>
    </row>
    <row r="2899" spans="7:18" x14ac:dyDescent="0.25">
      <c r="G2899" s="19"/>
      <c r="J2899" s="19"/>
      <c r="K2899" s="19"/>
      <c r="L2899" s="19"/>
      <c r="R2899" s="19"/>
    </row>
    <row r="2900" spans="7:18" x14ac:dyDescent="0.25">
      <c r="G2900" s="19"/>
      <c r="J2900" s="19"/>
      <c r="K2900" s="19"/>
      <c r="L2900" s="19"/>
      <c r="R2900" s="19"/>
    </row>
    <row r="2901" spans="7:18" x14ac:dyDescent="0.25">
      <c r="G2901" s="19"/>
      <c r="J2901" s="19"/>
      <c r="K2901" s="19"/>
      <c r="L2901" s="19"/>
      <c r="R2901" s="19"/>
    </row>
    <row r="2902" spans="7:18" x14ac:dyDescent="0.25">
      <c r="G2902" s="19"/>
      <c r="J2902" s="19"/>
      <c r="K2902" s="19"/>
      <c r="L2902" s="19"/>
      <c r="R2902" s="19"/>
    </row>
    <row r="2903" spans="7:18" x14ac:dyDescent="0.25">
      <c r="G2903" s="19"/>
      <c r="J2903" s="19"/>
      <c r="K2903" s="19"/>
      <c r="L2903" s="19"/>
      <c r="R2903" s="19"/>
    </row>
    <row r="2904" spans="7:18" x14ac:dyDescent="0.25">
      <c r="G2904" s="19"/>
      <c r="J2904" s="19"/>
      <c r="K2904" s="19"/>
      <c r="L2904" s="19"/>
      <c r="R2904" s="19"/>
    </row>
    <row r="2905" spans="7:18" x14ac:dyDescent="0.25">
      <c r="G2905" s="19"/>
      <c r="J2905" s="19"/>
      <c r="K2905" s="19"/>
      <c r="L2905" s="19"/>
      <c r="R2905" s="19"/>
    </row>
    <row r="2906" spans="7:18" x14ac:dyDescent="0.25">
      <c r="G2906" s="19"/>
      <c r="J2906" s="19"/>
      <c r="K2906" s="19"/>
      <c r="L2906" s="19"/>
      <c r="R2906" s="19"/>
    </row>
    <row r="2907" spans="7:18" x14ac:dyDescent="0.25">
      <c r="G2907" s="19"/>
      <c r="J2907" s="19"/>
      <c r="K2907" s="19"/>
      <c r="L2907" s="19"/>
      <c r="R2907" s="19"/>
    </row>
    <row r="2908" spans="7:18" x14ac:dyDescent="0.25">
      <c r="G2908" s="19"/>
      <c r="J2908" s="19"/>
      <c r="K2908" s="19"/>
      <c r="L2908" s="19"/>
      <c r="R2908" s="19"/>
    </row>
    <row r="2909" spans="7:18" x14ac:dyDescent="0.25">
      <c r="G2909" s="19"/>
      <c r="J2909" s="19"/>
      <c r="K2909" s="19"/>
      <c r="L2909" s="19"/>
      <c r="R2909" s="19"/>
    </row>
    <row r="2910" spans="7:18" x14ac:dyDescent="0.25">
      <c r="G2910" s="19"/>
      <c r="J2910" s="19"/>
      <c r="K2910" s="19"/>
      <c r="L2910" s="19"/>
      <c r="R2910" s="19"/>
    </row>
    <row r="2911" spans="7:18" x14ac:dyDescent="0.25">
      <c r="G2911" s="19"/>
      <c r="J2911" s="19"/>
      <c r="K2911" s="19"/>
      <c r="L2911" s="19"/>
      <c r="R2911" s="19"/>
    </row>
    <row r="2912" spans="7:18" x14ac:dyDescent="0.25">
      <c r="G2912" s="19"/>
      <c r="J2912" s="19"/>
      <c r="K2912" s="19"/>
      <c r="L2912" s="19"/>
      <c r="R2912" s="19"/>
    </row>
    <row r="2913" spans="7:18" x14ac:dyDescent="0.25">
      <c r="G2913" s="19"/>
      <c r="J2913" s="19"/>
      <c r="K2913" s="19"/>
      <c r="L2913" s="19"/>
      <c r="R2913" s="19"/>
    </row>
    <row r="2914" spans="7:18" x14ac:dyDescent="0.25">
      <c r="G2914" s="19"/>
      <c r="J2914" s="19"/>
      <c r="K2914" s="19"/>
      <c r="L2914" s="19"/>
      <c r="R2914" s="19"/>
    </row>
    <row r="2915" spans="7:18" x14ac:dyDescent="0.25">
      <c r="G2915" s="19"/>
      <c r="J2915" s="19"/>
      <c r="K2915" s="19"/>
      <c r="L2915" s="19"/>
      <c r="R2915" s="19"/>
    </row>
    <row r="2916" spans="7:18" x14ac:dyDescent="0.25">
      <c r="G2916" s="19"/>
      <c r="J2916" s="19"/>
      <c r="K2916" s="19"/>
      <c r="L2916" s="19"/>
      <c r="R2916" s="19"/>
    </row>
    <row r="2917" spans="7:18" x14ac:dyDescent="0.25">
      <c r="G2917" s="19"/>
      <c r="J2917" s="19"/>
      <c r="K2917" s="19"/>
      <c r="L2917" s="19"/>
      <c r="R2917" s="19"/>
    </row>
    <row r="2918" spans="7:18" x14ac:dyDescent="0.25">
      <c r="G2918" s="19"/>
      <c r="J2918" s="19"/>
      <c r="K2918" s="19"/>
      <c r="L2918" s="19"/>
      <c r="R2918" s="19"/>
    </row>
    <row r="2919" spans="7:18" x14ac:dyDescent="0.25">
      <c r="G2919" s="19"/>
      <c r="J2919" s="19"/>
      <c r="K2919" s="19"/>
      <c r="L2919" s="19"/>
      <c r="R2919" s="19"/>
    </row>
    <row r="2920" spans="7:18" x14ac:dyDescent="0.25">
      <c r="G2920" s="19"/>
      <c r="J2920" s="19"/>
      <c r="K2920" s="19"/>
      <c r="L2920" s="19"/>
      <c r="R2920" s="19"/>
    </row>
    <row r="2921" spans="7:18" x14ac:dyDescent="0.25">
      <c r="G2921" s="19"/>
      <c r="J2921" s="19"/>
      <c r="K2921" s="19"/>
      <c r="L2921" s="19"/>
      <c r="R2921" s="19"/>
    </row>
    <row r="2922" spans="7:18" x14ac:dyDescent="0.25">
      <c r="G2922" s="19"/>
      <c r="J2922" s="19"/>
      <c r="K2922" s="19"/>
      <c r="L2922" s="19"/>
      <c r="R2922" s="19"/>
    </row>
    <row r="2923" spans="7:18" x14ac:dyDescent="0.25">
      <c r="G2923" s="19"/>
      <c r="J2923" s="19"/>
      <c r="K2923" s="19"/>
      <c r="L2923" s="19"/>
      <c r="R2923" s="19"/>
    </row>
    <row r="2924" spans="7:18" x14ac:dyDescent="0.25">
      <c r="G2924" s="19"/>
      <c r="J2924" s="19"/>
      <c r="K2924" s="19"/>
      <c r="L2924" s="19"/>
      <c r="R2924" s="19"/>
    </row>
    <row r="2925" spans="7:18" x14ac:dyDescent="0.25">
      <c r="G2925" s="19"/>
      <c r="J2925" s="19"/>
      <c r="K2925" s="19"/>
      <c r="L2925" s="19"/>
      <c r="R2925" s="19"/>
    </row>
    <row r="2926" spans="7:18" x14ac:dyDescent="0.25">
      <c r="G2926" s="19"/>
      <c r="J2926" s="19"/>
      <c r="K2926" s="19"/>
      <c r="L2926" s="19"/>
      <c r="R2926" s="19"/>
    </row>
    <row r="2927" spans="7:18" x14ac:dyDescent="0.25">
      <c r="G2927" s="19"/>
      <c r="J2927" s="19"/>
      <c r="K2927" s="19"/>
      <c r="L2927" s="19"/>
      <c r="R2927" s="19"/>
    </row>
    <row r="2928" spans="7:18" x14ac:dyDescent="0.25">
      <c r="G2928" s="19"/>
      <c r="J2928" s="19"/>
      <c r="K2928" s="19"/>
      <c r="L2928" s="19"/>
      <c r="R2928" s="19"/>
    </row>
    <row r="2929" spans="7:18" x14ac:dyDescent="0.25">
      <c r="G2929" s="19"/>
      <c r="J2929" s="19"/>
      <c r="K2929" s="19"/>
      <c r="L2929" s="19"/>
      <c r="R2929" s="19"/>
    </row>
    <row r="2930" spans="7:18" x14ac:dyDescent="0.25">
      <c r="G2930" s="19"/>
      <c r="J2930" s="19"/>
      <c r="K2930" s="19"/>
      <c r="L2930" s="19"/>
      <c r="R2930" s="19"/>
    </row>
    <row r="2931" spans="7:18" x14ac:dyDescent="0.25">
      <c r="G2931" s="19"/>
      <c r="J2931" s="19"/>
      <c r="K2931" s="19"/>
      <c r="L2931" s="19"/>
      <c r="R2931" s="19"/>
    </row>
    <row r="2932" spans="7:18" x14ac:dyDescent="0.25">
      <c r="G2932" s="19"/>
      <c r="J2932" s="19"/>
      <c r="K2932" s="19"/>
      <c r="L2932" s="19"/>
      <c r="R2932" s="19"/>
    </row>
    <row r="2933" spans="7:18" x14ac:dyDescent="0.25">
      <c r="G2933" s="19"/>
      <c r="J2933" s="19"/>
      <c r="K2933" s="19"/>
      <c r="L2933" s="19"/>
      <c r="R2933" s="19"/>
    </row>
    <row r="2934" spans="7:18" x14ac:dyDescent="0.25">
      <c r="G2934" s="19"/>
      <c r="J2934" s="19"/>
      <c r="K2934" s="19"/>
      <c r="L2934" s="19"/>
      <c r="R2934" s="19"/>
    </row>
    <row r="2935" spans="7:18" x14ac:dyDescent="0.25">
      <c r="G2935" s="19"/>
      <c r="J2935" s="19"/>
      <c r="K2935" s="19"/>
      <c r="L2935" s="19"/>
      <c r="R2935" s="19"/>
    </row>
    <row r="2936" spans="7:18" x14ac:dyDescent="0.25">
      <c r="G2936" s="19"/>
      <c r="J2936" s="19"/>
      <c r="K2936" s="19"/>
      <c r="L2936" s="19"/>
      <c r="R2936" s="19"/>
    </row>
    <row r="2937" spans="7:18" x14ac:dyDescent="0.25">
      <c r="G2937" s="19"/>
      <c r="J2937" s="19"/>
      <c r="K2937" s="19"/>
      <c r="L2937" s="19"/>
      <c r="R2937" s="19"/>
    </row>
    <row r="2938" spans="7:18" x14ac:dyDescent="0.25">
      <c r="G2938" s="19"/>
      <c r="J2938" s="19"/>
      <c r="K2938" s="19"/>
      <c r="L2938" s="19"/>
      <c r="R2938" s="19"/>
    </row>
    <row r="2939" spans="7:18" x14ac:dyDescent="0.25">
      <c r="G2939" s="19"/>
      <c r="J2939" s="19"/>
      <c r="K2939" s="19"/>
      <c r="L2939" s="19"/>
      <c r="R2939" s="19"/>
    </row>
    <row r="2940" spans="7:18" x14ac:dyDescent="0.25">
      <c r="G2940" s="19"/>
      <c r="J2940" s="19"/>
      <c r="K2940" s="19"/>
      <c r="L2940" s="19"/>
      <c r="R2940" s="19"/>
    </row>
    <row r="2941" spans="7:18" x14ac:dyDescent="0.25">
      <c r="G2941" s="19"/>
      <c r="J2941" s="19"/>
      <c r="K2941" s="19"/>
      <c r="L2941" s="19"/>
      <c r="R2941" s="19"/>
    </row>
    <row r="2942" spans="7:18" x14ac:dyDescent="0.25">
      <c r="G2942" s="19"/>
      <c r="J2942" s="19"/>
      <c r="K2942" s="19"/>
      <c r="L2942" s="19"/>
      <c r="R2942" s="19"/>
    </row>
    <row r="2943" spans="7:18" x14ac:dyDescent="0.25">
      <c r="G2943" s="19"/>
      <c r="J2943" s="19"/>
      <c r="K2943" s="19"/>
      <c r="L2943" s="19"/>
      <c r="R2943" s="19"/>
    </row>
    <row r="2944" spans="7:18" x14ac:dyDescent="0.25">
      <c r="G2944" s="19"/>
      <c r="J2944" s="19"/>
      <c r="K2944" s="19"/>
      <c r="L2944" s="19"/>
      <c r="R2944" s="19"/>
    </row>
    <row r="2945" spans="7:18" x14ac:dyDescent="0.25">
      <c r="G2945" s="19"/>
      <c r="J2945" s="19"/>
      <c r="K2945" s="19"/>
      <c r="L2945" s="19"/>
      <c r="R2945" s="19"/>
    </row>
    <row r="2946" spans="7:18" x14ac:dyDescent="0.25">
      <c r="G2946" s="19"/>
      <c r="J2946" s="19"/>
      <c r="K2946" s="19"/>
      <c r="L2946" s="19"/>
      <c r="R2946" s="19"/>
    </row>
    <row r="2947" spans="7:18" x14ac:dyDescent="0.25">
      <c r="G2947" s="19"/>
      <c r="J2947" s="19"/>
      <c r="K2947" s="19"/>
      <c r="L2947" s="19"/>
      <c r="R2947" s="19"/>
    </row>
    <row r="2948" spans="7:18" x14ac:dyDescent="0.25">
      <c r="G2948" s="19"/>
      <c r="J2948" s="19"/>
      <c r="K2948" s="19"/>
      <c r="L2948" s="19"/>
      <c r="R2948" s="19"/>
    </row>
    <row r="2949" spans="7:18" x14ac:dyDescent="0.25">
      <c r="G2949" s="19"/>
      <c r="J2949" s="19"/>
      <c r="K2949" s="19"/>
      <c r="L2949" s="19"/>
      <c r="R2949" s="19"/>
    </row>
    <row r="2950" spans="7:18" x14ac:dyDescent="0.25">
      <c r="G2950" s="19"/>
      <c r="J2950" s="19"/>
      <c r="K2950" s="19"/>
      <c r="L2950" s="19"/>
      <c r="R2950" s="19"/>
    </row>
    <row r="2951" spans="7:18" x14ac:dyDescent="0.25">
      <c r="G2951" s="19"/>
      <c r="J2951" s="19"/>
      <c r="K2951" s="19"/>
      <c r="L2951" s="19"/>
      <c r="R2951" s="19"/>
    </row>
    <row r="2952" spans="7:18" x14ac:dyDescent="0.25">
      <c r="G2952" s="19"/>
      <c r="J2952" s="19"/>
      <c r="K2952" s="19"/>
      <c r="L2952" s="19"/>
      <c r="R2952" s="19"/>
    </row>
    <row r="2953" spans="7:18" x14ac:dyDescent="0.25">
      <c r="G2953" s="19"/>
      <c r="J2953" s="19"/>
      <c r="K2953" s="19"/>
      <c r="L2953" s="19"/>
      <c r="R2953" s="19"/>
    </row>
    <row r="2954" spans="7:18" x14ac:dyDescent="0.25">
      <c r="G2954" s="19"/>
      <c r="J2954" s="19"/>
      <c r="K2954" s="19"/>
      <c r="L2954" s="19"/>
      <c r="R2954" s="19"/>
    </row>
    <row r="2955" spans="7:18" x14ac:dyDescent="0.25">
      <c r="G2955" s="19"/>
      <c r="J2955" s="19"/>
      <c r="K2955" s="19"/>
      <c r="L2955" s="19"/>
      <c r="R2955" s="19"/>
    </row>
    <row r="2956" spans="7:18" x14ac:dyDescent="0.25">
      <c r="G2956" s="19"/>
      <c r="J2956" s="19"/>
      <c r="K2956" s="19"/>
      <c r="L2956" s="19"/>
      <c r="R2956" s="19"/>
    </row>
    <row r="2957" spans="7:18" x14ac:dyDescent="0.25">
      <c r="G2957" s="19"/>
      <c r="J2957" s="19"/>
      <c r="K2957" s="19"/>
      <c r="L2957" s="19"/>
      <c r="R2957" s="19"/>
    </row>
    <row r="2958" spans="7:18" x14ac:dyDescent="0.25">
      <c r="G2958" s="19"/>
      <c r="J2958" s="19"/>
      <c r="K2958" s="19"/>
      <c r="L2958" s="19"/>
      <c r="R2958" s="19"/>
    </row>
    <row r="2959" spans="7:18" x14ac:dyDescent="0.25">
      <c r="G2959" s="19"/>
      <c r="J2959" s="19"/>
      <c r="K2959" s="19"/>
      <c r="L2959" s="19"/>
      <c r="R2959" s="19"/>
    </row>
    <row r="2960" spans="7:18" x14ac:dyDescent="0.25">
      <c r="G2960" s="19"/>
      <c r="J2960" s="19"/>
      <c r="K2960" s="19"/>
      <c r="L2960" s="19"/>
      <c r="R2960" s="19"/>
    </row>
    <row r="2961" spans="7:18" x14ac:dyDescent="0.25">
      <c r="G2961" s="19"/>
      <c r="J2961" s="19"/>
      <c r="K2961" s="19"/>
      <c r="L2961" s="19"/>
      <c r="R2961" s="19"/>
    </row>
    <row r="2962" spans="7:18" x14ac:dyDescent="0.25">
      <c r="G2962" s="19"/>
      <c r="J2962" s="19"/>
      <c r="K2962" s="19"/>
      <c r="L2962" s="19"/>
      <c r="R2962" s="19"/>
    </row>
    <row r="2963" spans="7:18" x14ac:dyDescent="0.25">
      <c r="G2963" s="19"/>
      <c r="J2963" s="19"/>
      <c r="K2963" s="19"/>
      <c r="L2963" s="19"/>
      <c r="R2963" s="19"/>
    </row>
    <row r="2964" spans="7:18" x14ac:dyDescent="0.25">
      <c r="G2964" s="19"/>
      <c r="J2964" s="19"/>
      <c r="K2964" s="19"/>
      <c r="L2964" s="19"/>
      <c r="R2964" s="19"/>
    </row>
    <row r="2965" spans="7:18" x14ac:dyDescent="0.25">
      <c r="G2965" s="19"/>
      <c r="J2965" s="19"/>
      <c r="K2965" s="19"/>
      <c r="L2965" s="19"/>
      <c r="R2965" s="19"/>
    </row>
    <row r="2966" spans="7:18" x14ac:dyDescent="0.25">
      <c r="G2966" s="19"/>
      <c r="J2966" s="19"/>
      <c r="K2966" s="19"/>
      <c r="L2966" s="19"/>
      <c r="R2966" s="19"/>
    </row>
    <row r="2967" spans="7:18" x14ac:dyDescent="0.25">
      <c r="G2967" s="19"/>
      <c r="J2967" s="19"/>
      <c r="K2967" s="19"/>
      <c r="L2967" s="19"/>
      <c r="R2967" s="19"/>
    </row>
    <row r="2968" spans="7:18" x14ac:dyDescent="0.25">
      <c r="G2968" s="19"/>
      <c r="J2968" s="19"/>
      <c r="K2968" s="19"/>
      <c r="L2968" s="19"/>
      <c r="R2968" s="19"/>
    </row>
    <row r="2969" spans="7:18" x14ac:dyDescent="0.25">
      <c r="G2969" s="19"/>
      <c r="J2969" s="19"/>
      <c r="K2969" s="19"/>
      <c r="L2969" s="19"/>
      <c r="R2969" s="19"/>
    </row>
    <row r="2970" spans="7:18" x14ac:dyDescent="0.25">
      <c r="G2970" s="19"/>
      <c r="J2970" s="19"/>
      <c r="K2970" s="19"/>
      <c r="L2970" s="19"/>
      <c r="R2970" s="19"/>
    </row>
    <row r="2971" spans="7:18" x14ac:dyDescent="0.25">
      <c r="G2971" s="19"/>
      <c r="J2971" s="19"/>
      <c r="K2971" s="19"/>
      <c r="L2971" s="19"/>
      <c r="R2971" s="19"/>
    </row>
    <row r="2972" spans="7:18" x14ac:dyDescent="0.25">
      <c r="G2972" s="19"/>
      <c r="J2972" s="19"/>
      <c r="K2972" s="19"/>
      <c r="L2972" s="19"/>
      <c r="R2972" s="19"/>
    </row>
    <row r="2973" spans="7:18" x14ac:dyDescent="0.25">
      <c r="G2973" s="19"/>
      <c r="J2973" s="19"/>
      <c r="K2973" s="19"/>
      <c r="L2973" s="19"/>
      <c r="R2973" s="19"/>
    </row>
    <row r="2974" spans="7:18" x14ac:dyDescent="0.25">
      <c r="G2974" s="19"/>
      <c r="J2974" s="19"/>
      <c r="K2974" s="19"/>
      <c r="L2974" s="19"/>
      <c r="R2974" s="19"/>
    </row>
    <row r="2975" spans="7:18" x14ac:dyDescent="0.25">
      <c r="G2975" s="19"/>
      <c r="J2975" s="19"/>
      <c r="K2975" s="19"/>
      <c r="L2975" s="19"/>
      <c r="R2975" s="19"/>
    </row>
    <row r="2976" spans="7:18" x14ac:dyDescent="0.25">
      <c r="G2976" s="19"/>
      <c r="J2976" s="19"/>
      <c r="K2976" s="19"/>
      <c r="L2976" s="19"/>
      <c r="R2976" s="19"/>
    </row>
    <row r="2977" spans="7:18" x14ac:dyDescent="0.25">
      <c r="G2977" s="19"/>
      <c r="J2977" s="19"/>
      <c r="K2977" s="19"/>
      <c r="L2977" s="19"/>
      <c r="R2977" s="19"/>
    </row>
    <row r="2978" spans="7:18" x14ac:dyDescent="0.25">
      <c r="G2978" s="19"/>
      <c r="J2978" s="19"/>
      <c r="K2978" s="19"/>
      <c r="L2978" s="19"/>
      <c r="R2978" s="19"/>
    </row>
    <row r="2979" spans="7:18" x14ac:dyDescent="0.25">
      <c r="G2979" s="19"/>
      <c r="J2979" s="19"/>
      <c r="K2979" s="19"/>
      <c r="L2979" s="19"/>
      <c r="R2979" s="19"/>
    </row>
    <row r="2980" spans="7:18" x14ac:dyDescent="0.25">
      <c r="G2980" s="19"/>
      <c r="J2980" s="19"/>
      <c r="K2980" s="19"/>
      <c r="L2980" s="19"/>
      <c r="R2980" s="19"/>
    </row>
    <row r="2981" spans="7:18" x14ac:dyDescent="0.25">
      <c r="G2981" s="19"/>
      <c r="J2981" s="19"/>
      <c r="K2981" s="19"/>
      <c r="L2981" s="19"/>
      <c r="R2981" s="19"/>
    </row>
    <row r="2982" spans="7:18" x14ac:dyDescent="0.25">
      <c r="G2982" s="19"/>
      <c r="J2982" s="19"/>
      <c r="K2982" s="19"/>
      <c r="L2982" s="19"/>
      <c r="R2982" s="19"/>
    </row>
    <row r="2983" spans="7:18" x14ac:dyDescent="0.25">
      <c r="G2983" s="19"/>
      <c r="J2983" s="19"/>
      <c r="K2983" s="19"/>
      <c r="L2983" s="19"/>
      <c r="R2983" s="19"/>
    </row>
    <row r="2984" spans="7:18" x14ac:dyDescent="0.25">
      <c r="G2984" s="19"/>
      <c r="J2984" s="19"/>
      <c r="K2984" s="19"/>
      <c r="L2984" s="19"/>
      <c r="R2984" s="19"/>
    </row>
    <row r="2985" spans="7:18" x14ac:dyDescent="0.25">
      <c r="G2985" s="19"/>
      <c r="J2985" s="19"/>
      <c r="K2985" s="19"/>
      <c r="L2985" s="19"/>
      <c r="R2985" s="19"/>
    </row>
    <row r="2986" spans="7:18" x14ac:dyDescent="0.25">
      <c r="G2986" s="19"/>
      <c r="J2986" s="19"/>
      <c r="K2986" s="19"/>
      <c r="L2986" s="19"/>
      <c r="R2986" s="19"/>
    </row>
    <row r="2987" spans="7:18" x14ac:dyDescent="0.25">
      <c r="G2987" s="19"/>
      <c r="J2987" s="19"/>
      <c r="K2987" s="19"/>
      <c r="L2987" s="19"/>
      <c r="R2987" s="19"/>
    </row>
    <row r="2988" spans="7:18" x14ac:dyDescent="0.25">
      <c r="G2988" s="19"/>
      <c r="J2988" s="19"/>
      <c r="K2988" s="19"/>
      <c r="L2988" s="19"/>
      <c r="R2988" s="19"/>
    </row>
    <row r="2989" spans="7:18" x14ac:dyDescent="0.25">
      <c r="G2989" s="19"/>
      <c r="J2989" s="19"/>
      <c r="K2989" s="19"/>
      <c r="L2989" s="19"/>
      <c r="R2989" s="19"/>
    </row>
    <row r="2990" spans="7:18" x14ac:dyDescent="0.25">
      <c r="G2990" s="19"/>
      <c r="J2990" s="19"/>
      <c r="K2990" s="19"/>
      <c r="L2990" s="19"/>
      <c r="R2990" s="19"/>
    </row>
    <row r="2991" spans="7:18" x14ac:dyDescent="0.25">
      <c r="G2991" s="19"/>
      <c r="J2991" s="19"/>
      <c r="K2991" s="19"/>
      <c r="L2991" s="19"/>
      <c r="R2991" s="19"/>
    </row>
    <row r="2992" spans="7:18" x14ac:dyDescent="0.25">
      <c r="G2992" s="19"/>
      <c r="J2992" s="19"/>
      <c r="K2992" s="19"/>
      <c r="L2992" s="19"/>
      <c r="R2992" s="19"/>
    </row>
    <row r="2993" spans="7:18" x14ac:dyDescent="0.25">
      <c r="G2993" s="19"/>
      <c r="J2993" s="19"/>
      <c r="K2993" s="19"/>
      <c r="L2993" s="19"/>
      <c r="R2993" s="19"/>
    </row>
    <row r="2994" spans="7:18" x14ac:dyDescent="0.25">
      <c r="G2994" s="19"/>
      <c r="J2994" s="19"/>
      <c r="K2994" s="19"/>
      <c r="L2994" s="19"/>
      <c r="R2994" s="19"/>
    </row>
    <row r="2995" spans="7:18" x14ac:dyDescent="0.25">
      <c r="G2995" s="19"/>
      <c r="J2995" s="19"/>
      <c r="K2995" s="19"/>
      <c r="L2995" s="19"/>
      <c r="R2995" s="19"/>
    </row>
    <row r="2996" spans="7:18" x14ac:dyDescent="0.25">
      <c r="G2996" s="19"/>
      <c r="J2996" s="19"/>
      <c r="K2996" s="19"/>
      <c r="L2996" s="19"/>
      <c r="R2996" s="19"/>
    </row>
    <row r="2997" spans="7:18" x14ac:dyDescent="0.25">
      <c r="G2997" s="19"/>
      <c r="J2997" s="19"/>
      <c r="K2997" s="19"/>
      <c r="L2997" s="19"/>
      <c r="R2997" s="19"/>
    </row>
    <row r="2998" spans="7:18" x14ac:dyDescent="0.25">
      <c r="G2998" s="19"/>
      <c r="J2998" s="19"/>
      <c r="K2998" s="19"/>
      <c r="L2998" s="19"/>
      <c r="R2998" s="19"/>
    </row>
    <row r="2999" spans="7:18" x14ac:dyDescent="0.25">
      <c r="G2999" s="19"/>
      <c r="J2999" s="19"/>
      <c r="K2999" s="19"/>
      <c r="L2999" s="19"/>
      <c r="R2999" s="19"/>
    </row>
    <row r="3000" spans="7:18" x14ac:dyDescent="0.25">
      <c r="G3000" s="19"/>
      <c r="J3000" s="19"/>
      <c r="K3000" s="19"/>
      <c r="L3000" s="19"/>
      <c r="R3000" s="19"/>
    </row>
    <row r="3002" spans="7:18" x14ac:dyDescent="0.25">
      <c r="G3002" s="19"/>
      <c r="J3002" s="19"/>
      <c r="K3002" s="19"/>
      <c r="L3002" s="19"/>
      <c r="R3002" s="19"/>
    </row>
    <row r="3003" spans="7:18" x14ac:dyDescent="0.25">
      <c r="G3003" s="19"/>
      <c r="J3003" s="19"/>
      <c r="K3003" s="19"/>
      <c r="L3003" s="19"/>
      <c r="R3003" s="19"/>
    </row>
    <row r="3004" spans="7:18" x14ac:dyDescent="0.25">
      <c r="G3004" s="19"/>
      <c r="J3004" s="19"/>
      <c r="K3004" s="19"/>
      <c r="L3004" s="19"/>
      <c r="R3004" s="19"/>
    </row>
    <row r="3005" spans="7:18" x14ac:dyDescent="0.25">
      <c r="G3005" s="19"/>
      <c r="J3005" s="19"/>
      <c r="K3005" s="19"/>
      <c r="L3005" s="19"/>
      <c r="R3005" s="19"/>
    </row>
    <row r="3006" spans="7:18" x14ac:dyDescent="0.25">
      <c r="G3006" s="19"/>
      <c r="J3006" s="19"/>
      <c r="K3006" s="19"/>
      <c r="L3006" s="19"/>
      <c r="R3006" s="19"/>
    </row>
    <row r="3007" spans="7:18" x14ac:dyDescent="0.25">
      <c r="G3007" s="19"/>
      <c r="J3007" s="19"/>
      <c r="K3007" s="19"/>
      <c r="L3007" s="19"/>
      <c r="R3007" s="19"/>
    </row>
    <row r="3008" spans="7:18" x14ac:dyDescent="0.25">
      <c r="G3008" s="19"/>
      <c r="J3008" s="19"/>
      <c r="K3008" s="19"/>
      <c r="L3008" s="19"/>
      <c r="R3008" s="19"/>
    </row>
    <row r="3009" spans="7:18" x14ac:dyDescent="0.25">
      <c r="G3009" s="19"/>
      <c r="J3009" s="19"/>
      <c r="K3009" s="19"/>
      <c r="L3009" s="19"/>
      <c r="R3009" s="19"/>
    </row>
    <row r="3010" spans="7:18" x14ac:dyDescent="0.25">
      <c r="G3010" s="19"/>
      <c r="J3010" s="19"/>
      <c r="K3010" s="19"/>
      <c r="L3010" s="19"/>
      <c r="R3010" s="19"/>
    </row>
    <row r="3011" spans="7:18" x14ac:dyDescent="0.25">
      <c r="G3011" s="19"/>
      <c r="J3011" s="19"/>
      <c r="K3011" s="19"/>
      <c r="L3011" s="19"/>
      <c r="R3011" s="19"/>
    </row>
    <row r="3012" spans="7:18" x14ac:dyDescent="0.25">
      <c r="G3012" s="19"/>
      <c r="J3012" s="19"/>
      <c r="K3012" s="19"/>
      <c r="L3012" s="19"/>
      <c r="R3012" s="19"/>
    </row>
    <row r="3013" spans="7:18" x14ac:dyDescent="0.25">
      <c r="G3013" s="19"/>
      <c r="J3013" s="19"/>
      <c r="K3013" s="19"/>
      <c r="L3013" s="19"/>
      <c r="R3013" s="19"/>
    </row>
    <row r="3014" spans="7:18" x14ac:dyDescent="0.25">
      <c r="G3014" s="19"/>
      <c r="J3014" s="19"/>
      <c r="K3014" s="19"/>
      <c r="L3014" s="19"/>
      <c r="R3014" s="19"/>
    </row>
    <row r="3015" spans="7:18" x14ac:dyDescent="0.25">
      <c r="G3015" s="19"/>
      <c r="J3015" s="19"/>
      <c r="K3015" s="19"/>
      <c r="L3015" s="19"/>
      <c r="R3015" s="19"/>
    </row>
    <row r="3016" spans="7:18" x14ac:dyDescent="0.25">
      <c r="G3016" s="19"/>
      <c r="J3016" s="19"/>
      <c r="K3016" s="19"/>
      <c r="L3016" s="19"/>
      <c r="R3016" s="19"/>
    </row>
    <row r="3017" spans="7:18" x14ac:dyDescent="0.25">
      <c r="G3017" s="19"/>
      <c r="J3017" s="19"/>
      <c r="K3017" s="19"/>
      <c r="L3017" s="19"/>
      <c r="R3017" s="19"/>
    </row>
    <row r="3018" spans="7:18" x14ac:dyDescent="0.25">
      <c r="G3018" s="19"/>
      <c r="J3018" s="19"/>
      <c r="K3018" s="19"/>
      <c r="L3018" s="19"/>
      <c r="R3018" s="19"/>
    </row>
    <row r="3019" spans="7:18" x14ac:dyDescent="0.25">
      <c r="G3019" s="19"/>
      <c r="J3019" s="19"/>
      <c r="K3019" s="19"/>
      <c r="L3019" s="19"/>
      <c r="R3019" s="19"/>
    </row>
    <row r="3020" spans="7:18" x14ac:dyDescent="0.25">
      <c r="G3020" s="19"/>
      <c r="J3020" s="19"/>
      <c r="K3020" s="19"/>
      <c r="L3020" s="19"/>
      <c r="R3020" s="19"/>
    </row>
    <row r="3021" spans="7:18" x14ac:dyDescent="0.25">
      <c r="G3021" s="19"/>
      <c r="J3021" s="19"/>
      <c r="K3021" s="19"/>
      <c r="L3021" s="19"/>
      <c r="R3021" s="19"/>
    </row>
    <row r="3022" spans="7:18" x14ac:dyDescent="0.25">
      <c r="G3022" s="19"/>
      <c r="J3022" s="19"/>
      <c r="K3022" s="19"/>
      <c r="L3022" s="19"/>
      <c r="R3022" s="19"/>
    </row>
    <row r="3023" spans="7:18" x14ac:dyDescent="0.25">
      <c r="G3023" s="19"/>
      <c r="J3023" s="19"/>
      <c r="K3023" s="19"/>
      <c r="L3023" s="19"/>
      <c r="R3023" s="19"/>
    </row>
    <row r="3024" spans="7:18" x14ac:dyDescent="0.25">
      <c r="G3024" s="19"/>
      <c r="J3024" s="19"/>
      <c r="K3024" s="19"/>
      <c r="L3024" s="19"/>
      <c r="R3024" s="19"/>
    </row>
    <row r="3025" spans="7:18" x14ac:dyDescent="0.25">
      <c r="G3025" s="19"/>
      <c r="J3025" s="19"/>
      <c r="K3025" s="19"/>
      <c r="L3025" s="19"/>
      <c r="R3025" s="19"/>
    </row>
    <row r="3026" spans="7:18" x14ac:dyDescent="0.25">
      <c r="G3026" s="19"/>
      <c r="J3026" s="19"/>
      <c r="K3026" s="19"/>
      <c r="L3026" s="19"/>
      <c r="R3026" s="19"/>
    </row>
    <row r="3027" spans="7:18" x14ac:dyDescent="0.25">
      <c r="G3027" s="19"/>
      <c r="J3027" s="19"/>
      <c r="K3027" s="19"/>
      <c r="L3027" s="19"/>
      <c r="R3027" s="19"/>
    </row>
    <row r="3028" spans="7:18" x14ac:dyDescent="0.25">
      <c r="G3028" s="19"/>
      <c r="J3028" s="19"/>
      <c r="K3028" s="19"/>
      <c r="L3028" s="19"/>
      <c r="R3028" s="19"/>
    </row>
    <row r="3029" spans="7:18" x14ac:dyDescent="0.25">
      <c r="G3029" s="19"/>
      <c r="J3029" s="19"/>
      <c r="K3029" s="19"/>
      <c r="L3029" s="19"/>
      <c r="R3029" s="19"/>
    </row>
    <row r="3030" spans="7:18" x14ac:dyDescent="0.25">
      <c r="G3030" s="19"/>
      <c r="J3030" s="19"/>
      <c r="K3030" s="19"/>
      <c r="L3030" s="19"/>
      <c r="R3030" s="19"/>
    </row>
    <row r="3031" spans="7:18" x14ac:dyDescent="0.25">
      <c r="G3031" s="19"/>
      <c r="J3031" s="19"/>
      <c r="K3031" s="19"/>
      <c r="L3031" s="19"/>
      <c r="R3031" s="19"/>
    </row>
    <row r="3032" spans="7:18" x14ac:dyDescent="0.25">
      <c r="G3032" s="19"/>
      <c r="J3032" s="19"/>
      <c r="K3032" s="19"/>
      <c r="L3032" s="19"/>
      <c r="R3032" s="19"/>
    </row>
    <row r="3033" spans="7:18" x14ac:dyDescent="0.25">
      <c r="G3033" s="19"/>
      <c r="J3033" s="19"/>
      <c r="K3033" s="19"/>
      <c r="L3033" s="19"/>
      <c r="R3033" s="19"/>
    </row>
    <row r="3034" spans="7:18" x14ac:dyDescent="0.25">
      <c r="G3034" s="19"/>
      <c r="J3034" s="19"/>
      <c r="K3034" s="19"/>
      <c r="L3034" s="19"/>
      <c r="R3034" s="19"/>
    </row>
    <row r="3035" spans="7:18" x14ac:dyDescent="0.25">
      <c r="G3035" s="19"/>
      <c r="J3035" s="19"/>
      <c r="K3035" s="19"/>
      <c r="L3035" s="19"/>
      <c r="R3035" s="19"/>
    </row>
    <row r="3036" spans="7:18" x14ac:dyDescent="0.25">
      <c r="G3036" s="19"/>
      <c r="J3036" s="19"/>
      <c r="K3036" s="19"/>
      <c r="L3036" s="19"/>
      <c r="R3036" s="19"/>
    </row>
    <row r="3037" spans="7:18" x14ac:dyDescent="0.25">
      <c r="G3037" s="19"/>
      <c r="J3037" s="19"/>
      <c r="K3037" s="19"/>
      <c r="L3037" s="19"/>
      <c r="R3037" s="19"/>
    </row>
    <row r="3038" spans="7:18" x14ac:dyDescent="0.25">
      <c r="G3038" s="19"/>
      <c r="J3038" s="19"/>
      <c r="K3038" s="19"/>
      <c r="L3038" s="19"/>
      <c r="R3038" s="19"/>
    </row>
    <row r="3039" spans="7:18" x14ac:dyDescent="0.25">
      <c r="G3039" s="19"/>
      <c r="J3039" s="19"/>
      <c r="K3039" s="19"/>
      <c r="L3039" s="19"/>
      <c r="R3039" s="19"/>
    </row>
    <row r="3040" spans="7:18" x14ac:dyDescent="0.25">
      <c r="G3040" s="19"/>
      <c r="J3040" s="19"/>
      <c r="K3040" s="19"/>
      <c r="L3040" s="19"/>
      <c r="R3040" s="19"/>
    </row>
    <row r="3041" spans="7:18" x14ac:dyDescent="0.25">
      <c r="G3041" s="19"/>
      <c r="J3041" s="19"/>
      <c r="K3041" s="19"/>
      <c r="L3041" s="19"/>
      <c r="R3041" s="19"/>
    </row>
    <row r="3042" spans="7:18" x14ac:dyDescent="0.25">
      <c r="G3042" s="19"/>
      <c r="J3042" s="19"/>
      <c r="K3042" s="19"/>
      <c r="L3042" s="19"/>
      <c r="R3042" s="19"/>
    </row>
    <row r="3043" spans="7:18" x14ac:dyDescent="0.25">
      <c r="G3043" s="19"/>
      <c r="J3043" s="19"/>
      <c r="K3043" s="19"/>
      <c r="L3043" s="19"/>
      <c r="R3043" s="19"/>
    </row>
    <row r="3044" spans="7:18" x14ac:dyDescent="0.25">
      <c r="G3044" s="19"/>
      <c r="J3044" s="19"/>
      <c r="K3044" s="19"/>
      <c r="L3044" s="19"/>
      <c r="R3044" s="19"/>
    </row>
    <row r="3045" spans="7:18" x14ac:dyDescent="0.25">
      <c r="G3045" s="19"/>
      <c r="J3045" s="19"/>
      <c r="K3045" s="19"/>
      <c r="L3045" s="19"/>
      <c r="R3045" s="19"/>
    </row>
    <row r="3046" spans="7:18" x14ac:dyDescent="0.25">
      <c r="G3046" s="19"/>
      <c r="J3046" s="19"/>
      <c r="K3046" s="19"/>
      <c r="L3046" s="19"/>
      <c r="R3046" s="19"/>
    </row>
    <row r="3047" spans="7:18" x14ac:dyDescent="0.25">
      <c r="G3047" s="19"/>
      <c r="J3047" s="19"/>
      <c r="K3047" s="19"/>
      <c r="L3047" s="19"/>
      <c r="R3047" s="19"/>
    </row>
    <row r="3048" spans="7:18" x14ac:dyDescent="0.25">
      <c r="G3048" s="19"/>
      <c r="J3048" s="19"/>
      <c r="K3048" s="19"/>
      <c r="L3048" s="19"/>
      <c r="R3048" s="19"/>
    </row>
    <row r="3049" spans="7:18" x14ac:dyDescent="0.25">
      <c r="G3049" s="19"/>
      <c r="J3049" s="19"/>
      <c r="K3049" s="19"/>
      <c r="L3049" s="19"/>
      <c r="R3049" s="19"/>
    </row>
    <row r="3050" spans="7:18" x14ac:dyDescent="0.25">
      <c r="G3050" s="19"/>
      <c r="J3050" s="19"/>
      <c r="K3050" s="19"/>
      <c r="L3050" s="19"/>
      <c r="R3050" s="19"/>
    </row>
    <row r="3051" spans="7:18" x14ac:dyDescent="0.25">
      <c r="G3051" s="19"/>
      <c r="J3051" s="19"/>
      <c r="K3051" s="19"/>
      <c r="L3051" s="19"/>
      <c r="R3051" s="19"/>
    </row>
    <row r="3052" spans="7:18" x14ac:dyDescent="0.25">
      <c r="G3052" s="19"/>
      <c r="J3052" s="19"/>
      <c r="K3052" s="19"/>
      <c r="L3052" s="19"/>
      <c r="R3052" s="19"/>
    </row>
    <row r="3053" spans="7:18" x14ac:dyDescent="0.25">
      <c r="G3053" s="19"/>
      <c r="J3053" s="19"/>
      <c r="K3053" s="19"/>
      <c r="L3053" s="19"/>
      <c r="R3053" s="19"/>
    </row>
    <row r="3054" spans="7:18" x14ac:dyDescent="0.25">
      <c r="G3054" s="19"/>
      <c r="J3054" s="19"/>
      <c r="K3054" s="19"/>
      <c r="L3054" s="19"/>
      <c r="R3054" s="19"/>
    </row>
    <row r="3055" spans="7:18" x14ac:dyDescent="0.25">
      <c r="G3055" s="19"/>
      <c r="J3055" s="19"/>
      <c r="K3055" s="19"/>
      <c r="L3055" s="19"/>
      <c r="R3055" s="19"/>
    </row>
    <row r="3056" spans="7:18" x14ac:dyDescent="0.25">
      <c r="G3056" s="19"/>
      <c r="J3056" s="19"/>
      <c r="K3056" s="19"/>
      <c r="L3056" s="19"/>
      <c r="R3056" s="19"/>
    </row>
    <row r="3057" spans="7:18" x14ac:dyDescent="0.25">
      <c r="G3057" s="19"/>
      <c r="J3057" s="19"/>
      <c r="K3057" s="19"/>
      <c r="L3057" s="19"/>
      <c r="R3057" s="19"/>
    </row>
    <row r="3058" spans="7:18" x14ac:dyDescent="0.25">
      <c r="G3058" s="19"/>
      <c r="J3058" s="19"/>
      <c r="K3058" s="19"/>
      <c r="L3058" s="19"/>
      <c r="R3058" s="19"/>
    </row>
    <row r="3059" spans="7:18" x14ac:dyDescent="0.25">
      <c r="G3059" s="19"/>
      <c r="J3059" s="19"/>
      <c r="K3059" s="19"/>
      <c r="L3059" s="19"/>
      <c r="R3059" s="19"/>
    </row>
    <row r="3060" spans="7:18" x14ac:dyDescent="0.25">
      <c r="G3060" s="19"/>
      <c r="J3060" s="19"/>
      <c r="K3060" s="19"/>
      <c r="L3060" s="19"/>
      <c r="R3060" s="19"/>
    </row>
    <row r="3061" spans="7:18" x14ac:dyDescent="0.25">
      <c r="G3061" s="19"/>
      <c r="J3061" s="19"/>
      <c r="K3061" s="19"/>
      <c r="L3061" s="19"/>
      <c r="R3061" s="19"/>
    </row>
    <row r="3062" spans="7:18" x14ac:dyDescent="0.25">
      <c r="G3062" s="19"/>
      <c r="J3062" s="19"/>
      <c r="K3062" s="19"/>
      <c r="L3062" s="19"/>
      <c r="R3062" s="19"/>
    </row>
    <row r="3063" spans="7:18" x14ac:dyDescent="0.25">
      <c r="G3063" s="19"/>
      <c r="J3063" s="19"/>
      <c r="K3063" s="19"/>
      <c r="L3063" s="19"/>
      <c r="R3063" s="19"/>
    </row>
    <row r="3064" spans="7:18" x14ac:dyDescent="0.25">
      <c r="G3064" s="19"/>
      <c r="J3064" s="19"/>
      <c r="K3064" s="19"/>
      <c r="L3064" s="19"/>
      <c r="R3064" s="19"/>
    </row>
    <row r="3065" spans="7:18" x14ac:dyDescent="0.25">
      <c r="G3065" s="19"/>
      <c r="J3065" s="19"/>
      <c r="K3065" s="19"/>
      <c r="L3065" s="19"/>
      <c r="R3065" s="19"/>
    </row>
    <row r="3066" spans="7:18" x14ac:dyDescent="0.25">
      <c r="G3066" s="19"/>
      <c r="J3066" s="19"/>
      <c r="K3066" s="19"/>
      <c r="L3066" s="19"/>
      <c r="R3066" s="19"/>
    </row>
    <row r="3067" spans="7:18" x14ac:dyDescent="0.25">
      <c r="G3067" s="19"/>
      <c r="J3067" s="19"/>
      <c r="K3067" s="19"/>
      <c r="L3067" s="19"/>
      <c r="R3067" s="19"/>
    </row>
    <row r="3068" spans="7:18" x14ac:dyDescent="0.25">
      <c r="G3068" s="19"/>
      <c r="J3068" s="19"/>
      <c r="K3068" s="19"/>
      <c r="L3068" s="19"/>
      <c r="R3068" s="19"/>
    </row>
    <row r="3069" spans="7:18" x14ac:dyDescent="0.25">
      <c r="G3069" s="19"/>
      <c r="J3069" s="19"/>
      <c r="K3069" s="19"/>
      <c r="L3069" s="19"/>
      <c r="R3069" s="19"/>
    </row>
    <row r="3070" spans="7:18" x14ac:dyDescent="0.25">
      <c r="G3070" s="19"/>
      <c r="J3070" s="19"/>
      <c r="K3070" s="19"/>
      <c r="L3070" s="19"/>
      <c r="R3070" s="19"/>
    </row>
    <row r="3071" spans="7:18" x14ac:dyDescent="0.25">
      <c r="G3071" s="19"/>
      <c r="J3071" s="19"/>
      <c r="K3071" s="19"/>
      <c r="L3071" s="19"/>
      <c r="R3071" s="19"/>
    </row>
    <row r="3072" spans="7:18" x14ac:dyDescent="0.25">
      <c r="G3072" s="19"/>
      <c r="J3072" s="19"/>
      <c r="K3072" s="19"/>
      <c r="L3072" s="19"/>
      <c r="R3072" s="19"/>
    </row>
    <row r="3073" spans="7:18" x14ac:dyDescent="0.25">
      <c r="G3073" s="19"/>
      <c r="J3073" s="19"/>
      <c r="K3073" s="19"/>
      <c r="L3073" s="19"/>
      <c r="R3073" s="19"/>
    </row>
    <row r="3074" spans="7:18" x14ac:dyDescent="0.25">
      <c r="G3074" s="19"/>
      <c r="J3074" s="19"/>
      <c r="K3074" s="19"/>
      <c r="L3074" s="19"/>
      <c r="R3074" s="19"/>
    </row>
    <row r="3075" spans="7:18" x14ac:dyDescent="0.25">
      <c r="G3075" s="19"/>
      <c r="J3075" s="19"/>
      <c r="K3075" s="19"/>
      <c r="L3075" s="19"/>
      <c r="R3075" s="19"/>
    </row>
    <row r="3076" spans="7:18" x14ac:dyDescent="0.25">
      <c r="G3076" s="19"/>
      <c r="J3076" s="19"/>
      <c r="K3076" s="19"/>
      <c r="L3076" s="19"/>
      <c r="R3076" s="19"/>
    </row>
    <row r="3077" spans="7:18" x14ac:dyDescent="0.25">
      <c r="G3077" s="19"/>
      <c r="J3077" s="19"/>
      <c r="K3077" s="19"/>
      <c r="L3077" s="19"/>
      <c r="R3077" s="19"/>
    </row>
    <row r="3078" spans="7:18" x14ac:dyDescent="0.25">
      <c r="G3078" s="19"/>
      <c r="J3078" s="19"/>
      <c r="K3078" s="19"/>
      <c r="L3078" s="19"/>
      <c r="R3078" s="19"/>
    </row>
    <row r="3079" spans="7:18" x14ac:dyDescent="0.25">
      <c r="G3079" s="19"/>
      <c r="J3079" s="19"/>
      <c r="K3079" s="19"/>
      <c r="L3079" s="19"/>
      <c r="R3079" s="19"/>
    </row>
    <row r="3080" spans="7:18" x14ac:dyDescent="0.25">
      <c r="G3080" s="19"/>
      <c r="J3080" s="19"/>
      <c r="K3080" s="19"/>
      <c r="L3080" s="19"/>
      <c r="R3080" s="19"/>
    </row>
    <row r="3081" spans="7:18" x14ac:dyDescent="0.25">
      <c r="G3081" s="19"/>
      <c r="J3081" s="19"/>
      <c r="K3081" s="19"/>
      <c r="L3081" s="19"/>
      <c r="R3081" s="19"/>
    </row>
    <row r="3082" spans="7:18" x14ac:dyDescent="0.25">
      <c r="G3082" s="19"/>
      <c r="J3082" s="19"/>
      <c r="K3082" s="19"/>
      <c r="L3082" s="19"/>
      <c r="R3082" s="19"/>
    </row>
    <row r="3083" spans="7:18" x14ac:dyDescent="0.25">
      <c r="G3083" s="19"/>
      <c r="J3083" s="19"/>
      <c r="K3083" s="19"/>
      <c r="L3083" s="19"/>
      <c r="R3083" s="19"/>
    </row>
    <row r="3084" spans="7:18" x14ac:dyDescent="0.25">
      <c r="G3084" s="19"/>
      <c r="J3084" s="19"/>
      <c r="K3084" s="19"/>
      <c r="L3084" s="19"/>
      <c r="R3084" s="19"/>
    </row>
    <row r="3085" spans="7:18" x14ac:dyDescent="0.25">
      <c r="G3085" s="19"/>
      <c r="J3085" s="19"/>
      <c r="K3085" s="19"/>
      <c r="L3085" s="19"/>
      <c r="R3085" s="19"/>
    </row>
    <row r="3086" spans="7:18" x14ac:dyDescent="0.25">
      <c r="G3086" s="19"/>
      <c r="J3086" s="19"/>
      <c r="K3086" s="19"/>
      <c r="L3086" s="19"/>
      <c r="R3086" s="19"/>
    </row>
    <row r="3087" spans="7:18" x14ac:dyDescent="0.25">
      <c r="G3087" s="19"/>
      <c r="J3087" s="19"/>
      <c r="K3087" s="19"/>
      <c r="L3087" s="19"/>
      <c r="R3087" s="19"/>
    </row>
    <row r="3088" spans="7:18" x14ac:dyDescent="0.25">
      <c r="G3088" s="19"/>
      <c r="J3088" s="19"/>
      <c r="K3088" s="19"/>
      <c r="L3088" s="19"/>
      <c r="R3088" s="19"/>
    </row>
    <row r="3089" spans="7:18" x14ac:dyDescent="0.25">
      <c r="G3089" s="19"/>
      <c r="J3089" s="19"/>
      <c r="K3089" s="19"/>
      <c r="L3089" s="19"/>
      <c r="R3089" s="19"/>
    </row>
    <row r="3090" spans="7:18" x14ac:dyDescent="0.25">
      <c r="G3090" s="19"/>
      <c r="J3090" s="19"/>
      <c r="K3090" s="19"/>
      <c r="L3090" s="19"/>
      <c r="R3090" s="19"/>
    </row>
    <row r="3091" spans="7:18" x14ac:dyDescent="0.25">
      <c r="G3091" s="19"/>
      <c r="J3091" s="19"/>
      <c r="K3091" s="19"/>
      <c r="L3091" s="19"/>
      <c r="R3091" s="19"/>
    </row>
    <row r="3092" spans="7:18" x14ac:dyDescent="0.25">
      <c r="G3092" s="19"/>
      <c r="J3092" s="19"/>
      <c r="K3092" s="19"/>
      <c r="L3092" s="19"/>
      <c r="R3092" s="19"/>
    </row>
    <row r="3093" spans="7:18" x14ac:dyDescent="0.25">
      <c r="G3093" s="19"/>
      <c r="J3093" s="19"/>
      <c r="K3093" s="19"/>
      <c r="L3093" s="19"/>
      <c r="R3093" s="19"/>
    </row>
    <row r="3094" spans="7:18" x14ac:dyDescent="0.25">
      <c r="G3094" s="19"/>
      <c r="J3094" s="19"/>
      <c r="K3094" s="19"/>
      <c r="L3094" s="19"/>
      <c r="R3094" s="19"/>
    </row>
    <row r="3095" spans="7:18" x14ac:dyDescent="0.25">
      <c r="G3095" s="19"/>
      <c r="J3095" s="19"/>
      <c r="K3095" s="19"/>
      <c r="L3095" s="19"/>
      <c r="R3095" s="19"/>
    </row>
    <row r="3096" spans="7:18" x14ac:dyDescent="0.25">
      <c r="G3096" s="19"/>
      <c r="J3096" s="19"/>
      <c r="K3096" s="19"/>
      <c r="L3096" s="19"/>
      <c r="R3096" s="19"/>
    </row>
    <row r="3097" spans="7:18" x14ac:dyDescent="0.25">
      <c r="G3097" s="19"/>
      <c r="J3097" s="19"/>
      <c r="K3097" s="19"/>
      <c r="L3097" s="19"/>
      <c r="R3097" s="19"/>
    </row>
    <row r="3098" spans="7:18" x14ac:dyDescent="0.25">
      <c r="G3098" s="19"/>
      <c r="J3098" s="19"/>
      <c r="K3098" s="19"/>
      <c r="L3098" s="19"/>
      <c r="R3098" s="19"/>
    </row>
    <row r="3099" spans="7:18" x14ac:dyDescent="0.25">
      <c r="G3099" s="19"/>
      <c r="J3099" s="19"/>
      <c r="K3099" s="19"/>
      <c r="L3099" s="19"/>
      <c r="R3099" s="19"/>
    </row>
    <row r="3100" spans="7:18" x14ac:dyDescent="0.25">
      <c r="G3100" s="19"/>
      <c r="J3100" s="19"/>
      <c r="K3100" s="19"/>
      <c r="L3100" s="19"/>
      <c r="R3100" s="19"/>
    </row>
    <row r="3101" spans="7:18" x14ac:dyDescent="0.25">
      <c r="G3101" s="19"/>
      <c r="J3101" s="19"/>
      <c r="K3101" s="19"/>
      <c r="L3101" s="19"/>
      <c r="R3101" s="19"/>
    </row>
    <row r="3102" spans="7:18" x14ac:dyDescent="0.25">
      <c r="G3102" s="19"/>
      <c r="J3102" s="19"/>
      <c r="K3102" s="19"/>
      <c r="L3102" s="19"/>
      <c r="R3102" s="19"/>
    </row>
    <row r="3103" spans="7:18" x14ac:dyDescent="0.25">
      <c r="G3103" s="19"/>
      <c r="J3103" s="19"/>
      <c r="K3103" s="19"/>
      <c r="L3103" s="19"/>
      <c r="R3103" s="19"/>
    </row>
    <row r="3104" spans="7:18" x14ac:dyDescent="0.25">
      <c r="G3104" s="19"/>
      <c r="J3104" s="19"/>
      <c r="K3104" s="19"/>
      <c r="L3104" s="19"/>
      <c r="R3104" s="19"/>
    </row>
    <row r="3105" spans="7:18" x14ac:dyDescent="0.25">
      <c r="G3105" s="19"/>
      <c r="J3105" s="19"/>
      <c r="K3105" s="19"/>
      <c r="L3105" s="19"/>
      <c r="R3105" s="19"/>
    </row>
    <row r="3106" spans="7:18" x14ac:dyDescent="0.25">
      <c r="G3106" s="19"/>
      <c r="J3106" s="19"/>
      <c r="K3106" s="19"/>
      <c r="L3106" s="19"/>
      <c r="R3106" s="19"/>
    </row>
    <row r="3107" spans="7:18" x14ac:dyDescent="0.25">
      <c r="G3107" s="19"/>
      <c r="J3107" s="19"/>
      <c r="K3107" s="19"/>
      <c r="L3107" s="19"/>
      <c r="R3107" s="19"/>
    </row>
    <row r="3108" spans="7:18" x14ac:dyDescent="0.25">
      <c r="G3108" s="19"/>
      <c r="J3108" s="19"/>
      <c r="K3108" s="19"/>
      <c r="L3108" s="19"/>
      <c r="R3108" s="19"/>
    </row>
    <row r="3109" spans="7:18" x14ac:dyDescent="0.25">
      <c r="G3109" s="19"/>
      <c r="J3109" s="19"/>
      <c r="K3109" s="19"/>
      <c r="L3109" s="19"/>
      <c r="R3109" s="19"/>
    </row>
    <row r="3110" spans="7:18" x14ac:dyDescent="0.25">
      <c r="G3110" s="19"/>
      <c r="J3110" s="19"/>
      <c r="K3110" s="19"/>
      <c r="L3110" s="19"/>
      <c r="R3110" s="19"/>
    </row>
    <row r="3111" spans="7:18" x14ac:dyDescent="0.25">
      <c r="G3111" s="19"/>
      <c r="J3111" s="19"/>
      <c r="K3111" s="19"/>
      <c r="L3111" s="19"/>
      <c r="R3111" s="19"/>
    </row>
    <row r="3112" spans="7:18" x14ac:dyDescent="0.25">
      <c r="G3112" s="19"/>
      <c r="J3112" s="19"/>
      <c r="K3112" s="19"/>
      <c r="L3112" s="19"/>
      <c r="R3112" s="19"/>
    </row>
    <row r="3113" spans="7:18" x14ac:dyDescent="0.25">
      <c r="G3113" s="19"/>
      <c r="J3113" s="19"/>
      <c r="K3113" s="19"/>
      <c r="L3113" s="19"/>
      <c r="R3113" s="19"/>
    </row>
    <row r="3114" spans="7:18" x14ac:dyDescent="0.25">
      <c r="G3114" s="19"/>
      <c r="J3114" s="19"/>
      <c r="K3114" s="19"/>
      <c r="L3114" s="19"/>
      <c r="R3114" s="19"/>
    </row>
    <row r="3115" spans="7:18" x14ac:dyDescent="0.25">
      <c r="G3115" s="19"/>
      <c r="J3115" s="19"/>
      <c r="K3115" s="19"/>
      <c r="L3115" s="19"/>
      <c r="R3115" s="19"/>
    </row>
    <row r="3116" spans="7:18" x14ac:dyDescent="0.25">
      <c r="G3116" s="19"/>
      <c r="J3116" s="19"/>
      <c r="K3116" s="19"/>
      <c r="L3116" s="19"/>
      <c r="R3116" s="19"/>
    </row>
    <row r="3117" spans="7:18" x14ac:dyDescent="0.25">
      <c r="G3117" s="19"/>
      <c r="J3117" s="19"/>
      <c r="K3117" s="19"/>
      <c r="L3117" s="19"/>
      <c r="R3117" s="19"/>
    </row>
    <row r="3118" spans="7:18" x14ac:dyDescent="0.25">
      <c r="G3118" s="19"/>
      <c r="J3118" s="19"/>
      <c r="K3118" s="19"/>
      <c r="L3118" s="19"/>
      <c r="R3118" s="19"/>
    </row>
    <row r="3119" spans="7:18" x14ac:dyDescent="0.25">
      <c r="G3119" s="19"/>
      <c r="J3119" s="19"/>
      <c r="K3119" s="19"/>
      <c r="L3119" s="19"/>
      <c r="R3119" s="19"/>
    </row>
    <row r="3120" spans="7:18" x14ac:dyDescent="0.25">
      <c r="G3120" s="19"/>
      <c r="J3120" s="19"/>
      <c r="K3120" s="19"/>
      <c r="L3120" s="19"/>
      <c r="R3120" s="19"/>
    </row>
    <row r="3121" spans="7:18" x14ac:dyDescent="0.25">
      <c r="G3121" s="19"/>
      <c r="J3121" s="19"/>
      <c r="K3121" s="19"/>
      <c r="L3121" s="19"/>
      <c r="R3121" s="19"/>
    </row>
    <row r="3122" spans="7:18" x14ac:dyDescent="0.25">
      <c r="G3122" s="19"/>
      <c r="J3122" s="19"/>
      <c r="K3122" s="19"/>
      <c r="L3122" s="19"/>
      <c r="R3122" s="19"/>
    </row>
    <row r="3123" spans="7:18" x14ac:dyDescent="0.25">
      <c r="G3123" s="19"/>
      <c r="J3123" s="19"/>
      <c r="K3123" s="19"/>
      <c r="L3123" s="19"/>
      <c r="R3123" s="19"/>
    </row>
    <row r="3124" spans="7:18" x14ac:dyDescent="0.25">
      <c r="G3124" s="19"/>
      <c r="J3124" s="19"/>
      <c r="K3124" s="19"/>
      <c r="L3124" s="19"/>
      <c r="R3124" s="19"/>
    </row>
    <row r="3125" spans="7:18" x14ac:dyDescent="0.25">
      <c r="G3125" s="19"/>
      <c r="J3125" s="19"/>
      <c r="K3125" s="19"/>
      <c r="L3125" s="19"/>
      <c r="R3125" s="19"/>
    </row>
    <row r="3126" spans="7:18" x14ac:dyDescent="0.25">
      <c r="G3126" s="19"/>
      <c r="J3126" s="19"/>
      <c r="K3126" s="19"/>
      <c r="L3126" s="19"/>
      <c r="R3126" s="19"/>
    </row>
    <row r="3127" spans="7:18" x14ac:dyDescent="0.25">
      <c r="G3127" s="19"/>
      <c r="J3127" s="19"/>
      <c r="K3127" s="19"/>
      <c r="L3127" s="19"/>
      <c r="R3127" s="19"/>
    </row>
    <row r="3128" spans="7:18" x14ac:dyDescent="0.25">
      <c r="G3128" s="19"/>
      <c r="J3128" s="19"/>
      <c r="K3128" s="19"/>
      <c r="L3128" s="19"/>
      <c r="R3128" s="19"/>
    </row>
    <row r="3129" spans="7:18" x14ac:dyDescent="0.25">
      <c r="G3129" s="19"/>
      <c r="J3129" s="19"/>
      <c r="K3129" s="19"/>
      <c r="L3129" s="19"/>
      <c r="R3129" s="19"/>
    </row>
    <row r="3130" spans="7:18" x14ac:dyDescent="0.25">
      <c r="G3130" s="19"/>
      <c r="J3130" s="19"/>
      <c r="K3130" s="19"/>
      <c r="L3130" s="19"/>
      <c r="R3130" s="19"/>
    </row>
    <row r="3131" spans="7:18" x14ac:dyDescent="0.25">
      <c r="G3131" s="19"/>
      <c r="J3131" s="19"/>
      <c r="K3131" s="19"/>
      <c r="L3131" s="19"/>
      <c r="R3131" s="19"/>
    </row>
    <row r="3132" spans="7:18" x14ac:dyDescent="0.25">
      <c r="G3132" s="19"/>
      <c r="J3132" s="19"/>
      <c r="K3132" s="19"/>
      <c r="L3132" s="19"/>
      <c r="R3132" s="19"/>
    </row>
    <row r="3133" spans="7:18" x14ac:dyDescent="0.25">
      <c r="G3133" s="19"/>
      <c r="J3133" s="19"/>
      <c r="K3133" s="19"/>
      <c r="L3133" s="19"/>
      <c r="R3133" s="19"/>
    </row>
    <row r="3134" spans="7:18" x14ac:dyDescent="0.25">
      <c r="G3134" s="19"/>
      <c r="J3134" s="19"/>
      <c r="K3134" s="19"/>
      <c r="L3134" s="19"/>
      <c r="R3134" s="19"/>
    </row>
    <row r="3135" spans="7:18" x14ac:dyDescent="0.25">
      <c r="G3135" s="19"/>
      <c r="J3135" s="19"/>
      <c r="K3135" s="19"/>
      <c r="L3135" s="19"/>
      <c r="R3135" s="19"/>
    </row>
    <row r="3136" spans="7:18" x14ac:dyDescent="0.25">
      <c r="G3136" s="19"/>
      <c r="J3136" s="19"/>
      <c r="K3136" s="19"/>
      <c r="L3136" s="19"/>
      <c r="R3136" s="19"/>
    </row>
    <row r="3137" spans="7:18" x14ac:dyDescent="0.25">
      <c r="G3137" s="19"/>
      <c r="J3137" s="19"/>
      <c r="K3137" s="19"/>
      <c r="L3137" s="19"/>
      <c r="R3137" s="19"/>
    </row>
    <row r="3138" spans="7:18" x14ac:dyDescent="0.25">
      <c r="G3138" s="19"/>
      <c r="J3138" s="19"/>
      <c r="K3138" s="19"/>
      <c r="L3138" s="19"/>
      <c r="R3138" s="19"/>
    </row>
    <row r="3139" spans="7:18" x14ac:dyDescent="0.25">
      <c r="G3139" s="19"/>
      <c r="J3139" s="19"/>
      <c r="K3139" s="19"/>
      <c r="L3139" s="19"/>
      <c r="R3139" s="19"/>
    </row>
    <row r="3140" spans="7:18" x14ac:dyDescent="0.25">
      <c r="G3140" s="19"/>
      <c r="J3140" s="19"/>
      <c r="K3140" s="19"/>
      <c r="L3140" s="19"/>
      <c r="R3140" s="19"/>
    </row>
    <row r="3141" spans="7:18" x14ac:dyDescent="0.25">
      <c r="G3141" s="19"/>
      <c r="J3141" s="19"/>
      <c r="K3141" s="19"/>
      <c r="L3141" s="19"/>
      <c r="R3141" s="19"/>
    </row>
    <row r="3142" spans="7:18" x14ac:dyDescent="0.25">
      <c r="G3142" s="19"/>
      <c r="J3142" s="19"/>
      <c r="K3142" s="19"/>
      <c r="L3142" s="19"/>
      <c r="R3142" s="19"/>
    </row>
    <row r="3143" spans="7:18" x14ac:dyDescent="0.25">
      <c r="G3143" s="19"/>
      <c r="J3143" s="19"/>
      <c r="K3143" s="19"/>
      <c r="L3143" s="19"/>
      <c r="R3143" s="19"/>
    </row>
    <row r="3144" spans="7:18" x14ac:dyDescent="0.25">
      <c r="G3144" s="19"/>
      <c r="J3144" s="19"/>
      <c r="K3144" s="19"/>
      <c r="L3144" s="19"/>
      <c r="R3144" s="19"/>
    </row>
    <row r="3145" spans="7:18" x14ac:dyDescent="0.25">
      <c r="G3145" s="19"/>
      <c r="J3145" s="19"/>
      <c r="K3145" s="19"/>
      <c r="L3145" s="19"/>
      <c r="R3145" s="19"/>
    </row>
    <row r="3146" spans="7:18" x14ac:dyDescent="0.25">
      <c r="G3146" s="19"/>
      <c r="J3146" s="19"/>
      <c r="K3146" s="19"/>
      <c r="L3146" s="19"/>
      <c r="R3146" s="19"/>
    </row>
    <row r="3147" spans="7:18" x14ac:dyDescent="0.25">
      <c r="G3147" s="19"/>
      <c r="J3147" s="19"/>
      <c r="K3147" s="19"/>
      <c r="L3147" s="19"/>
      <c r="R3147" s="19"/>
    </row>
    <row r="3148" spans="7:18" x14ac:dyDescent="0.25">
      <c r="G3148" s="19"/>
      <c r="J3148" s="19"/>
      <c r="K3148" s="19"/>
      <c r="L3148" s="19"/>
      <c r="R3148" s="19"/>
    </row>
    <row r="3149" spans="7:18" x14ac:dyDescent="0.25">
      <c r="G3149" s="19"/>
      <c r="J3149" s="19"/>
      <c r="K3149" s="19"/>
      <c r="L3149" s="19"/>
      <c r="R3149" s="19"/>
    </row>
    <row r="3150" spans="7:18" x14ac:dyDescent="0.25">
      <c r="G3150" s="19"/>
      <c r="J3150" s="19"/>
      <c r="K3150" s="19"/>
      <c r="L3150" s="19"/>
      <c r="R3150" s="19"/>
    </row>
    <row r="3151" spans="7:18" x14ac:dyDescent="0.25">
      <c r="G3151" s="19"/>
      <c r="J3151" s="19"/>
      <c r="K3151" s="19"/>
      <c r="L3151" s="19"/>
      <c r="R3151" s="19"/>
    </row>
    <row r="3152" spans="7:18" x14ac:dyDescent="0.25">
      <c r="G3152" s="19"/>
      <c r="J3152" s="19"/>
      <c r="K3152" s="19"/>
      <c r="L3152" s="19"/>
      <c r="R3152" s="19"/>
    </row>
    <row r="3153" spans="7:18" x14ac:dyDescent="0.25">
      <c r="G3153" s="19"/>
      <c r="J3153" s="19"/>
      <c r="K3153" s="19"/>
      <c r="L3153" s="19"/>
      <c r="R3153" s="19"/>
    </row>
    <row r="3154" spans="7:18" x14ac:dyDescent="0.25">
      <c r="G3154" s="19"/>
      <c r="J3154" s="19"/>
      <c r="K3154" s="19"/>
      <c r="L3154" s="19"/>
      <c r="R3154" s="19"/>
    </row>
    <row r="3155" spans="7:18" x14ac:dyDescent="0.25">
      <c r="G3155" s="19"/>
      <c r="J3155" s="19"/>
      <c r="K3155" s="19"/>
      <c r="L3155" s="19"/>
      <c r="R3155" s="19"/>
    </row>
    <row r="3156" spans="7:18" x14ac:dyDescent="0.25">
      <c r="G3156" s="19"/>
      <c r="J3156" s="19"/>
      <c r="K3156" s="19"/>
      <c r="L3156" s="19"/>
      <c r="R3156" s="19"/>
    </row>
    <row r="3157" spans="7:18" x14ac:dyDescent="0.25">
      <c r="G3157" s="19"/>
      <c r="J3157" s="19"/>
      <c r="K3157" s="19"/>
      <c r="L3157" s="19"/>
      <c r="R3157" s="19"/>
    </row>
    <row r="3158" spans="7:18" x14ac:dyDescent="0.25">
      <c r="G3158" s="19"/>
      <c r="J3158" s="19"/>
      <c r="K3158" s="19"/>
      <c r="L3158" s="19"/>
      <c r="R3158" s="19"/>
    </row>
    <row r="3159" spans="7:18" x14ac:dyDescent="0.25">
      <c r="G3159" s="19"/>
      <c r="J3159" s="19"/>
      <c r="K3159" s="19"/>
      <c r="L3159" s="19"/>
      <c r="R3159" s="19"/>
    </row>
    <row r="3160" spans="7:18" x14ac:dyDescent="0.25">
      <c r="G3160" s="19"/>
      <c r="J3160" s="19"/>
      <c r="K3160" s="19"/>
      <c r="L3160" s="19"/>
      <c r="R3160" s="19"/>
    </row>
    <row r="3161" spans="7:18" x14ac:dyDescent="0.25">
      <c r="G3161" s="19"/>
      <c r="J3161" s="19"/>
      <c r="K3161" s="19"/>
      <c r="L3161" s="19"/>
      <c r="R3161" s="19"/>
    </row>
    <row r="3162" spans="7:18" x14ac:dyDescent="0.25">
      <c r="G3162" s="19"/>
      <c r="J3162" s="19"/>
      <c r="K3162" s="19"/>
      <c r="L3162" s="19"/>
      <c r="R3162" s="19"/>
    </row>
    <row r="3163" spans="7:18" x14ac:dyDescent="0.25">
      <c r="G3163" s="19"/>
      <c r="J3163" s="19"/>
      <c r="K3163" s="19"/>
      <c r="L3163" s="19"/>
      <c r="R3163" s="19"/>
    </row>
    <row r="3164" spans="7:18" x14ac:dyDescent="0.25">
      <c r="G3164" s="19"/>
      <c r="J3164" s="19"/>
      <c r="K3164" s="19"/>
      <c r="L3164" s="19"/>
      <c r="R3164" s="19"/>
    </row>
    <row r="3165" spans="7:18" x14ac:dyDescent="0.25">
      <c r="G3165" s="19"/>
      <c r="J3165" s="19"/>
      <c r="K3165" s="19"/>
      <c r="L3165" s="19"/>
      <c r="R3165" s="19"/>
    </row>
    <row r="3166" spans="7:18" x14ac:dyDescent="0.25">
      <c r="G3166" s="19"/>
      <c r="J3166" s="19"/>
      <c r="K3166" s="19"/>
      <c r="L3166" s="19"/>
      <c r="R3166" s="19"/>
    </row>
    <row r="3167" spans="7:18" x14ac:dyDescent="0.25">
      <c r="G3167" s="19"/>
      <c r="J3167" s="19"/>
      <c r="K3167" s="19"/>
      <c r="L3167" s="19"/>
      <c r="R3167" s="19"/>
    </row>
    <row r="3168" spans="7:18" x14ac:dyDescent="0.25">
      <c r="G3168" s="19"/>
      <c r="J3168" s="19"/>
      <c r="K3168" s="19"/>
      <c r="L3168" s="19"/>
      <c r="R3168" s="19"/>
    </row>
    <row r="3169" spans="7:18" x14ac:dyDescent="0.25">
      <c r="G3169" s="19"/>
      <c r="J3169" s="19"/>
      <c r="K3169" s="19"/>
      <c r="L3169" s="19"/>
      <c r="R3169" s="19"/>
    </row>
    <row r="3170" spans="7:18" x14ac:dyDescent="0.25">
      <c r="G3170" s="19"/>
      <c r="J3170" s="19"/>
      <c r="K3170" s="19"/>
      <c r="L3170" s="19"/>
      <c r="R3170" s="19"/>
    </row>
    <row r="3171" spans="7:18" x14ac:dyDescent="0.25">
      <c r="G3171" s="19"/>
      <c r="J3171" s="19"/>
      <c r="K3171" s="19"/>
      <c r="L3171" s="19"/>
      <c r="R3171" s="19"/>
    </row>
    <row r="3172" spans="7:18" x14ac:dyDescent="0.25">
      <c r="G3172" s="19"/>
      <c r="J3172" s="19"/>
      <c r="K3172" s="19"/>
      <c r="L3172" s="19"/>
      <c r="R3172" s="19"/>
    </row>
    <row r="3173" spans="7:18" x14ac:dyDescent="0.25">
      <c r="G3173" s="19"/>
      <c r="J3173" s="19"/>
      <c r="K3173" s="19"/>
      <c r="L3173" s="19"/>
      <c r="R3173" s="19"/>
    </row>
    <row r="3174" spans="7:18" x14ac:dyDescent="0.25">
      <c r="G3174" s="19"/>
      <c r="J3174" s="19"/>
      <c r="K3174" s="19"/>
      <c r="L3174" s="19"/>
      <c r="R3174" s="19"/>
    </row>
    <row r="3175" spans="7:18" x14ac:dyDescent="0.25">
      <c r="G3175" s="19"/>
      <c r="J3175" s="19"/>
      <c r="K3175" s="19"/>
      <c r="L3175" s="19"/>
      <c r="R3175" s="19"/>
    </row>
    <row r="3176" spans="7:18" x14ac:dyDescent="0.25">
      <c r="G3176" s="19"/>
      <c r="J3176" s="19"/>
      <c r="K3176" s="19"/>
      <c r="L3176" s="19"/>
      <c r="R3176" s="19"/>
    </row>
    <row r="3177" spans="7:18" x14ac:dyDescent="0.25">
      <c r="G3177" s="19"/>
      <c r="J3177" s="19"/>
      <c r="K3177" s="19"/>
      <c r="L3177" s="19"/>
      <c r="R3177" s="19"/>
    </row>
    <row r="3178" spans="7:18" x14ac:dyDescent="0.25">
      <c r="G3178" s="19"/>
      <c r="J3178" s="19"/>
      <c r="K3178" s="19"/>
      <c r="L3178" s="19"/>
      <c r="R3178" s="19"/>
    </row>
    <row r="3179" spans="7:18" x14ac:dyDescent="0.25">
      <c r="G3179" s="19"/>
      <c r="J3179" s="19"/>
      <c r="K3179" s="19"/>
      <c r="L3179" s="19"/>
      <c r="R3179" s="19"/>
    </row>
    <row r="3180" spans="7:18" x14ac:dyDescent="0.25">
      <c r="G3180" s="19"/>
      <c r="J3180" s="19"/>
      <c r="K3180" s="19"/>
      <c r="L3180" s="19"/>
      <c r="R3180" s="19"/>
    </row>
    <row r="3181" spans="7:18" x14ac:dyDescent="0.25">
      <c r="G3181" s="19"/>
      <c r="J3181" s="19"/>
      <c r="K3181" s="19"/>
      <c r="L3181" s="19"/>
      <c r="R3181" s="19"/>
    </row>
    <row r="3182" spans="7:18" x14ac:dyDescent="0.25">
      <c r="G3182" s="19"/>
      <c r="J3182" s="19"/>
      <c r="K3182" s="19"/>
      <c r="L3182" s="19"/>
      <c r="R3182" s="19"/>
    </row>
    <row r="3183" spans="7:18" x14ac:dyDescent="0.25">
      <c r="G3183" s="19"/>
      <c r="J3183" s="19"/>
      <c r="K3183" s="19"/>
      <c r="L3183" s="19"/>
      <c r="R3183" s="19"/>
    </row>
    <row r="3184" spans="7:18" x14ac:dyDescent="0.25">
      <c r="G3184" s="19"/>
      <c r="J3184" s="19"/>
      <c r="K3184" s="19"/>
      <c r="L3184" s="19"/>
      <c r="R3184" s="19"/>
    </row>
    <row r="3185" spans="7:18" x14ac:dyDescent="0.25">
      <c r="G3185" s="19"/>
      <c r="J3185" s="19"/>
      <c r="K3185" s="19"/>
      <c r="L3185" s="19"/>
      <c r="R3185" s="19"/>
    </row>
    <row r="3186" spans="7:18" x14ac:dyDescent="0.25">
      <c r="G3186" s="19"/>
      <c r="J3186" s="19"/>
      <c r="K3186" s="19"/>
      <c r="L3186" s="19"/>
      <c r="R3186" s="19"/>
    </row>
    <row r="3187" spans="7:18" x14ac:dyDescent="0.25">
      <c r="G3187" s="19"/>
      <c r="J3187" s="19"/>
      <c r="K3187" s="19"/>
      <c r="L3187" s="19"/>
      <c r="R3187" s="19"/>
    </row>
    <row r="3188" spans="7:18" x14ac:dyDescent="0.25">
      <c r="G3188" s="19"/>
      <c r="J3188" s="19"/>
      <c r="K3188" s="19"/>
      <c r="L3188" s="19"/>
      <c r="R3188" s="19"/>
    </row>
    <row r="3189" spans="7:18" x14ac:dyDescent="0.25">
      <c r="G3189" s="19"/>
      <c r="J3189" s="19"/>
      <c r="K3189" s="19"/>
      <c r="L3189" s="19"/>
      <c r="R3189" s="19"/>
    </row>
    <row r="3190" spans="7:18" x14ac:dyDescent="0.25">
      <c r="G3190" s="19"/>
      <c r="J3190" s="19"/>
      <c r="K3190" s="19"/>
      <c r="L3190" s="19"/>
      <c r="R3190" s="19"/>
    </row>
    <row r="3191" spans="7:18" x14ac:dyDescent="0.25">
      <c r="G3191" s="19"/>
      <c r="J3191" s="19"/>
      <c r="K3191" s="19"/>
      <c r="L3191" s="19"/>
      <c r="R3191" s="19"/>
    </row>
    <row r="3192" spans="7:18" x14ac:dyDescent="0.25">
      <c r="G3192" s="19"/>
      <c r="J3192" s="19"/>
      <c r="K3192" s="19"/>
      <c r="L3192" s="19"/>
      <c r="R3192" s="19"/>
    </row>
    <row r="3193" spans="7:18" x14ac:dyDescent="0.25">
      <c r="G3193" s="19"/>
      <c r="J3193" s="19"/>
      <c r="K3193" s="19"/>
      <c r="L3193" s="19"/>
      <c r="R3193" s="19"/>
    </row>
    <row r="3194" spans="7:18" x14ac:dyDescent="0.25">
      <c r="G3194" s="19"/>
      <c r="J3194" s="19"/>
      <c r="K3194" s="19"/>
      <c r="L3194" s="19"/>
      <c r="R3194" s="19"/>
    </row>
    <row r="3195" spans="7:18" x14ac:dyDescent="0.25">
      <c r="G3195" s="19"/>
      <c r="J3195" s="19"/>
      <c r="K3195" s="19"/>
      <c r="L3195" s="19"/>
      <c r="R3195" s="19"/>
    </row>
    <row r="3196" spans="7:18" x14ac:dyDescent="0.25">
      <c r="G3196" s="19"/>
      <c r="J3196" s="19"/>
      <c r="K3196" s="19"/>
      <c r="L3196" s="19"/>
      <c r="R3196" s="19"/>
    </row>
    <row r="3197" spans="7:18" x14ac:dyDescent="0.25">
      <c r="G3197" s="19"/>
      <c r="J3197" s="19"/>
      <c r="K3197" s="19"/>
      <c r="L3197" s="19"/>
      <c r="R3197" s="19"/>
    </row>
    <row r="3198" spans="7:18" x14ac:dyDescent="0.25">
      <c r="G3198" s="19"/>
      <c r="J3198" s="19"/>
      <c r="K3198" s="19"/>
      <c r="L3198" s="19"/>
      <c r="R3198" s="19"/>
    </row>
    <row r="3199" spans="7:18" x14ac:dyDescent="0.25">
      <c r="G3199" s="19"/>
      <c r="J3199" s="19"/>
      <c r="K3199" s="19"/>
      <c r="L3199" s="19"/>
      <c r="R3199" s="19"/>
    </row>
    <row r="3200" spans="7:18" x14ac:dyDescent="0.25">
      <c r="G3200" s="19"/>
      <c r="J3200" s="19"/>
      <c r="K3200" s="19"/>
      <c r="L3200" s="19"/>
      <c r="R3200" s="19"/>
    </row>
    <row r="3201" spans="7:18" x14ac:dyDescent="0.25">
      <c r="G3201" s="19"/>
      <c r="J3201" s="19"/>
      <c r="K3201" s="19"/>
      <c r="L3201" s="19"/>
      <c r="R3201" s="19"/>
    </row>
    <row r="3202" spans="7:18" x14ac:dyDescent="0.25">
      <c r="G3202" s="19"/>
      <c r="J3202" s="19"/>
      <c r="K3202" s="19"/>
      <c r="L3202" s="19"/>
      <c r="R3202" s="19"/>
    </row>
    <row r="3203" spans="7:18" x14ac:dyDescent="0.25">
      <c r="G3203" s="19"/>
      <c r="J3203" s="19"/>
      <c r="K3203" s="19"/>
      <c r="L3203" s="19"/>
      <c r="R3203" s="19"/>
    </row>
    <row r="3204" spans="7:18" x14ac:dyDescent="0.25">
      <c r="G3204" s="19"/>
      <c r="J3204" s="19"/>
      <c r="K3204" s="19"/>
      <c r="L3204" s="19"/>
      <c r="R3204" s="19"/>
    </row>
    <row r="3205" spans="7:18" x14ac:dyDescent="0.25">
      <c r="G3205" s="19"/>
      <c r="J3205" s="19"/>
      <c r="K3205" s="19"/>
      <c r="L3205" s="19"/>
      <c r="R3205" s="19"/>
    </row>
    <row r="3206" spans="7:18" x14ac:dyDescent="0.25">
      <c r="G3206" s="19"/>
      <c r="J3206" s="19"/>
      <c r="K3206" s="19"/>
      <c r="L3206" s="19"/>
      <c r="R3206" s="19"/>
    </row>
    <row r="3207" spans="7:18" x14ac:dyDescent="0.25">
      <c r="G3207" s="19"/>
      <c r="J3207" s="19"/>
      <c r="K3207" s="19"/>
      <c r="L3207" s="19"/>
      <c r="R3207" s="19"/>
    </row>
    <row r="3208" spans="7:18" x14ac:dyDescent="0.25">
      <c r="G3208" s="19"/>
      <c r="J3208" s="19"/>
      <c r="K3208" s="19"/>
      <c r="L3208" s="19"/>
      <c r="R3208" s="19"/>
    </row>
    <row r="3209" spans="7:18" x14ac:dyDescent="0.25">
      <c r="G3209" s="19"/>
      <c r="J3209" s="19"/>
      <c r="K3209" s="19"/>
      <c r="L3209" s="19"/>
      <c r="R3209" s="19"/>
    </row>
    <row r="3210" spans="7:18" x14ac:dyDescent="0.25">
      <c r="G3210" s="19"/>
      <c r="J3210" s="19"/>
      <c r="K3210" s="19"/>
      <c r="L3210" s="19"/>
      <c r="R3210" s="19"/>
    </row>
    <row r="3211" spans="7:18" x14ac:dyDescent="0.25">
      <c r="G3211" s="19"/>
      <c r="J3211" s="19"/>
      <c r="K3211" s="19"/>
      <c r="L3211" s="19"/>
      <c r="R3211" s="19"/>
    </row>
    <row r="3212" spans="7:18" x14ac:dyDescent="0.25">
      <c r="G3212" s="19"/>
      <c r="J3212" s="19"/>
      <c r="K3212" s="19"/>
      <c r="L3212" s="19"/>
      <c r="R3212" s="19"/>
    </row>
    <row r="3213" spans="7:18" x14ac:dyDescent="0.25">
      <c r="G3213" s="19"/>
      <c r="J3213" s="19"/>
      <c r="K3213" s="19"/>
      <c r="L3213" s="19"/>
      <c r="R3213" s="19"/>
    </row>
    <row r="3214" spans="7:18" x14ac:dyDescent="0.25">
      <c r="G3214" s="19"/>
      <c r="J3214" s="19"/>
      <c r="K3214" s="19"/>
      <c r="L3214" s="19"/>
      <c r="R3214" s="19"/>
    </row>
    <row r="3215" spans="7:18" x14ac:dyDescent="0.25">
      <c r="G3215" s="19"/>
      <c r="J3215" s="19"/>
      <c r="K3215" s="19"/>
      <c r="L3215" s="19"/>
      <c r="R3215" s="19"/>
    </row>
    <row r="3216" spans="7:18" x14ac:dyDescent="0.25">
      <c r="G3216" s="19"/>
      <c r="J3216" s="19"/>
      <c r="K3216" s="19"/>
      <c r="L3216" s="19"/>
      <c r="R3216" s="19"/>
    </row>
    <row r="3217" spans="7:18" x14ac:dyDescent="0.25">
      <c r="G3217" s="19"/>
      <c r="J3217" s="19"/>
      <c r="K3217" s="19"/>
      <c r="L3217" s="19"/>
      <c r="R3217" s="19"/>
    </row>
    <row r="3218" spans="7:18" x14ac:dyDescent="0.25">
      <c r="G3218" s="19"/>
      <c r="J3218" s="19"/>
      <c r="K3218" s="19"/>
      <c r="L3218" s="19"/>
      <c r="R3218" s="19"/>
    </row>
    <row r="3219" spans="7:18" x14ac:dyDescent="0.25">
      <c r="G3219" s="19"/>
      <c r="J3219" s="19"/>
      <c r="K3219" s="19"/>
      <c r="L3219" s="19"/>
      <c r="R3219" s="19"/>
    </row>
    <row r="3220" spans="7:18" x14ac:dyDescent="0.25">
      <c r="G3220" s="19"/>
      <c r="J3220" s="19"/>
      <c r="K3220" s="19"/>
      <c r="L3220" s="19"/>
      <c r="R3220" s="19"/>
    </row>
    <row r="3221" spans="7:18" x14ac:dyDescent="0.25">
      <c r="G3221" s="19"/>
      <c r="J3221" s="19"/>
      <c r="K3221" s="19"/>
      <c r="L3221" s="19"/>
      <c r="R3221" s="19"/>
    </row>
    <row r="3222" spans="7:18" x14ac:dyDescent="0.25">
      <c r="G3222" s="19"/>
      <c r="J3222" s="19"/>
      <c r="K3222" s="19"/>
      <c r="L3222" s="19"/>
      <c r="R3222" s="19"/>
    </row>
    <row r="3223" spans="7:18" x14ac:dyDescent="0.25">
      <c r="G3223" s="19"/>
      <c r="J3223" s="19"/>
      <c r="K3223" s="19"/>
      <c r="L3223" s="19"/>
      <c r="R3223" s="19"/>
    </row>
    <row r="3224" spans="7:18" x14ac:dyDescent="0.25">
      <c r="G3224" s="19"/>
      <c r="J3224" s="19"/>
      <c r="K3224" s="19"/>
      <c r="L3224" s="19"/>
      <c r="R3224" s="19"/>
    </row>
    <row r="3225" spans="7:18" x14ac:dyDescent="0.25">
      <c r="G3225" s="19"/>
      <c r="J3225" s="19"/>
      <c r="K3225" s="19"/>
      <c r="L3225" s="19"/>
      <c r="R3225" s="19"/>
    </row>
    <row r="3226" spans="7:18" x14ac:dyDescent="0.25">
      <c r="G3226" s="19"/>
      <c r="J3226" s="19"/>
      <c r="K3226" s="19"/>
      <c r="L3226" s="19"/>
      <c r="R3226" s="19"/>
    </row>
    <row r="3227" spans="7:18" x14ac:dyDescent="0.25">
      <c r="G3227" s="19"/>
      <c r="J3227" s="19"/>
      <c r="K3227" s="19"/>
      <c r="L3227" s="19"/>
      <c r="R3227" s="19"/>
    </row>
    <row r="3228" spans="7:18" x14ac:dyDescent="0.25">
      <c r="G3228" s="19"/>
      <c r="J3228" s="19"/>
      <c r="K3228" s="19"/>
      <c r="L3228" s="19"/>
      <c r="R3228" s="19"/>
    </row>
    <row r="3229" spans="7:18" x14ac:dyDescent="0.25">
      <c r="G3229" s="19"/>
      <c r="J3229" s="19"/>
      <c r="K3229" s="19"/>
      <c r="L3229" s="19"/>
      <c r="R3229" s="19"/>
    </row>
    <row r="3230" spans="7:18" x14ac:dyDescent="0.25">
      <c r="G3230" s="19"/>
      <c r="J3230" s="19"/>
      <c r="K3230" s="19"/>
      <c r="L3230" s="19"/>
      <c r="R3230" s="19"/>
    </row>
    <row r="3231" spans="7:18" x14ac:dyDescent="0.25">
      <c r="G3231" s="19"/>
      <c r="J3231" s="19"/>
      <c r="K3231" s="19"/>
      <c r="L3231" s="19"/>
      <c r="R3231" s="19"/>
    </row>
    <row r="3232" spans="7:18" x14ac:dyDescent="0.25">
      <c r="G3232" s="19"/>
      <c r="J3232" s="19"/>
      <c r="K3232" s="19"/>
      <c r="L3232" s="19"/>
      <c r="R3232" s="19"/>
    </row>
    <row r="3233" spans="7:18" x14ac:dyDescent="0.25">
      <c r="G3233" s="19"/>
      <c r="J3233" s="19"/>
      <c r="K3233" s="19"/>
      <c r="L3233" s="19"/>
      <c r="R3233" s="19"/>
    </row>
    <row r="3234" spans="7:18" x14ac:dyDescent="0.25">
      <c r="G3234" s="19"/>
      <c r="J3234" s="19"/>
      <c r="K3234" s="19"/>
      <c r="L3234" s="19"/>
      <c r="R3234" s="19"/>
    </row>
    <row r="3235" spans="7:18" x14ac:dyDescent="0.25">
      <c r="G3235" s="19"/>
      <c r="J3235" s="19"/>
      <c r="K3235" s="19"/>
      <c r="L3235" s="19"/>
      <c r="R3235" s="19"/>
    </row>
    <row r="3236" spans="7:18" x14ac:dyDescent="0.25">
      <c r="G3236" s="19"/>
      <c r="J3236" s="19"/>
      <c r="K3236" s="19"/>
      <c r="L3236" s="19"/>
      <c r="R3236" s="19"/>
    </row>
    <row r="3237" spans="7:18" x14ac:dyDescent="0.25">
      <c r="G3237" s="19"/>
      <c r="J3237" s="19"/>
      <c r="K3237" s="19"/>
      <c r="L3237" s="19"/>
      <c r="R3237" s="19"/>
    </row>
    <row r="3238" spans="7:18" x14ac:dyDescent="0.25">
      <c r="G3238" s="19"/>
      <c r="J3238" s="19"/>
      <c r="K3238" s="19"/>
      <c r="L3238" s="19"/>
      <c r="R3238" s="19"/>
    </row>
    <row r="3239" spans="7:18" x14ac:dyDescent="0.25">
      <c r="G3239" s="19"/>
      <c r="J3239" s="19"/>
      <c r="K3239" s="19"/>
      <c r="L3239" s="19"/>
      <c r="R3239" s="19"/>
    </row>
    <row r="3240" spans="7:18" x14ac:dyDescent="0.25">
      <c r="G3240" s="19"/>
      <c r="J3240" s="19"/>
      <c r="K3240" s="19"/>
      <c r="L3240" s="19"/>
      <c r="R3240" s="19"/>
    </row>
    <row r="3241" spans="7:18" x14ac:dyDescent="0.25">
      <c r="G3241" s="19"/>
      <c r="J3241" s="19"/>
      <c r="K3241" s="19"/>
      <c r="L3241" s="19"/>
      <c r="R3241" s="19"/>
    </row>
    <row r="3242" spans="7:18" x14ac:dyDescent="0.25">
      <c r="G3242" s="19"/>
      <c r="J3242" s="19"/>
      <c r="K3242" s="19"/>
      <c r="L3242" s="19"/>
      <c r="R3242" s="19"/>
    </row>
    <row r="3243" spans="7:18" x14ac:dyDescent="0.25">
      <c r="G3243" s="19"/>
      <c r="J3243" s="19"/>
      <c r="K3243" s="19"/>
      <c r="L3243" s="19"/>
      <c r="R3243" s="19"/>
    </row>
    <row r="3244" spans="7:18" x14ac:dyDescent="0.25">
      <c r="G3244" s="19"/>
      <c r="J3244" s="19"/>
      <c r="K3244" s="19"/>
      <c r="L3244" s="19"/>
      <c r="R3244" s="19"/>
    </row>
    <row r="3245" spans="7:18" x14ac:dyDescent="0.25">
      <c r="G3245" s="19"/>
      <c r="J3245" s="19"/>
      <c r="K3245" s="19"/>
      <c r="L3245" s="19"/>
      <c r="R3245" s="19"/>
    </row>
    <row r="3246" spans="7:18" x14ac:dyDescent="0.25">
      <c r="G3246" s="19"/>
      <c r="J3246" s="19"/>
      <c r="K3246" s="19"/>
      <c r="L3246" s="19"/>
      <c r="R3246" s="19"/>
    </row>
    <row r="3247" spans="7:18" x14ac:dyDescent="0.25">
      <c r="G3247" s="19"/>
      <c r="J3247" s="19"/>
      <c r="K3247" s="19"/>
      <c r="L3247" s="19"/>
      <c r="R3247" s="19"/>
    </row>
    <row r="3248" spans="7:18" x14ac:dyDescent="0.25">
      <c r="G3248" s="19"/>
      <c r="J3248" s="19"/>
      <c r="K3248" s="19"/>
      <c r="L3248" s="19"/>
      <c r="R3248" s="19"/>
    </row>
    <row r="3249" spans="7:18" x14ac:dyDescent="0.25">
      <c r="G3249" s="19"/>
      <c r="J3249" s="19"/>
      <c r="K3249" s="19"/>
      <c r="L3249" s="19"/>
      <c r="R3249" s="19"/>
    </row>
    <row r="3250" spans="7:18" x14ac:dyDescent="0.25">
      <c r="G3250" s="19"/>
      <c r="J3250" s="19"/>
      <c r="K3250" s="19"/>
      <c r="L3250" s="19"/>
      <c r="R3250" s="19"/>
    </row>
    <row r="3252" spans="7:18" x14ac:dyDescent="0.25">
      <c r="G3252" s="19"/>
      <c r="J3252" s="19"/>
      <c r="K3252" s="19"/>
      <c r="L3252" s="19"/>
      <c r="R3252" s="19"/>
    </row>
    <row r="3253" spans="7:18" x14ac:dyDescent="0.25">
      <c r="G3253" s="19"/>
      <c r="J3253" s="19"/>
      <c r="K3253" s="19"/>
      <c r="L3253" s="19"/>
      <c r="R3253" s="19"/>
    </row>
    <row r="3254" spans="7:18" x14ac:dyDescent="0.25">
      <c r="G3254" s="19"/>
      <c r="J3254" s="19"/>
      <c r="K3254" s="19"/>
      <c r="L3254" s="19"/>
      <c r="R3254" s="19"/>
    </row>
    <row r="3255" spans="7:18" x14ac:dyDescent="0.25">
      <c r="G3255" s="19"/>
      <c r="J3255" s="19"/>
      <c r="K3255" s="19"/>
      <c r="L3255" s="19"/>
      <c r="R3255" s="19"/>
    </row>
    <row r="3256" spans="7:18" x14ac:dyDescent="0.25">
      <c r="G3256" s="19"/>
      <c r="J3256" s="19"/>
      <c r="K3256" s="19"/>
      <c r="L3256" s="19"/>
      <c r="R3256" s="19"/>
    </row>
    <row r="3257" spans="7:18" x14ac:dyDescent="0.25">
      <c r="G3257" s="19"/>
      <c r="J3257" s="19"/>
      <c r="K3257" s="19"/>
      <c r="L3257" s="19"/>
      <c r="R3257" s="19"/>
    </row>
    <row r="3258" spans="7:18" x14ac:dyDescent="0.25">
      <c r="G3258" s="19"/>
      <c r="J3258" s="19"/>
      <c r="K3258" s="19"/>
      <c r="L3258" s="19"/>
      <c r="R3258" s="19"/>
    </row>
    <row r="3259" spans="7:18" x14ac:dyDescent="0.25">
      <c r="G3259" s="19"/>
      <c r="J3259" s="19"/>
      <c r="K3259" s="19"/>
      <c r="L3259" s="19"/>
      <c r="R3259" s="19"/>
    </row>
    <row r="3260" spans="7:18" x14ac:dyDescent="0.25">
      <c r="G3260" s="19"/>
      <c r="J3260" s="19"/>
      <c r="K3260" s="19"/>
      <c r="L3260" s="19"/>
      <c r="R3260" s="19"/>
    </row>
    <row r="3261" spans="7:18" x14ac:dyDescent="0.25">
      <c r="G3261" s="19"/>
      <c r="J3261" s="19"/>
      <c r="K3261" s="19"/>
      <c r="L3261" s="19"/>
      <c r="R3261" s="19"/>
    </row>
    <row r="3262" spans="7:18" x14ac:dyDescent="0.25">
      <c r="G3262" s="19"/>
      <c r="J3262" s="19"/>
      <c r="K3262" s="19"/>
      <c r="L3262" s="19"/>
      <c r="R3262" s="19"/>
    </row>
    <row r="3263" spans="7:18" x14ac:dyDescent="0.25">
      <c r="G3263" s="19"/>
      <c r="J3263" s="19"/>
      <c r="K3263" s="19"/>
      <c r="L3263" s="19"/>
      <c r="R3263" s="19"/>
    </row>
    <row r="3264" spans="7:18" x14ac:dyDescent="0.25">
      <c r="G3264" s="19"/>
      <c r="J3264" s="19"/>
      <c r="K3264" s="19"/>
      <c r="L3264" s="19"/>
      <c r="R3264" s="19"/>
    </row>
    <row r="3265" spans="7:18" x14ac:dyDescent="0.25">
      <c r="G3265" s="19"/>
      <c r="J3265" s="19"/>
      <c r="K3265" s="19"/>
      <c r="L3265" s="19"/>
      <c r="R3265" s="19"/>
    </row>
    <row r="3266" spans="7:18" x14ac:dyDescent="0.25">
      <c r="G3266" s="19"/>
      <c r="J3266" s="19"/>
      <c r="K3266" s="19"/>
      <c r="L3266" s="19"/>
      <c r="R3266" s="19"/>
    </row>
    <row r="3267" spans="7:18" x14ac:dyDescent="0.25">
      <c r="G3267" s="19"/>
      <c r="J3267" s="19"/>
      <c r="K3267" s="19"/>
      <c r="L3267" s="19"/>
      <c r="R3267" s="19"/>
    </row>
    <row r="3268" spans="7:18" x14ac:dyDescent="0.25">
      <c r="G3268" s="19"/>
      <c r="J3268" s="19"/>
      <c r="K3268" s="19"/>
      <c r="L3268" s="19"/>
      <c r="R3268" s="19"/>
    </row>
    <row r="3269" spans="7:18" x14ac:dyDescent="0.25">
      <c r="G3269" s="19"/>
      <c r="J3269" s="19"/>
      <c r="K3269" s="19"/>
      <c r="L3269" s="19"/>
      <c r="R3269" s="19"/>
    </row>
    <row r="3270" spans="7:18" x14ac:dyDescent="0.25">
      <c r="G3270" s="19"/>
      <c r="J3270" s="19"/>
      <c r="K3270" s="19"/>
      <c r="L3270" s="19"/>
      <c r="R3270" s="19"/>
    </row>
    <row r="3271" spans="7:18" x14ac:dyDescent="0.25">
      <c r="G3271" s="19"/>
      <c r="J3271" s="19"/>
      <c r="K3271" s="19"/>
      <c r="L3271" s="19"/>
      <c r="R3271" s="19"/>
    </row>
    <row r="3272" spans="7:18" x14ac:dyDescent="0.25">
      <c r="G3272" s="19"/>
      <c r="J3272" s="19"/>
      <c r="K3272" s="19"/>
      <c r="L3272" s="19"/>
      <c r="R3272" s="19"/>
    </row>
    <row r="3273" spans="7:18" x14ac:dyDescent="0.25">
      <c r="G3273" s="19"/>
      <c r="J3273" s="19"/>
      <c r="K3273" s="19"/>
      <c r="L3273" s="19"/>
      <c r="R3273" s="19"/>
    </row>
    <row r="3274" spans="7:18" x14ac:dyDescent="0.25">
      <c r="G3274" s="19"/>
      <c r="J3274" s="19"/>
      <c r="K3274" s="19"/>
      <c r="L3274" s="19"/>
      <c r="R3274" s="19"/>
    </row>
    <row r="3275" spans="7:18" x14ac:dyDescent="0.25">
      <c r="G3275" s="19"/>
      <c r="J3275" s="19"/>
      <c r="K3275" s="19"/>
      <c r="L3275" s="19"/>
      <c r="R3275" s="19"/>
    </row>
    <row r="3276" spans="7:18" x14ac:dyDescent="0.25">
      <c r="G3276" s="19"/>
      <c r="J3276" s="19"/>
      <c r="K3276" s="19"/>
      <c r="L3276" s="19"/>
      <c r="R3276" s="19"/>
    </row>
    <row r="3277" spans="7:18" x14ac:dyDescent="0.25">
      <c r="G3277" s="19"/>
      <c r="J3277" s="19"/>
      <c r="K3277" s="19"/>
      <c r="L3277" s="19"/>
      <c r="R3277" s="19"/>
    </row>
    <row r="3278" spans="7:18" x14ac:dyDescent="0.25">
      <c r="G3278" s="19"/>
      <c r="J3278" s="19"/>
      <c r="K3278" s="19"/>
      <c r="L3278" s="19"/>
      <c r="R3278" s="19"/>
    </row>
    <row r="3279" spans="7:18" x14ac:dyDescent="0.25">
      <c r="G3279" s="19"/>
      <c r="J3279" s="19"/>
      <c r="K3279" s="19"/>
      <c r="L3279" s="19"/>
      <c r="R3279" s="19"/>
    </row>
    <row r="3280" spans="7:18" x14ac:dyDescent="0.25">
      <c r="G3280" s="19"/>
      <c r="J3280" s="19"/>
      <c r="K3280" s="19"/>
      <c r="L3280" s="19"/>
      <c r="R3280" s="19"/>
    </row>
    <row r="3281" spans="7:18" x14ac:dyDescent="0.25">
      <c r="G3281" s="19"/>
      <c r="J3281" s="19"/>
      <c r="K3281" s="19"/>
      <c r="L3281" s="19"/>
      <c r="R3281" s="19"/>
    </row>
    <row r="3282" spans="7:18" x14ac:dyDescent="0.25">
      <c r="G3282" s="19"/>
      <c r="J3282" s="19"/>
      <c r="K3282" s="19"/>
      <c r="L3282" s="19"/>
      <c r="R3282" s="19"/>
    </row>
    <row r="3283" spans="7:18" x14ac:dyDescent="0.25">
      <c r="G3283" s="19"/>
      <c r="J3283" s="19"/>
      <c r="K3283" s="19"/>
      <c r="L3283" s="19"/>
      <c r="R3283" s="19"/>
    </row>
    <row r="3284" spans="7:18" x14ac:dyDescent="0.25">
      <c r="G3284" s="19"/>
      <c r="J3284" s="19"/>
      <c r="K3284" s="19"/>
      <c r="L3284" s="19"/>
      <c r="R3284" s="19"/>
    </row>
    <row r="3285" spans="7:18" x14ac:dyDescent="0.25">
      <c r="G3285" s="19"/>
      <c r="J3285" s="19"/>
      <c r="K3285" s="19"/>
      <c r="L3285" s="19"/>
      <c r="R3285" s="19"/>
    </row>
    <row r="3286" spans="7:18" x14ac:dyDescent="0.25">
      <c r="G3286" s="19"/>
      <c r="J3286" s="19"/>
      <c r="K3286" s="19"/>
      <c r="L3286" s="19"/>
      <c r="R3286" s="19"/>
    </row>
    <row r="3287" spans="7:18" x14ac:dyDescent="0.25">
      <c r="G3287" s="19"/>
      <c r="J3287" s="19"/>
      <c r="K3287" s="19"/>
      <c r="L3287" s="19"/>
      <c r="R3287" s="19"/>
    </row>
    <row r="3288" spans="7:18" x14ac:dyDescent="0.25">
      <c r="G3288" s="19"/>
      <c r="J3288" s="19"/>
      <c r="K3288" s="19"/>
      <c r="L3288" s="19"/>
      <c r="R3288" s="19"/>
    </row>
    <row r="3289" spans="7:18" x14ac:dyDescent="0.25">
      <c r="G3289" s="19"/>
      <c r="J3289" s="19"/>
      <c r="K3289" s="19"/>
      <c r="L3289" s="19"/>
      <c r="R3289" s="19"/>
    </row>
    <row r="3290" spans="7:18" x14ac:dyDescent="0.25">
      <c r="G3290" s="19"/>
      <c r="J3290" s="19"/>
      <c r="K3290" s="19"/>
      <c r="L3290" s="19"/>
      <c r="R3290" s="19"/>
    </row>
    <row r="3291" spans="7:18" x14ac:dyDescent="0.25">
      <c r="G3291" s="19"/>
      <c r="J3291" s="19"/>
      <c r="K3291" s="19"/>
      <c r="L3291" s="19"/>
      <c r="R3291" s="19"/>
    </row>
    <row r="3292" spans="7:18" x14ac:dyDescent="0.25">
      <c r="G3292" s="19"/>
      <c r="J3292" s="19"/>
      <c r="K3292" s="19"/>
      <c r="L3292" s="19"/>
      <c r="R3292" s="19"/>
    </row>
    <row r="3293" spans="7:18" x14ac:dyDescent="0.25">
      <c r="G3293" s="19"/>
      <c r="J3293" s="19"/>
      <c r="K3293" s="19"/>
      <c r="L3293" s="19"/>
      <c r="R3293" s="19"/>
    </row>
    <row r="3294" spans="7:18" x14ac:dyDescent="0.25">
      <c r="G3294" s="19"/>
      <c r="J3294" s="19"/>
      <c r="K3294" s="19"/>
      <c r="L3294" s="19"/>
      <c r="R3294" s="19"/>
    </row>
    <row r="3295" spans="7:18" x14ac:dyDescent="0.25">
      <c r="G3295" s="19"/>
      <c r="J3295" s="19"/>
      <c r="K3295" s="19"/>
      <c r="L3295" s="19"/>
      <c r="R3295" s="19"/>
    </row>
    <row r="3296" spans="7:18" x14ac:dyDescent="0.25">
      <c r="G3296" s="19"/>
      <c r="J3296" s="19"/>
      <c r="K3296" s="19"/>
      <c r="L3296" s="19"/>
      <c r="R3296" s="19"/>
    </row>
    <row r="3297" spans="7:18" x14ac:dyDescent="0.25">
      <c r="G3297" s="19"/>
      <c r="J3297" s="19"/>
      <c r="K3297" s="19"/>
      <c r="L3297" s="19"/>
      <c r="R3297" s="19"/>
    </row>
    <row r="3298" spans="7:18" x14ac:dyDescent="0.25">
      <c r="G3298" s="19"/>
      <c r="J3298" s="19"/>
      <c r="K3298" s="19"/>
      <c r="L3298" s="19"/>
      <c r="R3298" s="19"/>
    </row>
    <row r="3299" spans="7:18" x14ac:dyDescent="0.25">
      <c r="G3299" s="19"/>
      <c r="J3299" s="19"/>
      <c r="K3299" s="19"/>
      <c r="L3299" s="19"/>
      <c r="R3299" s="19"/>
    </row>
    <row r="3300" spans="7:18" x14ac:dyDescent="0.25">
      <c r="G3300" s="19"/>
      <c r="J3300" s="19"/>
      <c r="K3300" s="19"/>
      <c r="L3300" s="19"/>
      <c r="R3300" s="19"/>
    </row>
    <row r="3301" spans="7:18" x14ac:dyDescent="0.25">
      <c r="G3301" s="19"/>
      <c r="J3301" s="19"/>
      <c r="K3301" s="19"/>
      <c r="L3301" s="19"/>
      <c r="R3301" s="19"/>
    </row>
    <row r="3302" spans="7:18" x14ac:dyDescent="0.25">
      <c r="G3302" s="19"/>
      <c r="J3302" s="19"/>
      <c r="K3302" s="19"/>
      <c r="L3302" s="19"/>
      <c r="R3302" s="19"/>
    </row>
    <row r="3303" spans="7:18" x14ac:dyDescent="0.25">
      <c r="G3303" s="19"/>
      <c r="J3303" s="19"/>
      <c r="K3303" s="19"/>
      <c r="L3303" s="19"/>
      <c r="R3303" s="19"/>
    </row>
    <row r="3304" spans="7:18" x14ac:dyDescent="0.25">
      <c r="G3304" s="19"/>
      <c r="J3304" s="19"/>
      <c r="K3304" s="19"/>
      <c r="L3304" s="19"/>
      <c r="R3304" s="19"/>
    </row>
    <row r="3305" spans="7:18" x14ac:dyDescent="0.25">
      <c r="G3305" s="19"/>
      <c r="J3305" s="19"/>
      <c r="K3305" s="19"/>
      <c r="L3305" s="19"/>
      <c r="R3305" s="19"/>
    </row>
    <row r="3306" spans="7:18" x14ac:dyDescent="0.25">
      <c r="G3306" s="19"/>
      <c r="J3306" s="19"/>
      <c r="K3306" s="19"/>
      <c r="L3306" s="19"/>
      <c r="R3306" s="19"/>
    </row>
    <row r="3307" spans="7:18" x14ac:dyDescent="0.25">
      <c r="G3307" s="19"/>
      <c r="J3307" s="19"/>
      <c r="K3307" s="19"/>
      <c r="L3307" s="19"/>
      <c r="R3307" s="19"/>
    </row>
    <row r="3308" spans="7:18" x14ac:dyDescent="0.25">
      <c r="G3308" s="19"/>
      <c r="J3308" s="19"/>
      <c r="K3308" s="19"/>
      <c r="L3308" s="19"/>
      <c r="R3308" s="19"/>
    </row>
    <row r="3309" spans="7:18" x14ac:dyDescent="0.25">
      <c r="G3309" s="19"/>
      <c r="J3309" s="19"/>
      <c r="K3309" s="19"/>
      <c r="L3309" s="19"/>
      <c r="R3309" s="19"/>
    </row>
    <row r="3310" spans="7:18" x14ac:dyDescent="0.25">
      <c r="G3310" s="19"/>
      <c r="J3310" s="19"/>
      <c r="K3310" s="19"/>
      <c r="L3310" s="19"/>
      <c r="R3310" s="19"/>
    </row>
    <row r="3311" spans="7:18" x14ac:dyDescent="0.25">
      <c r="G3311" s="19"/>
      <c r="J3311" s="19"/>
      <c r="K3311" s="19"/>
      <c r="L3311" s="19"/>
      <c r="R3311" s="19"/>
    </row>
    <row r="3312" spans="7:18" x14ac:dyDescent="0.25">
      <c r="G3312" s="19"/>
      <c r="J3312" s="19"/>
      <c r="K3312" s="19"/>
      <c r="L3312" s="19"/>
      <c r="R3312" s="19"/>
    </row>
    <row r="3313" spans="7:18" x14ac:dyDescent="0.25">
      <c r="G3313" s="19"/>
      <c r="J3313" s="19"/>
      <c r="K3313" s="19"/>
      <c r="L3313" s="19"/>
      <c r="R3313" s="19"/>
    </row>
    <row r="3314" spans="7:18" x14ac:dyDescent="0.25">
      <c r="G3314" s="19"/>
      <c r="J3314" s="19"/>
      <c r="K3314" s="19"/>
      <c r="L3314" s="19"/>
      <c r="R3314" s="19"/>
    </row>
    <row r="3315" spans="7:18" x14ac:dyDescent="0.25">
      <c r="G3315" s="19"/>
      <c r="J3315" s="19"/>
      <c r="K3315" s="19"/>
      <c r="L3315" s="19"/>
      <c r="R3315" s="19"/>
    </row>
    <row r="3316" spans="7:18" x14ac:dyDescent="0.25">
      <c r="G3316" s="19"/>
      <c r="J3316" s="19"/>
      <c r="K3316" s="19"/>
      <c r="L3316" s="19"/>
      <c r="R3316" s="19"/>
    </row>
    <row r="3317" spans="7:18" x14ac:dyDescent="0.25">
      <c r="G3317" s="19"/>
      <c r="J3317" s="19"/>
      <c r="K3317" s="19"/>
      <c r="L3317" s="19"/>
      <c r="R3317" s="19"/>
    </row>
    <row r="3318" spans="7:18" x14ac:dyDescent="0.25">
      <c r="G3318" s="19"/>
      <c r="J3318" s="19"/>
      <c r="K3318" s="19"/>
      <c r="L3318" s="19"/>
      <c r="R3318" s="19"/>
    </row>
    <row r="3319" spans="7:18" x14ac:dyDescent="0.25">
      <c r="G3319" s="19"/>
      <c r="J3319" s="19"/>
      <c r="K3319" s="19"/>
      <c r="L3319" s="19"/>
      <c r="R3319" s="19"/>
    </row>
    <row r="3320" spans="7:18" x14ac:dyDescent="0.25">
      <c r="G3320" s="19"/>
      <c r="J3320" s="19"/>
      <c r="K3320" s="19"/>
      <c r="L3320" s="19"/>
      <c r="R3320" s="19"/>
    </row>
    <row r="3321" spans="7:18" x14ac:dyDescent="0.25">
      <c r="G3321" s="19"/>
      <c r="J3321" s="19"/>
      <c r="K3321" s="19"/>
      <c r="L3321" s="19"/>
      <c r="R3321" s="19"/>
    </row>
    <row r="3322" spans="7:18" x14ac:dyDescent="0.25">
      <c r="G3322" s="19"/>
      <c r="J3322" s="19"/>
      <c r="K3322" s="19"/>
      <c r="L3322" s="19"/>
      <c r="R3322" s="19"/>
    </row>
    <row r="3323" spans="7:18" x14ac:dyDescent="0.25">
      <c r="G3323" s="19"/>
      <c r="J3323" s="19"/>
      <c r="K3323" s="19"/>
      <c r="L3323" s="19"/>
      <c r="R3323" s="19"/>
    </row>
    <row r="3324" spans="7:18" x14ac:dyDescent="0.25">
      <c r="G3324" s="19"/>
      <c r="J3324" s="19"/>
      <c r="K3324" s="19"/>
      <c r="L3324" s="19"/>
      <c r="R3324" s="19"/>
    </row>
    <row r="3325" spans="7:18" x14ac:dyDescent="0.25">
      <c r="G3325" s="19"/>
      <c r="J3325" s="19"/>
      <c r="K3325" s="19"/>
      <c r="L3325" s="19"/>
      <c r="R3325" s="19"/>
    </row>
    <row r="3326" spans="7:18" x14ac:dyDescent="0.25">
      <c r="G3326" s="19"/>
      <c r="J3326" s="19"/>
      <c r="K3326" s="19"/>
      <c r="L3326" s="19"/>
      <c r="R3326" s="19"/>
    </row>
    <row r="3327" spans="7:18" x14ac:dyDescent="0.25">
      <c r="G3327" s="19"/>
      <c r="J3327" s="19"/>
      <c r="K3327" s="19"/>
      <c r="L3327" s="19"/>
      <c r="R3327" s="19"/>
    </row>
    <row r="3328" spans="7:18" x14ac:dyDescent="0.25">
      <c r="G3328" s="19"/>
      <c r="J3328" s="19"/>
      <c r="K3328" s="19"/>
      <c r="L3328" s="19"/>
      <c r="R3328" s="19"/>
    </row>
    <row r="3329" spans="7:18" x14ac:dyDescent="0.25">
      <c r="G3329" s="19"/>
      <c r="J3329" s="19"/>
      <c r="K3329" s="19"/>
      <c r="L3329" s="19"/>
      <c r="R3329" s="19"/>
    </row>
    <row r="3330" spans="7:18" x14ac:dyDescent="0.25">
      <c r="G3330" s="19"/>
      <c r="J3330" s="19"/>
      <c r="K3330" s="19"/>
      <c r="L3330" s="19"/>
      <c r="R3330" s="19"/>
    </row>
    <row r="3331" spans="7:18" x14ac:dyDescent="0.25">
      <c r="G3331" s="19"/>
      <c r="J3331" s="19"/>
      <c r="K3331" s="19"/>
      <c r="L3331" s="19"/>
      <c r="R3331" s="19"/>
    </row>
    <row r="3332" spans="7:18" x14ac:dyDescent="0.25">
      <c r="G3332" s="19"/>
      <c r="J3332" s="19"/>
      <c r="K3332" s="19"/>
      <c r="L3332" s="19"/>
      <c r="R3332" s="19"/>
    </row>
    <row r="3333" spans="7:18" x14ac:dyDescent="0.25">
      <c r="G3333" s="19"/>
      <c r="J3333" s="19"/>
      <c r="K3333" s="19"/>
      <c r="L3333" s="19"/>
      <c r="R3333" s="19"/>
    </row>
    <row r="3334" spans="7:18" x14ac:dyDescent="0.25">
      <c r="G3334" s="19"/>
      <c r="J3334" s="19"/>
      <c r="K3334" s="19"/>
      <c r="L3334" s="19"/>
      <c r="R3334" s="19"/>
    </row>
    <row r="3335" spans="7:18" x14ac:dyDescent="0.25">
      <c r="G3335" s="19"/>
      <c r="J3335" s="19"/>
      <c r="K3335" s="19"/>
      <c r="L3335" s="19"/>
      <c r="R3335" s="19"/>
    </row>
    <row r="3336" spans="7:18" x14ac:dyDescent="0.25">
      <c r="G3336" s="19"/>
      <c r="J3336" s="19"/>
      <c r="K3336" s="19"/>
      <c r="L3336" s="19"/>
      <c r="R3336" s="19"/>
    </row>
    <row r="3337" spans="7:18" x14ac:dyDescent="0.25">
      <c r="G3337" s="19"/>
      <c r="J3337" s="19"/>
      <c r="K3337" s="19"/>
      <c r="L3337" s="19"/>
      <c r="R3337" s="19"/>
    </row>
    <row r="3338" spans="7:18" x14ac:dyDescent="0.25">
      <c r="G3338" s="19"/>
      <c r="J3338" s="19"/>
      <c r="K3338" s="19"/>
      <c r="L3338" s="19"/>
      <c r="R3338" s="19"/>
    </row>
    <row r="3339" spans="7:18" x14ac:dyDescent="0.25">
      <c r="G3339" s="19"/>
      <c r="J3339" s="19"/>
      <c r="K3339" s="19"/>
      <c r="L3339" s="19"/>
      <c r="R3339" s="19"/>
    </row>
    <row r="3340" spans="7:18" x14ac:dyDescent="0.25">
      <c r="G3340" s="19"/>
      <c r="J3340" s="19"/>
      <c r="K3340" s="19"/>
      <c r="L3340" s="19"/>
      <c r="R3340" s="19"/>
    </row>
    <row r="3341" spans="7:18" x14ac:dyDescent="0.25">
      <c r="G3341" s="19"/>
      <c r="J3341" s="19"/>
      <c r="K3341" s="19"/>
      <c r="L3341" s="19"/>
      <c r="R3341" s="19"/>
    </row>
    <row r="3342" spans="7:18" x14ac:dyDescent="0.25">
      <c r="G3342" s="19"/>
      <c r="J3342" s="19"/>
      <c r="K3342" s="19"/>
      <c r="L3342" s="19"/>
      <c r="R3342" s="19"/>
    </row>
    <row r="3343" spans="7:18" x14ac:dyDescent="0.25">
      <c r="G3343" s="19"/>
      <c r="J3343" s="19"/>
      <c r="K3343" s="19"/>
      <c r="L3343" s="19"/>
      <c r="R3343" s="19"/>
    </row>
    <row r="3344" spans="7:18" x14ac:dyDescent="0.25">
      <c r="G3344" s="19"/>
      <c r="J3344" s="19"/>
      <c r="K3344" s="19"/>
      <c r="L3344" s="19"/>
      <c r="R3344" s="19"/>
    </row>
    <row r="3345" spans="7:18" x14ac:dyDescent="0.25">
      <c r="G3345" s="19"/>
      <c r="J3345" s="19"/>
      <c r="K3345" s="19"/>
      <c r="L3345" s="19"/>
      <c r="R3345" s="19"/>
    </row>
    <row r="3346" spans="7:18" x14ac:dyDescent="0.25">
      <c r="G3346" s="19"/>
      <c r="J3346" s="19"/>
      <c r="K3346" s="19"/>
      <c r="L3346" s="19"/>
      <c r="R3346" s="19"/>
    </row>
    <row r="3347" spans="7:18" x14ac:dyDescent="0.25">
      <c r="G3347" s="19"/>
      <c r="J3347" s="19"/>
      <c r="K3347" s="19"/>
      <c r="L3347" s="19"/>
      <c r="R3347" s="19"/>
    </row>
    <row r="3348" spans="7:18" x14ac:dyDescent="0.25">
      <c r="G3348" s="19"/>
      <c r="J3348" s="19"/>
      <c r="K3348" s="19"/>
      <c r="L3348" s="19"/>
      <c r="R3348" s="19"/>
    </row>
    <row r="3349" spans="7:18" x14ac:dyDescent="0.25">
      <c r="G3349" s="19"/>
      <c r="J3349" s="19"/>
      <c r="K3349" s="19"/>
      <c r="L3349" s="19"/>
      <c r="R3349" s="19"/>
    </row>
    <row r="3350" spans="7:18" x14ac:dyDescent="0.25">
      <c r="G3350" s="19"/>
      <c r="J3350" s="19"/>
      <c r="K3350" s="19"/>
      <c r="L3350" s="19"/>
      <c r="R3350" s="19"/>
    </row>
    <row r="3351" spans="7:18" x14ac:dyDescent="0.25">
      <c r="G3351" s="19"/>
      <c r="J3351" s="19"/>
      <c r="K3351" s="19"/>
      <c r="L3351" s="19"/>
      <c r="R3351" s="19"/>
    </row>
    <row r="3352" spans="7:18" x14ac:dyDescent="0.25">
      <c r="G3352" s="19"/>
      <c r="J3352" s="19"/>
      <c r="K3352" s="19"/>
      <c r="L3352" s="19"/>
      <c r="R3352" s="19"/>
    </row>
    <row r="3353" spans="7:18" x14ac:dyDescent="0.25">
      <c r="G3353" s="19"/>
      <c r="J3353" s="19"/>
      <c r="K3353" s="19"/>
      <c r="L3353" s="19"/>
      <c r="R3353" s="19"/>
    </row>
    <row r="3354" spans="7:18" x14ac:dyDescent="0.25">
      <c r="G3354" s="19"/>
      <c r="J3354" s="19"/>
      <c r="K3354" s="19"/>
      <c r="L3354" s="19"/>
      <c r="R3354" s="19"/>
    </row>
    <row r="3355" spans="7:18" x14ac:dyDescent="0.25">
      <c r="G3355" s="19"/>
      <c r="J3355" s="19"/>
      <c r="K3355" s="19"/>
      <c r="L3355" s="19"/>
      <c r="R3355" s="19"/>
    </row>
    <row r="3356" spans="7:18" x14ac:dyDescent="0.25">
      <c r="G3356" s="19"/>
      <c r="J3356" s="19"/>
      <c r="K3356" s="19"/>
      <c r="L3356" s="19"/>
      <c r="R3356" s="19"/>
    </row>
    <row r="3357" spans="7:18" x14ac:dyDescent="0.25">
      <c r="G3357" s="19"/>
      <c r="J3357" s="19"/>
      <c r="K3357" s="19"/>
      <c r="L3357" s="19"/>
      <c r="R3357" s="19"/>
    </row>
    <row r="3358" spans="7:18" x14ac:dyDescent="0.25">
      <c r="G3358" s="19"/>
      <c r="J3358" s="19"/>
      <c r="K3358" s="19"/>
      <c r="L3358" s="19"/>
      <c r="R3358" s="19"/>
    </row>
    <row r="3359" spans="7:18" x14ac:dyDescent="0.25">
      <c r="G3359" s="19"/>
      <c r="J3359" s="19"/>
      <c r="K3359" s="19"/>
      <c r="L3359" s="19"/>
      <c r="R3359" s="19"/>
    </row>
    <row r="3360" spans="7:18" x14ac:dyDescent="0.25">
      <c r="G3360" s="19"/>
      <c r="J3360" s="19"/>
      <c r="K3360" s="19"/>
      <c r="L3360" s="19"/>
      <c r="R3360" s="19"/>
    </row>
    <row r="3361" spans="7:18" x14ac:dyDescent="0.25">
      <c r="G3361" s="19"/>
      <c r="J3361" s="19"/>
      <c r="K3361" s="19"/>
      <c r="L3361" s="19"/>
      <c r="R3361" s="19"/>
    </row>
    <row r="3362" spans="7:18" x14ac:dyDescent="0.25">
      <c r="G3362" s="19"/>
      <c r="J3362" s="19"/>
      <c r="K3362" s="19"/>
      <c r="L3362" s="19"/>
      <c r="R3362" s="19"/>
    </row>
    <row r="3363" spans="7:18" x14ac:dyDescent="0.25">
      <c r="G3363" s="19"/>
      <c r="J3363" s="19"/>
      <c r="K3363" s="19"/>
      <c r="L3363" s="19"/>
      <c r="R3363" s="19"/>
    </row>
    <row r="3364" spans="7:18" x14ac:dyDescent="0.25">
      <c r="G3364" s="19"/>
      <c r="J3364" s="19"/>
      <c r="K3364" s="19"/>
      <c r="L3364" s="19"/>
      <c r="R3364" s="19"/>
    </row>
    <row r="3365" spans="7:18" x14ac:dyDescent="0.25">
      <c r="G3365" s="19"/>
      <c r="J3365" s="19"/>
      <c r="K3365" s="19"/>
      <c r="L3365" s="19"/>
      <c r="R3365" s="19"/>
    </row>
    <row r="3366" spans="7:18" x14ac:dyDescent="0.25">
      <c r="G3366" s="19"/>
      <c r="J3366" s="19"/>
      <c r="K3366" s="19"/>
      <c r="L3366" s="19"/>
      <c r="R3366" s="19"/>
    </row>
    <row r="3367" spans="7:18" x14ac:dyDescent="0.25">
      <c r="G3367" s="19"/>
      <c r="J3367" s="19"/>
      <c r="K3367" s="19"/>
      <c r="L3367" s="19"/>
      <c r="R3367" s="19"/>
    </row>
    <row r="3368" spans="7:18" x14ac:dyDescent="0.25">
      <c r="G3368" s="19"/>
      <c r="J3368" s="19"/>
      <c r="K3368" s="19"/>
      <c r="L3368" s="19"/>
      <c r="R3368" s="19"/>
    </row>
    <row r="3369" spans="7:18" x14ac:dyDescent="0.25">
      <c r="G3369" s="19"/>
      <c r="J3369" s="19"/>
      <c r="K3369" s="19"/>
      <c r="L3369" s="19"/>
      <c r="R3369" s="19"/>
    </row>
    <row r="3370" spans="7:18" x14ac:dyDescent="0.25">
      <c r="G3370" s="19"/>
      <c r="J3370" s="19"/>
      <c r="K3370" s="19"/>
      <c r="L3370" s="19"/>
      <c r="R3370" s="19"/>
    </row>
    <row r="3371" spans="7:18" x14ac:dyDescent="0.25">
      <c r="G3371" s="19"/>
      <c r="J3371" s="19"/>
      <c r="K3371" s="19"/>
      <c r="L3371" s="19"/>
      <c r="R3371" s="19"/>
    </row>
    <row r="3372" spans="7:18" x14ac:dyDescent="0.25">
      <c r="G3372" s="19"/>
      <c r="J3372" s="19"/>
      <c r="K3372" s="19"/>
      <c r="L3372" s="19"/>
      <c r="R3372" s="19"/>
    </row>
    <row r="3373" spans="7:18" x14ac:dyDescent="0.25">
      <c r="G3373" s="19"/>
      <c r="J3373" s="19"/>
      <c r="K3373" s="19"/>
      <c r="L3373" s="19"/>
      <c r="R3373" s="19"/>
    </row>
    <row r="3374" spans="7:18" x14ac:dyDescent="0.25">
      <c r="G3374" s="19"/>
      <c r="J3374" s="19"/>
      <c r="K3374" s="19"/>
      <c r="L3374" s="19"/>
      <c r="R3374" s="19"/>
    </row>
    <row r="3375" spans="7:18" x14ac:dyDescent="0.25">
      <c r="G3375" s="19"/>
      <c r="J3375" s="19"/>
      <c r="K3375" s="19"/>
      <c r="L3375" s="19"/>
      <c r="R3375" s="19"/>
    </row>
    <row r="3376" spans="7:18" x14ac:dyDescent="0.25">
      <c r="G3376" s="19"/>
      <c r="J3376" s="19"/>
      <c r="K3376" s="19"/>
      <c r="L3376" s="19"/>
      <c r="R3376" s="19"/>
    </row>
    <row r="3377" spans="7:18" x14ac:dyDescent="0.25">
      <c r="G3377" s="19"/>
      <c r="J3377" s="19"/>
      <c r="K3377" s="19"/>
      <c r="L3377" s="19"/>
      <c r="R3377" s="19"/>
    </row>
    <row r="3378" spans="7:18" x14ac:dyDescent="0.25">
      <c r="G3378" s="19"/>
      <c r="J3378" s="19"/>
      <c r="K3378" s="19"/>
      <c r="L3378" s="19"/>
      <c r="R3378" s="19"/>
    </row>
    <row r="3379" spans="7:18" x14ac:dyDescent="0.25">
      <c r="G3379" s="19"/>
      <c r="J3379" s="19"/>
      <c r="K3379" s="19"/>
      <c r="L3379" s="19"/>
      <c r="R3379" s="19"/>
    </row>
    <row r="3380" spans="7:18" x14ac:dyDescent="0.25">
      <c r="G3380" s="19"/>
      <c r="J3380" s="19"/>
      <c r="K3380" s="19"/>
      <c r="L3380" s="19"/>
      <c r="R3380" s="19"/>
    </row>
    <row r="3381" spans="7:18" x14ac:dyDescent="0.25">
      <c r="G3381" s="19"/>
      <c r="J3381" s="19"/>
      <c r="K3381" s="19"/>
      <c r="L3381" s="19"/>
      <c r="R3381" s="19"/>
    </row>
    <row r="3382" spans="7:18" x14ac:dyDescent="0.25">
      <c r="G3382" s="19"/>
      <c r="J3382" s="19"/>
      <c r="K3382" s="19"/>
      <c r="L3382" s="19"/>
      <c r="R3382" s="19"/>
    </row>
    <row r="3383" spans="7:18" x14ac:dyDescent="0.25">
      <c r="G3383" s="19"/>
      <c r="J3383" s="19"/>
      <c r="K3383" s="19"/>
      <c r="L3383" s="19"/>
      <c r="R3383" s="19"/>
    </row>
    <row r="3384" spans="7:18" x14ac:dyDescent="0.25">
      <c r="G3384" s="19"/>
      <c r="J3384" s="19"/>
      <c r="K3384" s="19"/>
      <c r="L3384" s="19"/>
      <c r="R3384" s="19"/>
    </row>
    <row r="3385" spans="7:18" x14ac:dyDescent="0.25">
      <c r="G3385" s="19"/>
      <c r="J3385" s="19"/>
      <c r="K3385" s="19"/>
      <c r="L3385" s="19"/>
      <c r="R3385" s="19"/>
    </row>
    <row r="3386" spans="7:18" x14ac:dyDescent="0.25">
      <c r="G3386" s="19"/>
      <c r="J3386" s="19"/>
      <c r="K3386" s="19"/>
      <c r="L3386" s="19"/>
      <c r="R3386" s="19"/>
    </row>
    <row r="3387" spans="7:18" x14ac:dyDescent="0.25">
      <c r="G3387" s="19"/>
      <c r="J3387" s="19"/>
      <c r="K3387" s="19"/>
      <c r="L3387" s="19"/>
      <c r="R3387" s="19"/>
    </row>
    <row r="3388" spans="7:18" x14ac:dyDescent="0.25">
      <c r="G3388" s="19"/>
      <c r="J3388" s="19"/>
      <c r="K3388" s="19"/>
      <c r="L3388" s="19"/>
      <c r="R3388" s="19"/>
    </row>
    <row r="3389" spans="7:18" x14ac:dyDescent="0.25">
      <c r="G3389" s="19"/>
      <c r="J3389" s="19"/>
      <c r="K3389" s="19"/>
      <c r="L3389" s="19"/>
      <c r="R3389" s="19"/>
    </row>
    <row r="3390" spans="7:18" x14ac:dyDescent="0.25">
      <c r="G3390" s="19"/>
      <c r="J3390" s="19"/>
      <c r="K3390" s="19"/>
      <c r="L3390" s="19"/>
      <c r="R3390" s="19"/>
    </row>
    <row r="3391" spans="7:18" x14ac:dyDescent="0.25">
      <c r="G3391" s="19"/>
      <c r="J3391" s="19"/>
      <c r="K3391" s="19"/>
      <c r="L3391" s="19"/>
      <c r="R3391" s="19"/>
    </row>
    <row r="3392" spans="7:18" x14ac:dyDescent="0.25">
      <c r="G3392" s="19"/>
      <c r="J3392" s="19"/>
      <c r="K3392" s="19"/>
      <c r="L3392" s="19"/>
      <c r="R3392" s="19"/>
    </row>
    <row r="3393" spans="7:18" x14ac:dyDescent="0.25">
      <c r="G3393" s="19"/>
      <c r="J3393" s="19"/>
      <c r="K3393" s="19"/>
      <c r="L3393" s="19"/>
      <c r="R3393" s="19"/>
    </row>
    <row r="3394" spans="7:18" x14ac:dyDescent="0.25">
      <c r="G3394" s="19"/>
      <c r="J3394" s="19"/>
      <c r="K3394" s="19"/>
      <c r="L3394" s="19"/>
      <c r="R3394" s="19"/>
    </row>
    <row r="3395" spans="7:18" x14ac:dyDescent="0.25">
      <c r="G3395" s="19"/>
      <c r="J3395" s="19"/>
      <c r="K3395" s="19"/>
      <c r="L3395" s="19"/>
      <c r="R3395" s="19"/>
    </row>
    <row r="3396" spans="7:18" x14ac:dyDescent="0.25">
      <c r="G3396" s="19"/>
      <c r="J3396" s="19"/>
      <c r="K3396" s="19"/>
      <c r="L3396" s="19"/>
      <c r="R3396" s="19"/>
    </row>
    <row r="3397" spans="7:18" x14ac:dyDescent="0.25">
      <c r="G3397" s="19"/>
      <c r="J3397" s="19"/>
      <c r="K3397" s="19"/>
      <c r="L3397" s="19"/>
      <c r="R3397" s="19"/>
    </row>
    <row r="3398" spans="7:18" x14ac:dyDescent="0.25">
      <c r="G3398" s="19"/>
      <c r="J3398" s="19"/>
      <c r="K3398" s="19"/>
      <c r="L3398" s="19"/>
      <c r="R3398" s="19"/>
    </row>
    <row r="3399" spans="7:18" x14ac:dyDescent="0.25">
      <c r="G3399" s="19"/>
      <c r="J3399" s="19"/>
      <c r="K3399" s="19"/>
      <c r="L3399" s="19"/>
      <c r="R3399" s="19"/>
    </row>
    <row r="3400" spans="7:18" x14ac:dyDescent="0.25">
      <c r="G3400" s="19"/>
      <c r="J3400" s="19"/>
      <c r="K3400" s="19"/>
      <c r="L3400" s="19"/>
      <c r="R3400" s="19"/>
    </row>
    <row r="3401" spans="7:18" x14ac:dyDescent="0.25">
      <c r="G3401" s="19"/>
      <c r="J3401" s="19"/>
      <c r="K3401" s="19"/>
      <c r="L3401" s="19"/>
      <c r="R3401" s="19"/>
    </row>
    <row r="3402" spans="7:18" x14ac:dyDescent="0.25">
      <c r="G3402" s="19"/>
      <c r="J3402" s="19"/>
      <c r="K3402" s="19"/>
      <c r="L3402" s="19"/>
      <c r="R3402" s="19"/>
    </row>
    <row r="3403" spans="7:18" x14ac:dyDescent="0.25">
      <c r="G3403" s="19"/>
      <c r="J3403" s="19"/>
      <c r="K3403" s="19"/>
      <c r="L3403" s="19"/>
      <c r="R3403" s="19"/>
    </row>
    <row r="3404" spans="7:18" x14ac:dyDescent="0.25">
      <c r="G3404" s="19"/>
      <c r="J3404" s="19"/>
      <c r="K3404" s="19"/>
      <c r="L3404" s="19"/>
      <c r="R3404" s="19"/>
    </row>
    <row r="3405" spans="7:18" x14ac:dyDescent="0.25">
      <c r="G3405" s="19"/>
      <c r="J3405" s="19"/>
      <c r="K3405" s="19"/>
      <c r="L3405" s="19"/>
      <c r="R3405" s="19"/>
    </row>
    <row r="3406" spans="7:18" x14ac:dyDescent="0.25">
      <c r="G3406" s="19"/>
      <c r="J3406" s="19"/>
      <c r="K3406" s="19"/>
      <c r="L3406" s="19"/>
      <c r="R3406" s="19"/>
    </row>
    <row r="3407" spans="7:18" x14ac:dyDescent="0.25">
      <c r="G3407" s="19"/>
      <c r="J3407" s="19"/>
      <c r="K3407" s="19"/>
      <c r="L3407" s="19"/>
      <c r="R3407" s="19"/>
    </row>
    <row r="3408" spans="7:18" x14ac:dyDescent="0.25">
      <c r="G3408" s="19"/>
      <c r="J3408" s="19"/>
      <c r="K3408" s="19"/>
      <c r="L3408" s="19"/>
      <c r="R3408" s="19"/>
    </row>
    <row r="3409" spans="7:18" x14ac:dyDescent="0.25">
      <c r="G3409" s="19"/>
      <c r="J3409" s="19"/>
      <c r="K3409" s="19"/>
      <c r="L3409" s="19"/>
      <c r="R3409" s="19"/>
    </row>
    <row r="3410" spans="7:18" x14ac:dyDescent="0.25">
      <c r="G3410" s="19"/>
      <c r="J3410" s="19"/>
      <c r="K3410" s="19"/>
      <c r="L3410" s="19"/>
      <c r="R3410" s="19"/>
    </row>
    <row r="3411" spans="7:18" x14ac:dyDescent="0.25">
      <c r="G3411" s="19"/>
      <c r="J3411" s="19"/>
      <c r="K3411" s="19"/>
      <c r="L3411" s="19"/>
      <c r="R3411" s="19"/>
    </row>
    <row r="3412" spans="7:18" x14ac:dyDescent="0.25">
      <c r="G3412" s="19"/>
      <c r="J3412" s="19"/>
      <c r="K3412" s="19"/>
      <c r="L3412" s="19"/>
      <c r="R3412" s="19"/>
    </row>
    <row r="3413" spans="7:18" x14ac:dyDescent="0.25">
      <c r="G3413" s="19"/>
      <c r="J3413" s="19"/>
      <c r="K3413" s="19"/>
      <c r="L3413" s="19"/>
      <c r="R3413" s="19"/>
    </row>
    <row r="3414" spans="7:18" x14ac:dyDescent="0.25">
      <c r="G3414" s="19"/>
      <c r="J3414" s="19"/>
      <c r="K3414" s="19"/>
      <c r="L3414" s="19"/>
      <c r="R3414" s="19"/>
    </row>
    <row r="3415" spans="7:18" x14ac:dyDescent="0.25">
      <c r="G3415" s="19"/>
      <c r="J3415" s="19"/>
      <c r="K3415" s="19"/>
      <c r="L3415" s="19"/>
      <c r="R3415" s="19"/>
    </row>
    <row r="3416" spans="7:18" x14ac:dyDescent="0.25">
      <c r="G3416" s="19"/>
      <c r="J3416" s="19"/>
      <c r="K3416" s="19"/>
      <c r="L3416" s="19"/>
      <c r="R3416" s="19"/>
    </row>
    <row r="3417" spans="7:18" x14ac:dyDescent="0.25">
      <c r="G3417" s="19"/>
      <c r="J3417" s="19"/>
      <c r="K3417" s="19"/>
      <c r="L3417" s="19"/>
      <c r="R3417" s="19"/>
    </row>
    <row r="3418" spans="7:18" x14ac:dyDescent="0.25">
      <c r="G3418" s="19"/>
      <c r="J3418" s="19"/>
      <c r="K3418" s="19"/>
      <c r="L3418" s="19"/>
      <c r="R3418" s="19"/>
    </row>
    <row r="3419" spans="7:18" x14ac:dyDescent="0.25">
      <c r="G3419" s="19"/>
      <c r="J3419" s="19"/>
      <c r="K3419" s="19"/>
      <c r="L3419" s="19"/>
      <c r="R3419" s="19"/>
    </row>
    <row r="3420" spans="7:18" x14ac:dyDescent="0.25">
      <c r="G3420" s="19"/>
      <c r="J3420" s="19"/>
      <c r="K3420" s="19"/>
      <c r="L3420" s="19"/>
      <c r="R3420" s="19"/>
    </row>
    <row r="3421" spans="7:18" x14ac:dyDescent="0.25">
      <c r="G3421" s="19"/>
      <c r="J3421" s="19"/>
      <c r="K3421" s="19"/>
      <c r="L3421" s="19"/>
      <c r="R3421" s="19"/>
    </row>
    <row r="3422" spans="7:18" x14ac:dyDescent="0.25">
      <c r="G3422" s="19"/>
      <c r="J3422" s="19"/>
      <c r="K3422" s="19"/>
      <c r="L3422" s="19"/>
      <c r="R3422" s="19"/>
    </row>
    <row r="3423" spans="7:18" x14ac:dyDescent="0.25">
      <c r="G3423" s="19"/>
      <c r="J3423" s="19"/>
      <c r="K3423" s="19"/>
      <c r="L3423" s="19"/>
      <c r="R3423" s="19"/>
    </row>
    <row r="3424" spans="7:18" x14ac:dyDescent="0.25">
      <c r="G3424" s="19"/>
      <c r="J3424" s="19"/>
      <c r="K3424" s="19"/>
      <c r="L3424" s="19"/>
      <c r="R3424" s="19"/>
    </row>
    <row r="3425" spans="7:18" x14ac:dyDescent="0.25">
      <c r="G3425" s="19"/>
      <c r="J3425" s="19"/>
      <c r="K3425" s="19"/>
      <c r="L3425" s="19"/>
      <c r="R3425" s="19"/>
    </row>
    <row r="3426" spans="7:18" x14ac:dyDescent="0.25">
      <c r="G3426" s="19"/>
      <c r="J3426" s="19"/>
      <c r="K3426" s="19"/>
      <c r="L3426" s="19"/>
      <c r="R3426" s="19"/>
    </row>
    <row r="3427" spans="7:18" x14ac:dyDescent="0.25">
      <c r="G3427" s="19"/>
      <c r="J3427" s="19"/>
      <c r="K3427" s="19"/>
      <c r="L3427" s="19"/>
      <c r="R3427" s="19"/>
    </row>
    <row r="3428" spans="7:18" x14ac:dyDescent="0.25">
      <c r="G3428" s="19"/>
      <c r="J3428" s="19"/>
      <c r="K3428" s="19"/>
      <c r="L3428" s="19"/>
      <c r="R3428" s="19"/>
    </row>
    <row r="3429" spans="7:18" x14ac:dyDescent="0.25">
      <c r="G3429" s="19"/>
      <c r="J3429" s="19"/>
      <c r="K3429" s="19"/>
      <c r="L3429" s="19"/>
      <c r="R3429" s="19"/>
    </row>
    <row r="3430" spans="7:18" x14ac:dyDescent="0.25">
      <c r="G3430" s="19"/>
      <c r="J3430" s="19"/>
      <c r="K3430" s="19"/>
      <c r="L3430" s="19"/>
      <c r="R3430" s="19"/>
    </row>
    <row r="3431" spans="7:18" x14ac:dyDescent="0.25">
      <c r="G3431" s="19"/>
      <c r="J3431" s="19"/>
      <c r="K3431" s="19"/>
      <c r="L3431" s="19"/>
      <c r="R3431" s="19"/>
    </row>
    <row r="3432" spans="7:18" x14ac:dyDescent="0.25">
      <c r="G3432" s="19"/>
      <c r="J3432" s="19"/>
      <c r="K3432" s="19"/>
      <c r="L3432" s="19"/>
      <c r="R3432" s="19"/>
    </row>
    <row r="3433" spans="7:18" x14ac:dyDescent="0.25">
      <c r="G3433" s="19"/>
      <c r="J3433" s="19"/>
      <c r="K3433" s="19"/>
      <c r="L3433" s="19"/>
      <c r="R3433" s="19"/>
    </row>
    <row r="3434" spans="7:18" x14ac:dyDescent="0.25">
      <c r="G3434" s="19"/>
      <c r="J3434" s="19"/>
      <c r="K3434" s="19"/>
      <c r="L3434" s="19"/>
      <c r="R3434" s="19"/>
    </row>
    <row r="3435" spans="7:18" x14ac:dyDescent="0.25">
      <c r="G3435" s="19"/>
      <c r="J3435" s="19"/>
      <c r="K3435" s="19"/>
      <c r="L3435" s="19"/>
      <c r="R3435" s="19"/>
    </row>
    <row r="3436" spans="7:18" x14ac:dyDescent="0.25">
      <c r="G3436" s="19"/>
      <c r="J3436" s="19"/>
      <c r="K3436" s="19"/>
      <c r="L3436" s="19"/>
      <c r="R3436" s="19"/>
    </row>
    <row r="3437" spans="7:18" x14ac:dyDescent="0.25">
      <c r="G3437" s="19"/>
      <c r="J3437" s="19"/>
      <c r="K3437" s="19"/>
      <c r="L3437" s="19"/>
      <c r="R3437" s="19"/>
    </row>
    <row r="3438" spans="7:18" x14ac:dyDescent="0.25">
      <c r="G3438" s="19"/>
      <c r="J3438" s="19"/>
      <c r="K3438" s="19"/>
      <c r="L3438" s="19"/>
      <c r="R3438" s="19"/>
    </row>
    <row r="3439" spans="7:18" x14ac:dyDescent="0.25">
      <c r="G3439" s="19"/>
      <c r="J3439" s="19"/>
      <c r="K3439" s="19"/>
      <c r="L3439" s="19"/>
      <c r="R3439" s="19"/>
    </row>
    <row r="3440" spans="7:18" x14ac:dyDescent="0.25">
      <c r="G3440" s="19"/>
      <c r="J3440" s="19"/>
      <c r="K3440" s="19"/>
      <c r="L3440" s="19"/>
      <c r="R3440" s="19"/>
    </row>
    <row r="3441" spans="7:18" x14ac:dyDescent="0.25">
      <c r="G3441" s="19"/>
      <c r="J3441" s="19"/>
      <c r="K3441" s="19"/>
      <c r="L3441" s="19"/>
      <c r="R3441" s="19"/>
    </row>
    <row r="3442" spans="7:18" x14ac:dyDescent="0.25">
      <c r="G3442" s="19"/>
      <c r="J3442" s="19"/>
      <c r="K3442" s="19"/>
      <c r="L3442" s="19"/>
      <c r="R3442" s="19"/>
    </row>
    <row r="3443" spans="7:18" x14ac:dyDescent="0.25">
      <c r="G3443" s="19"/>
      <c r="J3443" s="19"/>
      <c r="K3443" s="19"/>
      <c r="L3443" s="19"/>
      <c r="R3443" s="19"/>
    </row>
    <row r="3444" spans="7:18" x14ac:dyDescent="0.25">
      <c r="G3444" s="19"/>
      <c r="J3444" s="19"/>
      <c r="K3444" s="19"/>
      <c r="L3444" s="19"/>
      <c r="R3444" s="19"/>
    </row>
    <row r="3445" spans="7:18" x14ac:dyDescent="0.25">
      <c r="G3445" s="19"/>
      <c r="J3445" s="19"/>
      <c r="K3445" s="19"/>
      <c r="L3445" s="19"/>
      <c r="R3445" s="19"/>
    </row>
    <row r="3446" spans="7:18" x14ac:dyDescent="0.25">
      <c r="G3446" s="19"/>
      <c r="J3446" s="19"/>
      <c r="K3446" s="19"/>
      <c r="L3446" s="19"/>
      <c r="R3446" s="19"/>
    </row>
    <row r="3447" spans="7:18" x14ac:dyDescent="0.25">
      <c r="G3447" s="19"/>
      <c r="J3447" s="19"/>
      <c r="K3447" s="19"/>
      <c r="L3447" s="19"/>
      <c r="R3447" s="19"/>
    </row>
    <row r="3448" spans="7:18" x14ac:dyDescent="0.25">
      <c r="G3448" s="19"/>
      <c r="J3448" s="19"/>
      <c r="K3448" s="19"/>
      <c r="L3448" s="19"/>
      <c r="R3448" s="19"/>
    </row>
    <row r="3449" spans="7:18" x14ac:dyDescent="0.25">
      <c r="G3449" s="19"/>
      <c r="J3449" s="19"/>
      <c r="K3449" s="19"/>
      <c r="L3449" s="19"/>
      <c r="R3449" s="19"/>
    </row>
    <row r="3450" spans="7:18" x14ac:dyDescent="0.25">
      <c r="G3450" s="19"/>
      <c r="J3450" s="19"/>
      <c r="K3450" s="19"/>
      <c r="L3450" s="19"/>
      <c r="R3450" s="19"/>
    </row>
    <row r="3451" spans="7:18" x14ac:dyDescent="0.25">
      <c r="G3451" s="19"/>
      <c r="J3451" s="19"/>
      <c r="K3451" s="19"/>
      <c r="L3451" s="19"/>
      <c r="R3451" s="19"/>
    </row>
    <row r="3452" spans="7:18" x14ac:dyDescent="0.25">
      <c r="G3452" s="19"/>
      <c r="J3452" s="19"/>
      <c r="K3452" s="19"/>
      <c r="L3452" s="19"/>
      <c r="R3452" s="19"/>
    </row>
    <row r="3453" spans="7:18" x14ac:dyDescent="0.25">
      <c r="G3453" s="19"/>
      <c r="J3453" s="19"/>
      <c r="K3453" s="19"/>
      <c r="L3453" s="19"/>
      <c r="R3453" s="19"/>
    </row>
    <row r="3454" spans="7:18" x14ac:dyDescent="0.25">
      <c r="G3454" s="19"/>
      <c r="J3454" s="19"/>
      <c r="K3454" s="19"/>
      <c r="L3454" s="19"/>
      <c r="R3454" s="19"/>
    </row>
    <row r="3455" spans="7:18" x14ac:dyDescent="0.25">
      <c r="G3455" s="19"/>
      <c r="J3455" s="19"/>
      <c r="K3455" s="19"/>
      <c r="L3455" s="19"/>
      <c r="R3455" s="19"/>
    </row>
    <row r="3456" spans="7:18" x14ac:dyDescent="0.25">
      <c r="G3456" s="19"/>
      <c r="J3456" s="19"/>
      <c r="K3456" s="19"/>
      <c r="L3456" s="19"/>
      <c r="R3456" s="19"/>
    </row>
    <row r="3457" spans="7:18" x14ac:dyDescent="0.25">
      <c r="G3457" s="19"/>
      <c r="J3457" s="19"/>
      <c r="K3457" s="19"/>
      <c r="L3457" s="19"/>
      <c r="R3457" s="19"/>
    </row>
    <row r="3458" spans="7:18" x14ac:dyDescent="0.25">
      <c r="G3458" s="19"/>
      <c r="J3458" s="19"/>
      <c r="K3458" s="19"/>
      <c r="L3458" s="19"/>
      <c r="R3458" s="19"/>
    </row>
    <row r="3459" spans="7:18" x14ac:dyDescent="0.25">
      <c r="G3459" s="19"/>
      <c r="J3459" s="19"/>
      <c r="K3459" s="19"/>
      <c r="L3459" s="19"/>
      <c r="R3459" s="19"/>
    </row>
    <row r="3460" spans="7:18" x14ac:dyDescent="0.25">
      <c r="G3460" s="19"/>
      <c r="J3460" s="19"/>
      <c r="K3460" s="19"/>
      <c r="L3460" s="19"/>
      <c r="R3460" s="19"/>
    </row>
    <row r="3461" spans="7:18" x14ac:dyDescent="0.25">
      <c r="G3461" s="19"/>
      <c r="J3461" s="19"/>
      <c r="K3461" s="19"/>
      <c r="L3461" s="19"/>
      <c r="R3461" s="19"/>
    </row>
    <row r="3462" spans="7:18" x14ac:dyDescent="0.25">
      <c r="G3462" s="19"/>
      <c r="J3462" s="19"/>
      <c r="K3462" s="19"/>
      <c r="L3462" s="19"/>
      <c r="R3462" s="19"/>
    </row>
    <row r="3463" spans="7:18" x14ac:dyDescent="0.25">
      <c r="G3463" s="19"/>
      <c r="J3463" s="19"/>
      <c r="K3463" s="19"/>
      <c r="L3463" s="19"/>
      <c r="R3463" s="19"/>
    </row>
    <row r="3464" spans="7:18" x14ac:dyDescent="0.25">
      <c r="G3464" s="19"/>
      <c r="J3464" s="19"/>
      <c r="K3464" s="19"/>
      <c r="L3464" s="19"/>
      <c r="R3464" s="19"/>
    </row>
    <row r="3465" spans="7:18" x14ac:dyDescent="0.25">
      <c r="G3465" s="19"/>
      <c r="J3465" s="19"/>
      <c r="K3465" s="19"/>
      <c r="L3465" s="19"/>
      <c r="R3465" s="19"/>
    </row>
    <row r="3466" spans="7:18" x14ac:dyDescent="0.25">
      <c r="G3466" s="19"/>
      <c r="J3466" s="19"/>
      <c r="K3466" s="19"/>
      <c r="L3466" s="19"/>
      <c r="R3466" s="19"/>
    </row>
    <row r="3467" spans="7:18" x14ac:dyDescent="0.25">
      <c r="G3467" s="19"/>
      <c r="J3467" s="19"/>
      <c r="K3467" s="19"/>
      <c r="L3467" s="19"/>
      <c r="R3467" s="19"/>
    </row>
    <row r="3468" spans="7:18" x14ac:dyDescent="0.25">
      <c r="G3468" s="19"/>
      <c r="J3468" s="19"/>
      <c r="K3468" s="19"/>
      <c r="L3468" s="19"/>
      <c r="R3468" s="19"/>
    </row>
    <row r="3469" spans="7:18" x14ac:dyDescent="0.25">
      <c r="G3469" s="19"/>
      <c r="J3469" s="19"/>
      <c r="K3469" s="19"/>
      <c r="L3469" s="19"/>
      <c r="R3469" s="19"/>
    </row>
    <row r="3470" spans="7:18" x14ac:dyDescent="0.25">
      <c r="G3470" s="19"/>
      <c r="J3470" s="19"/>
      <c r="K3470" s="19"/>
      <c r="L3470" s="19"/>
      <c r="R3470" s="19"/>
    </row>
    <row r="3471" spans="7:18" x14ac:dyDescent="0.25">
      <c r="G3471" s="19"/>
      <c r="J3471" s="19"/>
      <c r="K3471" s="19"/>
      <c r="L3471" s="19"/>
      <c r="R3471" s="19"/>
    </row>
    <row r="3472" spans="7:18" x14ac:dyDescent="0.25">
      <c r="G3472" s="19"/>
      <c r="J3472" s="19"/>
      <c r="K3472" s="19"/>
      <c r="L3472" s="19"/>
      <c r="R3472" s="19"/>
    </row>
    <row r="3473" spans="7:18" x14ac:dyDescent="0.25">
      <c r="G3473" s="19"/>
      <c r="J3473" s="19"/>
      <c r="K3473" s="19"/>
      <c r="L3473" s="19"/>
      <c r="R3473" s="19"/>
    </row>
    <row r="3474" spans="7:18" x14ac:dyDescent="0.25">
      <c r="G3474" s="19"/>
      <c r="J3474" s="19"/>
      <c r="K3474" s="19"/>
      <c r="L3474" s="19"/>
      <c r="R3474" s="19"/>
    </row>
    <row r="3475" spans="7:18" x14ac:dyDescent="0.25">
      <c r="G3475" s="19"/>
      <c r="J3475" s="19"/>
      <c r="K3475" s="19"/>
      <c r="L3475" s="19"/>
      <c r="R3475" s="19"/>
    </row>
    <row r="3476" spans="7:18" x14ac:dyDescent="0.25">
      <c r="G3476" s="19"/>
      <c r="J3476" s="19"/>
      <c r="K3476" s="19"/>
      <c r="L3476" s="19"/>
      <c r="R3476" s="19"/>
    </row>
    <row r="3477" spans="7:18" x14ac:dyDescent="0.25">
      <c r="G3477" s="19"/>
      <c r="J3477" s="19"/>
      <c r="K3477" s="19"/>
      <c r="L3477" s="19"/>
      <c r="R3477" s="19"/>
    </row>
    <row r="3478" spans="7:18" x14ac:dyDescent="0.25">
      <c r="G3478" s="19"/>
      <c r="J3478" s="19"/>
      <c r="K3478" s="19"/>
      <c r="L3478" s="19"/>
      <c r="R3478" s="19"/>
    </row>
    <row r="3479" spans="7:18" x14ac:dyDescent="0.25">
      <c r="G3479" s="19"/>
      <c r="J3479" s="19"/>
      <c r="K3479" s="19"/>
      <c r="L3479" s="19"/>
      <c r="R3479" s="19"/>
    </row>
    <row r="3480" spans="7:18" x14ac:dyDescent="0.25">
      <c r="G3480" s="19"/>
      <c r="J3480" s="19"/>
      <c r="K3480" s="19"/>
      <c r="L3480" s="19"/>
      <c r="R3480" s="19"/>
    </row>
    <row r="3481" spans="7:18" x14ac:dyDescent="0.25">
      <c r="G3481" s="19"/>
      <c r="J3481" s="19"/>
      <c r="K3481" s="19"/>
      <c r="L3481" s="19"/>
      <c r="R3481" s="19"/>
    </row>
    <row r="3482" spans="7:18" x14ac:dyDescent="0.25">
      <c r="G3482" s="19"/>
      <c r="J3482" s="19"/>
      <c r="K3482" s="19"/>
      <c r="L3482" s="19"/>
      <c r="R3482" s="19"/>
    </row>
    <row r="3483" spans="7:18" x14ac:dyDescent="0.25">
      <c r="G3483" s="19"/>
      <c r="J3483" s="19"/>
      <c r="K3483" s="19"/>
      <c r="L3483" s="19"/>
      <c r="R3483" s="19"/>
    </row>
    <row r="3484" spans="7:18" x14ac:dyDescent="0.25">
      <c r="G3484" s="19"/>
      <c r="J3484" s="19"/>
      <c r="K3484" s="19"/>
      <c r="L3484" s="19"/>
      <c r="R3484" s="19"/>
    </row>
    <row r="3485" spans="7:18" x14ac:dyDescent="0.25">
      <c r="G3485" s="19"/>
      <c r="J3485" s="19"/>
      <c r="K3485" s="19"/>
      <c r="L3485" s="19"/>
      <c r="R3485" s="19"/>
    </row>
    <row r="3486" spans="7:18" x14ac:dyDescent="0.25">
      <c r="G3486" s="19"/>
      <c r="J3486" s="19"/>
      <c r="K3486" s="19"/>
      <c r="L3486" s="19"/>
      <c r="R3486" s="19"/>
    </row>
    <row r="3487" spans="7:18" x14ac:dyDescent="0.25">
      <c r="G3487" s="19"/>
      <c r="J3487" s="19"/>
      <c r="K3487" s="19"/>
      <c r="L3487" s="19"/>
      <c r="R3487" s="19"/>
    </row>
    <row r="3488" spans="7:18" x14ac:dyDescent="0.25">
      <c r="G3488" s="19"/>
      <c r="J3488" s="19"/>
      <c r="K3488" s="19"/>
      <c r="L3488" s="19"/>
      <c r="R3488" s="19"/>
    </row>
    <row r="3489" spans="7:18" x14ac:dyDescent="0.25">
      <c r="G3489" s="19"/>
      <c r="J3489" s="19"/>
      <c r="K3489" s="19"/>
      <c r="L3489" s="19"/>
      <c r="R3489" s="19"/>
    </row>
    <row r="3490" spans="7:18" x14ac:dyDescent="0.25">
      <c r="G3490" s="19"/>
      <c r="J3490" s="19"/>
      <c r="K3490" s="19"/>
      <c r="L3490" s="19"/>
      <c r="R3490" s="19"/>
    </row>
    <row r="3491" spans="7:18" x14ac:dyDescent="0.25">
      <c r="G3491" s="19"/>
      <c r="J3491" s="19"/>
      <c r="K3491" s="19"/>
      <c r="L3491" s="19"/>
      <c r="R3491" s="19"/>
    </row>
    <row r="3492" spans="7:18" x14ac:dyDescent="0.25">
      <c r="G3492" s="19"/>
      <c r="J3492" s="19"/>
      <c r="K3492" s="19"/>
      <c r="L3492" s="19"/>
      <c r="R3492" s="19"/>
    </row>
    <row r="3493" spans="7:18" x14ac:dyDescent="0.25">
      <c r="G3493" s="19"/>
      <c r="J3493" s="19"/>
      <c r="K3493" s="19"/>
      <c r="L3493" s="19"/>
      <c r="R3493" s="19"/>
    </row>
    <row r="3494" spans="7:18" x14ac:dyDescent="0.25">
      <c r="G3494" s="19"/>
      <c r="J3494" s="19"/>
      <c r="K3494" s="19"/>
      <c r="L3494" s="19"/>
      <c r="R3494" s="19"/>
    </row>
    <row r="3495" spans="7:18" x14ac:dyDescent="0.25">
      <c r="G3495" s="19"/>
      <c r="J3495" s="19"/>
      <c r="K3495" s="19"/>
      <c r="L3495" s="19"/>
      <c r="R3495" s="19"/>
    </row>
    <row r="3496" spans="7:18" x14ac:dyDescent="0.25">
      <c r="G3496" s="19"/>
      <c r="J3496" s="19"/>
      <c r="K3496" s="19"/>
      <c r="L3496" s="19"/>
      <c r="R3496" s="19"/>
    </row>
    <row r="3497" spans="7:18" x14ac:dyDescent="0.25">
      <c r="G3497" s="19"/>
      <c r="J3497" s="19"/>
      <c r="K3497" s="19"/>
      <c r="L3497" s="19"/>
      <c r="R3497" s="19"/>
    </row>
    <row r="3498" spans="7:18" x14ac:dyDescent="0.25">
      <c r="G3498" s="19"/>
      <c r="J3498" s="19"/>
      <c r="K3498" s="19"/>
      <c r="L3498" s="19"/>
      <c r="R3498" s="19"/>
    </row>
    <row r="3499" spans="7:18" x14ac:dyDescent="0.25">
      <c r="G3499" s="19"/>
      <c r="J3499" s="19"/>
      <c r="K3499" s="19"/>
      <c r="L3499" s="19"/>
      <c r="R3499" s="19"/>
    </row>
    <row r="3500" spans="7:18" x14ac:dyDescent="0.25">
      <c r="G3500" s="19"/>
      <c r="J3500" s="19"/>
      <c r="K3500" s="19"/>
      <c r="L3500" s="19"/>
      <c r="R3500" s="19"/>
    </row>
    <row r="3502" spans="7:18" x14ac:dyDescent="0.25">
      <c r="G3502" s="19"/>
      <c r="J3502" s="19"/>
      <c r="K3502" s="19"/>
      <c r="L3502" s="19"/>
      <c r="R3502" s="19"/>
    </row>
    <row r="3503" spans="7:18" x14ac:dyDescent="0.25">
      <c r="G3503" s="19"/>
      <c r="J3503" s="19"/>
      <c r="K3503" s="19"/>
      <c r="L3503" s="19"/>
      <c r="R3503" s="19"/>
    </row>
    <row r="3504" spans="7:18" x14ac:dyDescent="0.25">
      <c r="G3504" s="19"/>
      <c r="J3504" s="19"/>
      <c r="K3504" s="19"/>
      <c r="L3504" s="19"/>
      <c r="R3504" s="19"/>
    </row>
    <row r="3505" spans="7:18" x14ac:dyDescent="0.25">
      <c r="G3505" s="19"/>
      <c r="J3505" s="19"/>
      <c r="K3505" s="19"/>
      <c r="L3505" s="19"/>
      <c r="R3505" s="19"/>
    </row>
    <row r="3506" spans="7:18" x14ac:dyDescent="0.25">
      <c r="G3506" s="19"/>
      <c r="J3506" s="19"/>
      <c r="K3506" s="19"/>
      <c r="L3506" s="19"/>
      <c r="R3506" s="19"/>
    </row>
    <row r="3507" spans="7:18" x14ac:dyDescent="0.25">
      <c r="G3507" s="19"/>
      <c r="J3507" s="19"/>
      <c r="K3507" s="19"/>
      <c r="L3507" s="19"/>
      <c r="R3507" s="19"/>
    </row>
    <row r="3508" spans="7:18" x14ac:dyDescent="0.25">
      <c r="G3508" s="19"/>
      <c r="J3508" s="19"/>
      <c r="K3508" s="19"/>
      <c r="L3508" s="19"/>
      <c r="R3508" s="19"/>
    </row>
    <row r="3509" spans="7:18" x14ac:dyDescent="0.25">
      <c r="G3509" s="19"/>
      <c r="J3509" s="19"/>
      <c r="K3509" s="19"/>
      <c r="L3509" s="19"/>
      <c r="R3509" s="19"/>
    </row>
    <row r="3510" spans="7:18" x14ac:dyDescent="0.25">
      <c r="G3510" s="19"/>
      <c r="J3510" s="19"/>
      <c r="K3510" s="19"/>
      <c r="L3510" s="19"/>
      <c r="R3510" s="19"/>
    </row>
    <row r="3511" spans="7:18" x14ac:dyDescent="0.25">
      <c r="G3511" s="19"/>
      <c r="J3511" s="19"/>
      <c r="K3511" s="19"/>
      <c r="L3511" s="19"/>
      <c r="R3511" s="19"/>
    </row>
    <row r="3512" spans="7:18" x14ac:dyDescent="0.25">
      <c r="G3512" s="19"/>
      <c r="J3512" s="19"/>
      <c r="K3512" s="19"/>
      <c r="L3512" s="19"/>
      <c r="R3512" s="19"/>
    </row>
    <row r="3513" spans="7:18" x14ac:dyDescent="0.25">
      <c r="G3513" s="19"/>
      <c r="J3513" s="19"/>
      <c r="K3513" s="19"/>
      <c r="L3513" s="19"/>
      <c r="R3513" s="19"/>
    </row>
    <row r="3514" spans="7:18" x14ac:dyDescent="0.25">
      <c r="G3514" s="19"/>
      <c r="J3514" s="19"/>
      <c r="K3514" s="19"/>
      <c r="L3514" s="19"/>
      <c r="R3514" s="19"/>
    </row>
    <row r="3515" spans="7:18" x14ac:dyDescent="0.25">
      <c r="G3515" s="19"/>
      <c r="J3515" s="19"/>
      <c r="K3515" s="19"/>
      <c r="L3515" s="19"/>
      <c r="R3515" s="19"/>
    </row>
    <row r="3516" spans="7:18" x14ac:dyDescent="0.25">
      <c r="G3516" s="19"/>
      <c r="J3516" s="19"/>
      <c r="K3516" s="19"/>
      <c r="L3516" s="19"/>
      <c r="R3516" s="19"/>
    </row>
    <row r="3517" spans="7:18" x14ac:dyDescent="0.25">
      <c r="G3517" s="19"/>
      <c r="J3517" s="19"/>
      <c r="K3517" s="19"/>
      <c r="L3517" s="19"/>
      <c r="R3517" s="19"/>
    </row>
    <row r="3518" spans="7:18" x14ac:dyDescent="0.25">
      <c r="G3518" s="19"/>
      <c r="J3518" s="19"/>
      <c r="K3518" s="19"/>
      <c r="L3518" s="19"/>
      <c r="R3518" s="19"/>
    </row>
    <row r="3519" spans="7:18" x14ac:dyDescent="0.25">
      <c r="G3519" s="19"/>
      <c r="J3519" s="19"/>
      <c r="K3519" s="19"/>
      <c r="L3519" s="19"/>
      <c r="R3519" s="19"/>
    </row>
    <row r="3520" spans="7:18" x14ac:dyDescent="0.25">
      <c r="G3520" s="19"/>
      <c r="J3520" s="19"/>
      <c r="K3520" s="19"/>
      <c r="L3520" s="19"/>
      <c r="R3520" s="19"/>
    </row>
    <row r="3521" spans="7:18" x14ac:dyDescent="0.25">
      <c r="G3521" s="19"/>
      <c r="J3521" s="19"/>
      <c r="K3521" s="19"/>
      <c r="L3521" s="19"/>
      <c r="R3521" s="19"/>
    </row>
    <row r="3522" spans="7:18" x14ac:dyDescent="0.25">
      <c r="G3522" s="19"/>
      <c r="J3522" s="19"/>
      <c r="K3522" s="19"/>
      <c r="L3522" s="19"/>
      <c r="R3522" s="19"/>
    </row>
    <row r="3523" spans="7:18" x14ac:dyDescent="0.25">
      <c r="G3523" s="19"/>
      <c r="J3523" s="19"/>
      <c r="K3523" s="19"/>
      <c r="L3523" s="19"/>
      <c r="R3523" s="19"/>
    </row>
    <row r="3524" spans="7:18" x14ac:dyDescent="0.25">
      <c r="G3524" s="19"/>
      <c r="J3524" s="19"/>
      <c r="K3524" s="19"/>
      <c r="L3524" s="19"/>
      <c r="R3524" s="19"/>
    </row>
    <row r="3525" spans="7:18" x14ac:dyDescent="0.25">
      <c r="G3525" s="19"/>
      <c r="J3525" s="19"/>
      <c r="K3525" s="19"/>
      <c r="L3525" s="19"/>
      <c r="R3525" s="19"/>
    </row>
    <row r="3526" spans="7:18" x14ac:dyDescent="0.25">
      <c r="G3526" s="19"/>
      <c r="J3526" s="19"/>
      <c r="K3526" s="19"/>
      <c r="L3526" s="19"/>
      <c r="R3526" s="19"/>
    </row>
    <row r="3527" spans="7:18" x14ac:dyDescent="0.25">
      <c r="G3527" s="19"/>
      <c r="J3527" s="19"/>
      <c r="K3527" s="19"/>
      <c r="L3527" s="19"/>
      <c r="R3527" s="19"/>
    </row>
    <row r="3528" spans="7:18" x14ac:dyDescent="0.25">
      <c r="G3528" s="19"/>
      <c r="J3528" s="19"/>
      <c r="K3528" s="19"/>
      <c r="L3528" s="19"/>
      <c r="R3528" s="19"/>
    </row>
    <row r="3529" spans="7:18" x14ac:dyDescent="0.25">
      <c r="G3529" s="19"/>
      <c r="J3529" s="19"/>
      <c r="K3529" s="19"/>
      <c r="L3529" s="19"/>
      <c r="R3529" s="19"/>
    </row>
    <row r="3530" spans="7:18" x14ac:dyDescent="0.25">
      <c r="G3530" s="19"/>
      <c r="J3530" s="19"/>
      <c r="K3530" s="19"/>
      <c r="L3530" s="19"/>
      <c r="R3530" s="19"/>
    </row>
    <row r="3531" spans="7:18" x14ac:dyDescent="0.25">
      <c r="G3531" s="19"/>
      <c r="J3531" s="19"/>
      <c r="K3531" s="19"/>
      <c r="L3531" s="19"/>
      <c r="R3531" s="19"/>
    </row>
    <row r="3532" spans="7:18" x14ac:dyDescent="0.25">
      <c r="G3532" s="19"/>
      <c r="J3532" s="19"/>
      <c r="K3532" s="19"/>
      <c r="L3532" s="19"/>
      <c r="R3532" s="19"/>
    </row>
    <row r="3533" spans="7:18" x14ac:dyDescent="0.25">
      <c r="G3533" s="19"/>
      <c r="J3533" s="19"/>
      <c r="K3533" s="19"/>
      <c r="L3533" s="19"/>
      <c r="R3533" s="19"/>
    </row>
    <row r="3534" spans="7:18" x14ac:dyDescent="0.25">
      <c r="G3534" s="19"/>
      <c r="J3534" s="19"/>
      <c r="K3534" s="19"/>
      <c r="L3534" s="19"/>
      <c r="R3534" s="19"/>
    </row>
    <row r="3535" spans="7:18" x14ac:dyDescent="0.25">
      <c r="G3535" s="19"/>
      <c r="J3535" s="19"/>
      <c r="K3535" s="19"/>
      <c r="L3535" s="19"/>
      <c r="R3535" s="19"/>
    </row>
    <row r="3536" spans="7:18" x14ac:dyDescent="0.25">
      <c r="G3536" s="19"/>
      <c r="J3536" s="19"/>
      <c r="K3536" s="19"/>
      <c r="L3536" s="19"/>
      <c r="R3536" s="19"/>
    </row>
    <row r="3537" spans="7:18" x14ac:dyDescent="0.25">
      <c r="G3537" s="19"/>
      <c r="J3537" s="19"/>
      <c r="K3537" s="19"/>
      <c r="L3537" s="19"/>
      <c r="R3537" s="19"/>
    </row>
    <row r="3538" spans="7:18" x14ac:dyDescent="0.25">
      <c r="G3538" s="19"/>
      <c r="J3538" s="19"/>
      <c r="K3538" s="19"/>
      <c r="L3538" s="19"/>
      <c r="R3538" s="19"/>
    </row>
    <row r="3539" spans="7:18" x14ac:dyDescent="0.25">
      <c r="G3539" s="19"/>
      <c r="J3539" s="19"/>
      <c r="K3539" s="19"/>
      <c r="L3539" s="19"/>
      <c r="R3539" s="19"/>
    </row>
    <row r="3540" spans="7:18" x14ac:dyDescent="0.25">
      <c r="G3540" s="19"/>
      <c r="J3540" s="19"/>
      <c r="K3540" s="19"/>
      <c r="L3540" s="19"/>
      <c r="R3540" s="19"/>
    </row>
    <row r="3541" spans="7:18" x14ac:dyDescent="0.25">
      <c r="G3541" s="19"/>
      <c r="J3541" s="19"/>
      <c r="K3541" s="19"/>
      <c r="L3541" s="19"/>
      <c r="R3541" s="19"/>
    </row>
    <row r="3542" spans="7:18" x14ac:dyDescent="0.25">
      <c r="G3542" s="19"/>
      <c r="J3542" s="19"/>
      <c r="K3542" s="19"/>
      <c r="L3542" s="19"/>
      <c r="R3542" s="19"/>
    </row>
    <row r="3543" spans="7:18" x14ac:dyDescent="0.25">
      <c r="G3543" s="19"/>
      <c r="J3543" s="19"/>
      <c r="K3543" s="19"/>
      <c r="L3543" s="19"/>
      <c r="R3543" s="19"/>
    </row>
    <row r="3544" spans="7:18" x14ac:dyDescent="0.25">
      <c r="G3544" s="19"/>
      <c r="J3544" s="19"/>
      <c r="K3544" s="19"/>
      <c r="L3544" s="19"/>
      <c r="R3544" s="19"/>
    </row>
    <row r="3545" spans="7:18" x14ac:dyDescent="0.25">
      <c r="G3545" s="19"/>
      <c r="J3545" s="19"/>
      <c r="K3545" s="19"/>
      <c r="L3545" s="19"/>
      <c r="R3545" s="19"/>
    </row>
    <row r="3546" spans="7:18" x14ac:dyDescent="0.25">
      <c r="G3546" s="19"/>
      <c r="J3546" s="19"/>
      <c r="K3546" s="19"/>
      <c r="L3546" s="19"/>
      <c r="R3546" s="19"/>
    </row>
    <row r="3547" spans="7:18" x14ac:dyDescent="0.25">
      <c r="G3547" s="19"/>
      <c r="J3547" s="19"/>
      <c r="K3547" s="19"/>
      <c r="L3547" s="19"/>
      <c r="R3547" s="19"/>
    </row>
    <row r="3548" spans="7:18" x14ac:dyDescent="0.25">
      <c r="G3548" s="19"/>
      <c r="J3548" s="19"/>
      <c r="K3548" s="19"/>
      <c r="L3548" s="19"/>
      <c r="R3548" s="19"/>
    </row>
    <row r="3549" spans="7:18" x14ac:dyDescent="0.25">
      <c r="G3549" s="19"/>
      <c r="J3549" s="19"/>
      <c r="K3549" s="19"/>
      <c r="L3549" s="19"/>
      <c r="R3549" s="19"/>
    </row>
    <row r="3550" spans="7:18" x14ac:dyDescent="0.25">
      <c r="G3550" s="19"/>
      <c r="J3550" s="19"/>
      <c r="K3550" s="19"/>
      <c r="L3550" s="19"/>
      <c r="R3550" s="19"/>
    </row>
    <row r="3551" spans="7:18" x14ac:dyDescent="0.25">
      <c r="G3551" s="19"/>
      <c r="J3551" s="19"/>
      <c r="K3551" s="19"/>
      <c r="L3551" s="19"/>
      <c r="R3551" s="19"/>
    </row>
    <row r="3552" spans="7:18" x14ac:dyDescent="0.25">
      <c r="G3552" s="19"/>
      <c r="J3552" s="19"/>
      <c r="K3552" s="19"/>
      <c r="L3552" s="19"/>
      <c r="R3552" s="19"/>
    </row>
    <row r="3553" spans="7:18" x14ac:dyDescent="0.25">
      <c r="G3553" s="19"/>
      <c r="J3553" s="19"/>
      <c r="K3553" s="19"/>
      <c r="L3553" s="19"/>
      <c r="R3553" s="19"/>
    </row>
    <row r="3554" spans="7:18" x14ac:dyDescent="0.25">
      <c r="G3554" s="19"/>
      <c r="J3554" s="19"/>
      <c r="K3554" s="19"/>
      <c r="L3554" s="19"/>
      <c r="R3554" s="19"/>
    </row>
    <row r="3555" spans="7:18" x14ac:dyDescent="0.25">
      <c r="G3555" s="19"/>
      <c r="J3555" s="19"/>
      <c r="K3555" s="19"/>
      <c r="L3555" s="19"/>
      <c r="R3555" s="19"/>
    </row>
    <row r="3556" spans="7:18" x14ac:dyDescent="0.25">
      <c r="G3556" s="19"/>
      <c r="J3556" s="19"/>
      <c r="K3556" s="19"/>
      <c r="L3556" s="19"/>
      <c r="R3556" s="19"/>
    </row>
    <row r="3557" spans="7:18" x14ac:dyDescent="0.25">
      <c r="G3557" s="19"/>
      <c r="J3557" s="19"/>
      <c r="K3557" s="19"/>
      <c r="L3557" s="19"/>
      <c r="R3557" s="19"/>
    </row>
    <row r="3558" spans="7:18" x14ac:dyDescent="0.25">
      <c r="G3558" s="19"/>
      <c r="J3558" s="19"/>
      <c r="K3558" s="19"/>
      <c r="L3558" s="19"/>
      <c r="R3558" s="19"/>
    </row>
    <row r="3559" spans="7:18" x14ac:dyDescent="0.25">
      <c r="G3559" s="19"/>
      <c r="J3559" s="19"/>
      <c r="K3559" s="19"/>
      <c r="L3559" s="19"/>
      <c r="R3559" s="19"/>
    </row>
    <row r="3560" spans="7:18" x14ac:dyDescent="0.25">
      <c r="G3560" s="19"/>
      <c r="J3560" s="19"/>
      <c r="K3560" s="19"/>
      <c r="L3560" s="19"/>
      <c r="R3560" s="19"/>
    </row>
    <row r="3561" spans="7:18" x14ac:dyDescent="0.25">
      <c r="G3561" s="19"/>
      <c r="J3561" s="19"/>
      <c r="K3561" s="19"/>
      <c r="L3561" s="19"/>
      <c r="R3561" s="19"/>
    </row>
    <row r="3562" spans="7:18" x14ac:dyDescent="0.25">
      <c r="G3562" s="19"/>
      <c r="J3562" s="19"/>
      <c r="K3562" s="19"/>
      <c r="L3562" s="19"/>
      <c r="R3562" s="19"/>
    </row>
    <row r="3563" spans="7:18" x14ac:dyDescent="0.25">
      <c r="G3563" s="19"/>
      <c r="J3563" s="19"/>
      <c r="K3563" s="19"/>
      <c r="L3563" s="19"/>
      <c r="R3563" s="19"/>
    </row>
    <row r="3564" spans="7:18" x14ac:dyDescent="0.25">
      <c r="G3564" s="19"/>
      <c r="J3564" s="19"/>
      <c r="K3564" s="19"/>
      <c r="L3564" s="19"/>
      <c r="R3564" s="19"/>
    </row>
    <row r="3565" spans="7:18" x14ac:dyDescent="0.25">
      <c r="G3565" s="19"/>
      <c r="J3565" s="19"/>
      <c r="K3565" s="19"/>
      <c r="L3565" s="19"/>
      <c r="R3565" s="19"/>
    </row>
    <row r="3566" spans="7:18" x14ac:dyDescent="0.25">
      <c r="G3566" s="19"/>
      <c r="J3566" s="19"/>
      <c r="K3566" s="19"/>
      <c r="L3566" s="19"/>
      <c r="R3566" s="19"/>
    </row>
    <row r="3567" spans="7:18" x14ac:dyDescent="0.25">
      <c r="G3567" s="19"/>
      <c r="J3567" s="19"/>
      <c r="K3567" s="19"/>
      <c r="L3567" s="19"/>
      <c r="R3567" s="19"/>
    </row>
    <row r="3568" spans="7:18" x14ac:dyDescent="0.25">
      <c r="G3568" s="19"/>
      <c r="J3568" s="19"/>
      <c r="K3568" s="19"/>
      <c r="L3568" s="19"/>
      <c r="R3568" s="19"/>
    </row>
    <row r="3569" spans="7:18" x14ac:dyDescent="0.25">
      <c r="G3569" s="19"/>
      <c r="J3569" s="19"/>
      <c r="K3569" s="19"/>
      <c r="L3569" s="19"/>
      <c r="R3569" s="19"/>
    </row>
    <row r="3570" spans="7:18" x14ac:dyDescent="0.25">
      <c r="G3570" s="19"/>
      <c r="J3570" s="19"/>
      <c r="K3570" s="19"/>
      <c r="L3570" s="19"/>
      <c r="R3570" s="19"/>
    </row>
    <row r="3571" spans="7:18" x14ac:dyDescent="0.25">
      <c r="G3571" s="19"/>
      <c r="J3571" s="19"/>
      <c r="K3571" s="19"/>
      <c r="L3571" s="19"/>
      <c r="R3571" s="19"/>
    </row>
    <row r="3572" spans="7:18" x14ac:dyDescent="0.25">
      <c r="G3572" s="19"/>
      <c r="J3572" s="19"/>
      <c r="K3572" s="19"/>
      <c r="L3572" s="19"/>
      <c r="R3572" s="19"/>
    </row>
    <row r="3573" spans="7:18" x14ac:dyDescent="0.25">
      <c r="G3573" s="19"/>
      <c r="J3573" s="19"/>
      <c r="K3573" s="19"/>
      <c r="L3573" s="19"/>
      <c r="R3573" s="19"/>
    </row>
    <row r="3574" spans="7:18" x14ac:dyDescent="0.25">
      <c r="G3574" s="19"/>
      <c r="J3574" s="19"/>
      <c r="K3574" s="19"/>
      <c r="L3574" s="19"/>
      <c r="R3574" s="19"/>
    </row>
    <row r="3575" spans="7:18" x14ac:dyDescent="0.25">
      <c r="G3575" s="19"/>
      <c r="J3575" s="19"/>
      <c r="K3575" s="19"/>
      <c r="L3575" s="19"/>
      <c r="R3575" s="19"/>
    </row>
    <row r="3576" spans="7:18" x14ac:dyDescent="0.25">
      <c r="G3576" s="19"/>
      <c r="J3576" s="19"/>
      <c r="K3576" s="19"/>
      <c r="L3576" s="19"/>
      <c r="R3576" s="19"/>
    </row>
    <row r="3577" spans="7:18" x14ac:dyDescent="0.25">
      <c r="G3577" s="19"/>
      <c r="J3577" s="19"/>
      <c r="K3577" s="19"/>
      <c r="L3577" s="19"/>
      <c r="R3577" s="19"/>
    </row>
    <row r="3578" spans="7:18" x14ac:dyDescent="0.25">
      <c r="G3578" s="19"/>
      <c r="J3578" s="19"/>
      <c r="K3578" s="19"/>
      <c r="L3578" s="19"/>
      <c r="R3578" s="19"/>
    </row>
    <row r="3579" spans="7:18" x14ac:dyDescent="0.25">
      <c r="G3579" s="19"/>
      <c r="J3579" s="19"/>
      <c r="K3579" s="19"/>
      <c r="L3579" s="19"/>
      <c r="R3579" s="19"/>
    </row>
    <row r="3580" spans="7:18" x14ac:dyDescent="0.25">
      <c r="G3580" s="19"/>
      <c r="J3580" s="19"/>
      <c r="K3580" s="19"/>
      <c r="L3580" s="19"/>
      <c r="R3580" s="19"/>
    </row>
    <row r="3581" spans="7:18" x14ac:dyDescent="0.25">
      <c r="G3581" s="19"/>
      <c r="J3581" s="19"/>
      <c r="K3581" s="19"/>
      <c r="L3581" s="19"/>
      <c r="R3581" s="19"/>
    </row>
    <row r="3582" spans="7:18" x14ac:dyDescent="0.25">
      <c r="G3582" s="19"/>
      <c r="J3582" s="19"/>
      <c r="K3582" s="19"/>
      <c r="L3582" s="19"/>
      <c r="R3582" s="19"/>
    </row>
    <row r="3583" spans="7:18" x14ac:dyDescent="0.25">
      <c r="G3583" s="19"/>
      <c r="J3583" s="19"/>
      <c r="K3583" s="19"/>
      <c r="L3583" s="19"/>
      <c r="R3583" s="19"/>
    </row>
    <row r="3584" spans="7:18" x14ac:dyDescent="0.25">
      <c r="G3584" s="19"/>
      <c r="J3584" s="19"/>
      <c r="K3584" s="19"/>
      <c r="L3584" s="19"/>
      <c r="R3584" s="19"/>
    </row>
    <row r="3585" spans="7:18" x14ac:dyDescent="0.25">
      <c r="G3585" s="19"/>
      <c r="J3585" s="19"/>
      <c r="K3585" s="19"/>
      <c r="L3585" s="19"/>
      <c r="R3585" s="19"/>
    </row>
    <row r="3586" spans="7:18" x14ac:dyDescent="0.25">
      <c r="G3586" s="19"/>
      <c r="J3586" s="19"/>
      <c r="K3586" s="19"/>
      <c r="L3586" s="19"/>
      <c r="R3586" s="19"/>
    </row>
    <row r="3587" spans="7:18" x14ac:dyDescent="0.25">
      <c r="G3587" s="19"/>
      <c r="J3587" s="19"/>
      <c r="K3587" s="19"/>
      <c r="L3587" s="19"/>
      <c r="R3587" s="19"/>
    </row>
    <row r="3588" spans="7:18" x14ac:dyDescent="0.25">
      <c r="G3588" s="19"/>
      <c r="J3588" s="19"/>
      <c r="K3588" s="19"/>
      <c r="L3588" s="19"/>
      <c r="R3588" s="19"/>
    </row>
    <row r="3589" spans="7:18" x14ac:dyDescent="0.25">
      <c r="G3589" s="19"/>
      <c r="J3589" s="19"/>
      <c r="K3589" s="19"/>
      <c r="L3589" s="19"/>
      <c r="R3589" s="19"/>
    </row>
    <row r="3590" spans="7:18" x14ac:dyDescent="0.25">
      <c r="G3590" s="19"/>
      <c r="J3590" s="19"/>
      <c r="K3590" s="19"/>
      <c r="L3590" s="19"/>
      <c r="R3590" s="19"/>
    </row>
    <row r="3591" spans="7:18" x14ac:dyDescent="0.25">
      <c r="G3591" s="19"/>
      <c r="J3591" s="19"/>
      <c r="K3591" s="19"/>
      <c r="L3591" s="19"/>
      <c r="R3591" s="19"/>
    </row>
    <row r="3592" spans="7:18" x14ac:dyDescent="0.25">
      <c r="G3592" s="19"/>
      <c r="J3592" s="19"/>
      <c r="K3592" s="19"/>
      <c r="L3592" s="19"/>
      <c r="R3592" s="19"/>
    </row>
    <row r="3593" spans="7:18" x14ac:dyDescent="0.25">
      <c r="G3593" s="19"/>
      <c r="J3593" s="19"/>
      <c r="K3593" s="19"/>
      <c r="L3593" s="19"/>
      <c r="R3593" s="19"/>
    </row>
    <row r="3594" spans="7:18" x14ac:dyDescent="0.25">
      <c r="G3594" s="19"/>
      <c r="J3594" s="19"/>
      <c r="K3594" s="19"/>
      <c r="L3594" s="19"/>
      <c r="R3594" s="19"/>
    </row>
    <row r="3595" spans="7:18" x14ac:dyDescent="0.25">
      <c r="G3595" s="19"/>
      <c r="J3595" s="19"/>
      <c r="K3595" s="19"/>
      <c r="L3595" s="19"/>
      <c r="R3595" s="19"/>
    </row>
    <row r="3596" spans="7:18" x14ac:dyDescent="0.25">
      <c r="G3596" s="19"/>
      <c r="J3596" s="19"/>
      <c r="K3596" s="19"/>
      <c r="L3596" s="19"/>
      <c r="R3596" s="19"/>
    </row>
    <row r="3597" spans="7:18" x14ac:dyDescent="0.25">
      <c r="G3597" s="19"/>
      <c r="J3597" s="19"/>
      <c r="K3597" s="19"/>
      <c r="L3597" s="19"/>
      <c r="R3597" s="19"/>
    </row>
    <row r="3598" spans="7:18" x14ac:dyDescent="0.25">
      <c r="G3598" s="19"/>
      <c r="J3598" s="19"/>
      <c r="K3598" s="19"/>
      <c r="L3598" s="19"/>
      <c r="R3598" s="19"/>
    </row>
    <row r="3599" spans="7:18" x14ac:dyDescent="0.25">
      <c r="G3599" s="19"/>
      <c r="J3599" s="19"/>
      <c r="K3599" s="19"/>
      <c r="L3599" s="19"/>
      <c r="R3599" s="19"/>
    </row>
    <row r="3600" spans="7:18" x14ac:dyDescent="0.25">
      <c r="G3600" s="19"/>
      <c r="J3600" s="19"/>
      <c r="K3600" s="19"/>
      <c r="L3600" s="19"/>
      <c r="R3600" s="19"/>
    </row>
    <row r="3601" spans="7:18" x14ac:dyDescent="0.25">
      <c r="G3601" s="19"/>
      <c r="J3601" s="19"/>
      <c r="K3601" s="19"/>
      <c r="L3601" s="19"/>
      <c r="R3601" s="19"/>
    </row>
    <row r="3602" spans="7:18" x14ac:dyDescent="0.25">
      <c r="G3602" s="19"/>
      <c r="J3602" s="19"/>
      <c r="K3602" s="19"/>
      <c r="L3602" s="19"/>
      <c r="R3602" s="19"/>
    </row>
    <row r="3603" spans="7:18" x14ac:dyDescent="0.25">
      <c r="G3603" s="19"/>
      <c r="J3603" s="19"/>
      <c r="K3603" s="19"/>
      <c r="L3603" s="19"/>
      <c r="R3603" s="19"/>
    </row>
    <row r="3604" spans="7:18" x14ac:dyDescent="0.25">
      <c r="G3604" s="19"/>
      <c r="J3604" s="19"/>
      <c r="K3604" s="19"/>
      <c r="L3604" s="19"/>
      <c r="R3604" s="19"/>
    </row>
    <row r="3605" spans="7:18" x14ac:dyDescent="0.25">
      <c r="G3605" s="19"/>
      <c r="J3605" s="19"/>
      <c r="K3605" s="19"/>
      <c r="L3605" s="19"/>
      <c r="R3605" s="19"/>
    </row>
    <row r="3606" spans="7:18" x14ac:dyDescent="0.25">
      <c r="G3606" s="19"/>
      <c r="J3606" s="19"/>
      <c r="K3606" s="19"/>
      <c r="L3606" s="19"/>
      <c r="R3606" s="19"/>
    </row>
    <row r="3607" spans="7:18" x14ac:dyDescent="0.25">
      <c r="G3607" s="19"/>
      <c r="J3607" s="19"/>
      <c r="K3607" s="19"/>
      <c r="L3607" s="19"/>
      <c r="R3607" s="19"/>
    </row>
    <row r="3608" spans="7:18" x14ac:dyDescent="0.25">
      <c r="G3608" s="19"/>
      <c r="J3608" s="19"/>
      <c r="K3608" s="19"/>
      <c r="L3608" s="19"/>
      <c r="R3608" s="19"/>
    </row>
    <row r="3609" spans="7:18" x14ac:dyDescent="0.25">
      <c r="G3609" s="19"/>
      <c r="J3609" s="19"/>
      <c r="K3609" s="19"/>
      <c r="L3609" s="19"/>
      <c r="R3609" s="19"/>
    </row>
    <row r="3610" spans="7:18" x14ac:dyDescent="0.25">
      <c r="G3610" s="19"/>
      <c r="J3610" s="19"/>
      <c r="K3610" s="19"/>
      <c r="L3610" s="19"/>
      <c r="R3610" s="19"/>
    </row>
    <row r="3611" spans="7:18" x14ac:dyDescent="0.25">
      <c r="G3611" s="19"/>
      <c r="J3611" s="19"/>
      <c r="K3611" s="19"/>
      <c r="L3611" s="19"/>
      <c r="R3611" s="19"/>
    </row>
    <row r="3612" spans="7:18" x14ac:dyDescent="0.25">
      <c r="G3612" s="19"/>
      <c r="J3612" s="19"/>
      <c r="K3612" s="19"/>
      <c r="L3612" s="19"/>
      <c r="R3612" s="19"/>
    </row>
    <row r="3613" spans="7:18" x14ac:dyDescent="0.25">
      <c r="G3613" s="19"/>
      <c r="J3613" s="19"/>
      <c r="K3613" s="19"/>
      <c r="L3613" s="19"/>
      <c r="R3613" s="19"/>
    </row>
    <row r="3614" spans="7:18" x14ac:dyDescent="0.25">
      <c r="G3614" s="19"/>
      <c r="J3614" s="19"/>
      <c r="K3614" s="19"/>
      <c r="L3614" s="19"/>
      <c r="R3614" s="19"/>
    </row>
    <row r="3615" spans="7:18" x14ac:dyDescent="0.25">
      <c r="G3615" s="19"/>
      <c r="J3615" s="19"/>
      <c r="K3615" s="19"/>
      <c r="L3615" s="19"/>
      <c r="R3615" s="19"/>
    </row>
    <row r="3616" spans="7:18" x14ac:dyDescent="0.25">
      <c r="G3616" s="19"/>
      <c r="J3616" s="19"/>
      <c r="K3616" s="19"/>
      <c r="L3616" s="19"/>
      <c r="R3616" s="19"/>
    </row>
    <row r="3617" spans="7:18" x14ac:dyDescent="0.25">
      <c r="G3617" s="19"/>
      <c r="J3617" s="19"/>
      <c r="K3617" s="19"/>
      <c r="L3617" s="19"/>
      <c r="R3617" s="19"/>
    </row>
    <row r="3618" spans="7:18" x14ac:dyDescent="0.25">
      <c r="G3618" s="19"/>
      <c r="J3618" s="19"/>
      <c r="K3618" s="19"/>
      <c r="L3618" s="19"/>
      <c r="R3618" s="19"/>
    </row>
    <row r="3619" spans="7:18" x14ac:dyDescent="0.25">
      <c r="G3619" s="19"/>
      <c r="J3619" s="19"/>
      <c r="K3619" s="19"/>
      <c r="L3619" s="19"/>
      <c r="R3619" s="19"/>
    </row>
    <row r="3620" spans="7:18" x14ac:dyDescent="0.25">
      <c r="G3620" s="19"/>
      <c r="J3620" s="19"/>
      <c r="K3620" s="19"/>
      <c r="L3620" s="19"/>
      <c r="R3620" s="19"/>
    </row>
    <row r="3621" spans="7:18" x14ac:dyDescent="0.25">
      <c r="G3621" s="19"/>
      <c r="J3621" s="19"/>
      <c r="K3621" s="19"/>
      <c r="L3621" s="19"/>
      <c r="R3621" s="19"/>
    </row>
    <row r="3622" spans="7:18" x14ac:dyDescent="0.25">
      <c r="G3622" s="19"/>
      <c r="J3622" s="19"/>
      <c r="K3622" s="19"/>
      <c r="L3622" s="19"/>
      <c r="R3622" s="19"/>
    </row>
    <row r="3623" spans="7:18" x14ac:dyDescent="0.25">
      <c r="G3623" s="19"/>
      <c r="J3623" s="19"/>
      <c r="K3623" s="19"/>
      <c r="L3623" s="19"/>
      <c r="R3623" s="19"/>
    </row>
    <row r="3624" spans="7:18" x14ac:dyDescent="0.25">
      <c r="G3624" s="19"/>
      <c r="J3624" s="19"/>
      <c r="K3624" s="19"/>
      <c r="L3624" s="19"/>
      <c r="R3624" s="19"/>
    </row>
    <row r="3625" spans="7:18" x14ac:dyDescent="0.25">
      <c r="G3625" s="19"/>
      <c r="J3625" s="19"/>
      <c r="K3625" s="19"/>
      <c r="L3625" s="19"/>
      <c r="R3625" s="19"/>
    </row>
    <row r="3626" spans="7:18" x14ac:dyDescent="0.25">
      <c r="G3626" s="19"/>
      <c r="J3626" s="19"/>
      <c r="K3626" s="19"/>
      <c r="L3626" s="19"/>
      <c r="R3626" s="19"/>
    </row>
    <row r="3627" spans="7:18" x14ac:dyDescent="0.25">
      <c r="G3627" s="19"/>
      <c r="J3627" s="19"/>
      <c r="K3627" s="19"/>
      <c r="L3627" s="19"/>
      <c r="R3627" s="19"/>
    </row>
    <row r="3628" spans="7:18" x14ac:dyDescent="0.25">
      <c r="G3628" s="19"/>
      <c r="J3628" s="19"/>
      <c r="K3628" s="19"/>
      <c r="L3628" s="19"/>
      <c r="R3628" s="19"/>
    </row>
    <row r="3629" spans="7:18" x14ac:dyDescent="0.25">
      <c r="G3629" s="19"/>
      <c r="J3629" s="19"/>
      <c r="K3629" s="19"/>
      <c r="L3629" s="19"/>
      <c r="R3629" s="19"/>
    </row>
    <row r="3630" spans="7:18" x14ac:dyDescent="0.25">
      <c r="G3630" s="19"/>
      <c r="J3630" s="19"/>
      <c r="K3630" s="19"/>
      <c r="L3630" s="19"/>
      <c r="R3630" s="19"/>
    </row>
    <row r="3631" spans="7:18" x14ac:dyDescent="0.25">
      <c r="G3631" s="19"/>
      <c r="J3631" s="19"/>
      <c r="K3631" s="19"/>
      <c r="L3631" s="19"/>
      <c r="R3631" s="19"/>
    </row>
    <row r="3632" spans="7:18" x14ac:dyDescent="0.25">
      <c r="G3632" s="19"/>
      <c r="J3632" s="19"/>
      <c r="K3632" s="19"/>
      <c r="L3632" s="19"/>
      <c r="R3632" s="19"/>
    </row>
    <row r="3633" spans="7:18" x14ac:dyDescent="0.25">
      <c r="G3633" s="19"/>
      <c r="J3633" s="19"/>
      <c r="K3633" s="19"/>
      <c r="L3633" s="19"/>
      <c r="R3633" s="19"/>
    </row>
    <row r="3634" spans="7:18" x14ac:dyDescent="0.25">
      <c r="G3634" s="19"/>
      <c r="J3634" s="19"/>
      <c r="K3634" s="19"/>
      <c r="L3634" s="19"/>
      <c r="R3634" s="19"/>
    </row>
    <row r="3635" spans="7:18" x14ac:dyDescent="0.25">
      <c r="G3635" s="19"/>
      <c r="J3635" s="19"/>
      <c r="K3635" s="19"/>
      <c r="L3635" s="19"/>
      <c r="R3635" s="19"/>
    </row>
    <row r="3636" spans="7:18" x14ac:dyDescent="0.25">
      <c r="G3636" s="19"/>
      <c r="J3636" s="19"/>
      <c r="K3636" s="19"/>
      <c r="L3636" s="19"/>
      <c r="R3636" s="19"/>
    </row>
    <row r="3637" spans="7:18" x14ac:dyDescent="0.25">
      <c r="G3637" s="19"/>
      <c r="J3637" s="19"/>
      <c r="K3637" s="19"/>
      <c r="L3637" s="19"/>
      <c r="R3637" s="19"/>
    </row>
    <row r="3638" spans="7:18" x14ac:dyDescent="0.25">
      <c r="G3638" s="19"/>
      <c r="J3638" s="19"/>
      <c r="K3638" s="19"/>
      <c r="L3638" s="19"/>
      <c r="R3638" s="19"/>
    </row>
    <row r="3639" spans="7:18" x14ac:dyDescent="0.25">
      <c r="G3639" s="19"/>
      <c r="J3639" s="19"/>
      <c r="K3639" s="19"/>
      <c r="L3639" s="19"/>
      <c r="R3639" s="19"/>
    </row>
    <row r="3640" spans="7:18" x14ac:dyDescent="0.25">
      <c r="G3640" s="19"/>
      <c r="J3640" s="19"/>
      <c r="K3640" s="19"/>
      <c r="L3640" s="19"/>
      <c r="R3640" s="19"/>
    </row>
    <row r="3641" spans="7:18" x14ac:dyDescent="0.25">
      <c r="G3641" s="19"/>
      <c r="J3641" s="19"/>
      <c r="K3641" s="19"/>
      <c r="L3641" s="19"/>
      <c r="R3641" s="19"/>
    </row>
    <row r="3642" spans="7:18" x14ac:dyDescent="0.25">
      <c r="G3642" s="19"/>
      <c r="J3642" s="19"/>
      <c r="K3642" s="19"/>
      <c r="L3642" s="19"/>
      <c r="R3642" s="19"/>
    </row>
    <row r="3643" spans="7:18" x14ac:dyDescent="0.25">
      <c r="G3643" s="19"/>
      <c r="J3643" s="19"/>
      <c r="K3643" s="19"/>
      <c r="L3643" s="19"/>
      <c r="R3643" s="19"/>
    </row>
    <row r="3644" spans="7:18" x14ac:dyDescent="0.25">
      <c r="G3644" s="19"/>
      <c r="J3644" s="19"/>
      <c r="K3644" s="19"/>
      <c r="L3644" s="19"/>
      <c r="R3644" s="19"/>
    </row>
    <row r="3645" spans="7:18" x14ac:dyDescent="0.25">
      <c r="G3645" s="19"/>
      <c r="J3645" s="19"/>
      <c r="K3645" s="19"/>
      <c r="L3645" s="19"/>
      <c r="R3645" s="19"/>
    </row>
    <row r="3646" spans="7:18" x14ac:dyDescent="0.25">
      <c r="G3646" s="19"/>
      <c r="J3646" s="19"/>
      <c r="K3646" s="19"/>
      <c r="L3646" s="19"/>
      <c r="R3646" s="19"/>
    </row>
    <row r="3647" spans="7:18" x14ac:dyDescent="0.25">
      <c r="G3647" s="19"/>
      <c r="J3647" s="19"/>
      <c r="K3647" s="19"/>
      <c r="L3647" s="19"/>
      <c r="R3647" s="19"/>
    </row>
    <row r="3648" spans="7:18" x14ac:dyDescent="0.25">
      <c r="G3648" s="19"/>
      <c r="J3648" s="19"/>
      <c r="K3648" s="19"/>
      <c r="L3648" s="19"/>
      <c r="R3648" s="19"/>
    </row>
    <row r="3649" spans="7:18" x14ac:dyDescent="0.25">
      <c r="G3649" s="19"/>
      <c r="J3649" s="19"/>
      <c r="K3649" s="19"/>
      <c r="L3649" s="19"/>
      <c r="R3649" s="19"/>
    </row>
    <row r="3650" spans="7:18" x14ac:dyDescent="0.25">
      <c r="G3650" s="19"/>
      <c r="J3650" s="19"/>
      <c r="K3650" s="19"/>
      <c r="L3650" s="19"/>
      <c r="R3650" s="19"/>
    </row>
    <row r="3651" spans="7:18" x14ac:dyDescent="0.25">
      <c r="G3651" s="19"/>
      <c r="J3651" s="19"/>
      <c r="K3651" s="19"/>
      <c r="L3651" s="19"/>
      <c r="R3651" s="19"/>
    </row>
    <row r="3652" spans="7:18" x14ac:dyDescent="0.25">
      <c r="G3652" s="19"/>
      <c r="J3652" s="19"/>
      <c r="K3652" s="19"/>
      <c r="L3652" s="19"/>
      <c r="R3652" s="19"/>
    </row>
    <row r="3653" spans="7:18" x14ac:dyDescent="0.25">
      <c r="G3653" s="19"/>
      <c r="J3653" s="19"/>
      <c r="K3653" s="19"/>
      <c r="L3653" s="19"/>
      <c r="R3653" s="19"/>
    </row>
    <row r="3654" spans="7:18" x14ac:dyDescent="0.25">
      <c r="G3654" s="19"/>
      <c r="J3654" s="19"/>
      <c r="K3654" s="19"/>
      <c r="L3654" s="19"/>
      <c r="R3654" s="19"/>
    </row>
    <row r="3655" spans="7:18" x14ac:dyDescent="0.25">
      <c r="G3655" s="19"/>
      <c r="J3655" s="19"/>
      <c r="K3655" s="19"/>
      <c r="L3655" s="19"/>
      <c r="R3655" s="19"/>
    </row>
    <row r="3656" spans="7:18" x14ac:dyDescent="0.25">
      <c r="G3656" s="19"/>
      <c r="J3656" s="19"/>
      <c r="K3656" s="19"/>
      <c r="L3656" s="19"/>
      <c r="R3656" s="19"/>
    </row>
    <row r="3657" spans="7:18" x14ac:dyDescent="0.25">
      <c r="G3657" s="19"/>
      <c r="J3657" s="19"/>
      <c r="K3657" s="19"/>
      <c r="L3657" s="19"/>
      <c r="R3657" s="19"/>
    </row>
    <row r="3658" spans="7:18" x14ac:dyDescent="0.25">
      <c r="G3658" s="19"/>
      <c r="J3658" s="19"/>
      <c r="K3658" s="19"/>
      <c r="L3658" s="19"/>
      <c r="R3658" s="19"/>
    </row>
    <row r="3659" spans="7:18" x14ac:dyDescent="0.25">
      <c r="G3659" s="19"/>
      <c r="J3659" s="19"/>
      <c r="K3659" s="19"/>
      <c r="L3659" s="19"/>
      <c r="R3659" s="19"/>
    </row>
    <row r="3660" spans="7:18" x14ac:dyDescent="0.25">
      <c r="G3660" s="19"/>
      <c r="J3660" s="19"/>
      <c r="K3660" s="19"/>
      <c r="L3660" s="19"/>
      <c r="R3660" s="19"/>
    </row>
    <row r="3661" spans="7:18" x14ac:dyDescent="0.25">
      <c r="G3661" s="19"/>
      <c r="J3661" s="19"/>
      <c r="K3661" s="19"/>
      <c r="L3661" s="19"/>
      <c r="R3661" s="19"/>
    </row>
    <row r="3662" spans="7:18" x14ac:dyDescent="0.25">
      <c r="G3662" s="19"/>
      <c r="J3662" s="19"/>
      <c r="K3662" s="19"/>
      <c r="L3662" s="19"/>
      <c r="R3662" s="19"/>
    </row>
    <row r="3663" spans="7:18" x14ac:dyDescent="0.25">
      <c r="G3663" s="19"/>
      <c r="J3663" s="19"/>
      <c r="K3663" s="19"/>
      <c r="L3663" s="19"/>
      <c r="R3663" s="19"/>
    </row>
    <row r="3664" spans="7:18" x14ac:dyDescent="0.25">
      <c r="G3664" s="19"/>
      <c r="J3664" s="19"/>
      <c r="K3664" s="19"/>
      <c r="L3664" s="19"/>
      <c r="R3664" s="19"/>
    </row>
    <row r="3665" spans="7:18" x14ac:dyDescent="0.25">
      <c r="G3665" s="19"/>
      <c r="J3665" s="19"/>
      <c r="K3665" s="19"/>
      <c r="L3665" s="19"/>
      <c r="R3665" s="19"/>
    </row>
    <row r="3666" spans="7:18" x14ac:dyDescent="0.25">
      <c r="G3666" s="19"/>
      <c r="J3666" s="19"/>
      <c r="K3666" s="19"/>
      <c r="L3666" s="19"/>
      <c r="R3666" s="19"/>
    </row>
    <row r="3667" spans="7:18" x14ac:dyDescent="0.25">
      <c r="G3667" s="19"/>
      <c r="J3667" s="19"/>
      <c r="K3667" s="19"/>
      <c r="L3667" s="19"/>
      <c r="R3667" s="19"/>
    </row>
    <row r="3668" spans="7:18" x14ac:dyDescent="0.25">
      <c r="G3668" s="19"/>
      <c r="J3668" s="19"/>
      <c r="K3668" s="19"/>
      <c r="L3668" s="19"/>
      <c r="R3668" s="19"/>
    </row>
    <row r="3669" spans="7:18" x14ac:dyDescent="0.25">
      <c r="G3669" s="19"/>
      <c r="J3669" s="19"/>
      <c r="K3669" s="19"/>
      <c r="L3669" s="19"/>
      <c r="R3669" s="19"/>
    </row>
    <row r="3670" spans="7:18" x14ac:dyDescent="0.25">
      <c r="G3670" s="19"/>
      <c r="J3670" s="19"/>
      <c r="K3670" s="19"/>
      <c r="L3670" s="19"/>
      <c r="R3670" s="19"/>
    </row>
    <row r="3671" spans="7:18" x14ac:dyDescent="0.25">
      <c r="G3671" s="19"/>
      <c r="J3671" s="19"/>
      <c r="K3671" s="19"/>
      <c r="L3671" s="19"/>
      <c r="R3671" s="19"/>
    </row>
    <row r="3672" spans="7:18" x14ac:dyDescent="0.25">
      <c r="G3672" s="19"/>
      <c r="J3672" s="19"/>
      <c r="K3672" s="19"/>
      <c r="L3672" s="19"/>
      <c r="R3672" s="19"/>
    </row>
    <row r="3673" spans="7:18" x14ac:dyDescent="0.25">
      <c r="G3673" s="19"/>
      <c r="J3673" s="19"/>
      <c r="K3673" s="19"/>
      <c r="L3673" s="19"/>
      <c r="R3673" s="19"/>
    </row>
    <row r="3674" spans="7:18" x14ac:dyDescent="0.25">
      <c r="G3674" s="19"/>
      <c r="J3674" s="19"/>
      <c r="K3674" s="19"/>
      <c r="L3674" s="19"/>
      <c r="R3674" s="19"/>
    </row>
    <row r="3675" spans="7:18" x14ac:dyDescent="0.25">
      <c r="G3675" s="19"/>
      <c r="J3675" s="19"/>
      <c r="K3675" s="19"/>
      <c r="L3675" s="19"/>
      <c r="R3675" s="19"/>
    </row>
    <row r="3676" spans="7:18" x14ac:dyDescent="0.25">
      <c r="G3676" s="19"/>
      <c r="J3676" s="19"/>
      <c r="K3676" s="19"/>
      <c r="L3676" s="19"/>
      <c r="R3676" s="19"/>
    </row>
    <row r="3677" spans="7:18" x14ac:dyDescent="0.25">
      <c r="G3677" s="19"/>
      <c r="J3677" s="19"/>
      <c r="K3677" s="19"/>
      <c r="L3677" s="19"/>
      <c r="R3677" s="19"/>
    </row>
    <row r="3678" spans="7:18" x14ac:dyDescent="0.25">
      <c r="G3678" s="19"/>
      <c r="J3678" s="19"/>
      <c r="K3678" s="19"/>
      <c r="L3678" s="19"/>
      <c r="R3678" s="19"/>
    </row>
    <row r="3679" spans="7:18" x14ac:dyDescent="0.25">
      <c r="G3679" s="19"/>
      <c r="J3679" s="19"/>
      <c r="K3679" s="19"/>
      <c r="L3679" s="19"/>
      <c r="R3679" s="19"/>
    </row>
    <row r="3680" spans="7:18" x14ac:dyDescent="0.25">
      <c r="G3680" s="19"/>
      <c r="J3680" s="19"/>
      <c r="K3680" s="19"/>
      <c r="L3680" s="19"/>
      <c r="R3680" s="19"/>
    </row>
    <row r="3681" spans="7:18" x14ac:dyDescent="0.25">
      <c r="G3681" s="19"/>
      <c r="J3681" s="19"/>
      <c r="K3681" s="19"/>
      <c r="L3681" s="19"/>
      <c r="R3681" s="19"/>
    </row>
    <row r="3682" spans="7:18" x14ac:dyDescent="0.25">
      <c r="G3682" s="19"/>
      <c r="J3682" s="19"/>
      <c r="K3682" s="19"/>
      <c r="L3682" s="19"/>
      <c r="R3682" s="19"/>
    </row>
    <row r="3683" spans="7:18" x14ac:dyDescent="0.25">
      <c r="G3683" s="19"/>
      <c r="J3683" s="19"/>
      <c r="K3683" s="19"/>
      <c r="L3683" s="19"/>
      <c r="R3683" s="19"/>
    </row>
    <row r="3684" spans="7:18" x14ac:dyDescent="0.25">
      <c r="G3684" s="19"/>
      <c r="J3684" s="19"/>
      <c r="K3684" s="19"/>
      <c r="L3684" s="19"/>
      <c r="R3684" s="19"/>
    </row>
    <row r="3685" spans="7:18" x14ac:dyDescent="0.25">
      <c r="G3685" s="19"/>
      <c r="J3685" s="19"/>
      <c r="K3685" s="19"/>
      <c r="L3685" s="19"/>
      <c r="R3685" s="19"/>
    </row>
    <row r="3686" spans="7:18" x14ac:dyDescent="0.25">
      <c r="G3686" s="19"/>
      <c r="J3686" s="19"/>
      <c r="K3686" s="19"/>
      <c r="L3686" s="19"/>
      <c r="R3686" s="19"/>
    </row>
    <row r="3687" spans="7:18" x14ac:dyDescent="0.25">
      <c r="G3687" s="19"/>
      <c r="J3687" s="19"/>
      <c r="K3687" s="19"/>
      <c r="L3687" s="19"/>
      <c r="R3687" s="19"/>
    </row>
    <row r="3688" spans="7:18" x14ac:dyDescent="0.25">
      <c r="G3688" s="19"/>
      <c r="J3688" s="19"/>
      <c r="K3688" s="19"/>
      <c r="L3688" s="19"/>
      <c r="R3688" s="19"/>
    </row>
    <row r="3689" spans="7:18" x14ac:dyDescent="0.25">
      <c r="G3689" s="19"/>
      <c r="J3689" s="19"/>
      <c r="K3689" s="19"/>
      <c r="L3689" s="19"/>
      <c r="R3689" s="19"/>
    </row>
    <row r="3690" spans="7:18" x14ac:dyDescent="0.25">
      <c r="G3690" s="19"/>
      <c r="J3690" s="19"/>
      <c r="K3690" s="19"/>
      <c r="L3690" s="19"/>
      <c r="R3690" s="19"/>
    </row>
    <row r="3691" spans="7:18" x14ac:dyDescent="0.25">
      <c r="G3691" s="19"/>
      <c r="J3691" s="19"/>
      <c r="K3691" s="19"/>
      <c r="L3691" s="19"/>
      <c r="R3691" s="19"/>
    </row>
    <row r="3692" spans="7:18" x14ac:dyDescent="0.25">
      <c r="G3692" s="19"/>
      <c r="J3692" s="19"/>
      <c r="K3692" s="19"/>
      <c r="L3692" s="19"/>
      <c r="R3692" s="19"/>
    </row>
    <row r="3693" spans="7:18" x14ac:dyDescent="0.25">
      <c r="G3693" s="19"/>
      <c r="J3693" s="19"/>
      <c r="K3693" s="19"/>
      <c r="L3693" s="19"/>
      <c r="R3693" s="19"/>
    </row>
    <row r="3694" spans="7:18" x14ac:dyDescent="0.25">
      <c r="G3694" s="19"/>
      <c r="J3694" s="19"/>
      <c r="K3694" s="19"/>
      <c r="L3694" s="19"/>
      <c r="R3694" s="19"/>
    </row>
    <row r="3695" spans="7:18" x14ac:dyDescent="0.25">
      <c r="G3695" s="19"/>
      <c r="J3695" s="19"/>
      <c r="K3695" s="19"/>
      <c r="L3695" s="19"/>
      <c r="R3695" s="19"/>
    </row>
    <row r="3696" spans="7:18" x14ac:dyDescent="0.25">
      <c r="G3696" s="19"/>
      <c r="J3696" s="19"/>
      <c r="K3696" s="19"/>
      <c r="L3696" s="19"/>
      <c r="R3696" s="19"/>
    </row>
    <row r="3697" spans="7:18" x14ac:dyDescent="0.25">
      <c r="G3697" s="19"/>
      <c r="J3697" s="19"/>
      <c r="K3697" s="19"/>
      <c r="L3697" s="19"/>
      <c r="R3697" s="19"/>
    </row>
    <row r="3698" spans="7:18" x14ac:dyDescent="0.25">
      <c r="G3698" s="19"/>
      <c r="J3698" s="19"/>
      <c r="K3698" s="19"/>
      <c r="L3698" s="19"/>
      <c r="R3698" s="19"/>
    </row>
    <row r="3699" spans="7:18" x14ac:dyDescent="0.25">
      <c r="G3699" s="19"/>
      <c r="J3699" s="19"/>
      <c r="K3699" s="19"/>
      <c r="L3699" s="19"/>
      <c r="R3699" s="19"/>
    </row>
    <row r="3700" spans="7:18" x14ac:dyDescent="0.25">
      <c r="G3700" s="19"/>
      <c r="J3700" s="19"/>
      <c r="K3700" s="19"/>
      <c r="L3700" s="19"/>
      <c r="R3700" s="19"/>
    </row>
    <row r="3701" spans="7:18" x14ac:dyDescent="0.25">
      <c r="G3701" s="19"/>
      <c r="J3701" s="19"/>
      <c r="K3701" s="19"/>
      <c r="L3701" s="19"/>
      <c r="R3701" s="19"/>
    </row>
    <row r="3702" spans="7:18" x14ac:dyDescent="0.25">
      <c r="G3702" s="19"/>
      <c r="J3702" s="19"/>
      <c r="K3702" s="19"/>
      <c r="L3702" s="19"/>
      <c r="R3702" s="19"/>
    </row>
    <row r="3703" spans="7:18" x14ac:dyDescent="0.25">
      <c r="G3703" s="19"/>
      <c r="J3703" s="19"/>
      <c r="K3703" s="19"/>
      <c r="L3703" s="19"/>
      <c r="R3703" s="19"/>
    </row>
    <row r="3704" spans="7:18" x14ac:dyDescent="0.25">
      <c r="G3704" s="19"/>
      <c r="J3704" s="19"/>
      <c r="K3704" s="19"/>
      <c r="L3704" s="19"/>
      <c r="R3704" s="19"/>
    </row>
    <row r="3705" spans="7:18" x14ac:dyDescent="0.25">
      <c r="G3705" s="19"/>
      <c r="J3705" s="19"/>
      <c r="K3705" s="19"/>
      <c r="L3705" s="19"/>
      <c r="R3705" s="19"/>
    </row>
    <row r="3706" spans="7:18" x14ac:dyDescent="0.25">
      <c r="G3706" s="19"/>
      <c r="J3706" s="19"/>
      <c r="K3706" s="19"/>
      <c r="L3706" s="19"/>
      <c r="R3706" s="19"/>
    </row>
    <row r="3707" spans="7:18" x14ac:dyDescent="0.25">
      <c r="G3707" s="19"/>
      <c r="J3707" s="19"/>
      <c r="K3707" s="19"/>
      <c r="L3707" s="19"/>
      <c r="R3707" s="19"/>
    </row>
    <row r="3708" spans="7:18" x14ac:dyDescent="0.25">
      <c r="G3708" s="19"/>
      <c r="J3708" s="19"/>
      <c r="K3708" s="19"/>
      <c r="L3708" s="19"/>
      <c r="R3708" s="19"/>
    </row>
    <row r="3709" spans="7:18" x14ac:dyDescent="0.25">
      <c r="G3709" s="19"/>
      <c r="J3709" s="19"/>
      <c r="K3709" s="19"/>
      <c r="L3709" s="19"/>
      <c r="R3709" s="19"/>
    </row>
    <row r="3710" spans="7:18" x14ac:dyDescent="0.25">
      <c r="G3710" s="19"/>
      <c r="J3710" s="19"/>
      <c r="K3710" s="19"/>
      <c r="L3710" s="19"/>
      <c r="R3710" s="19"/>
    </row>
    <row r="3711" spans="7:18" x14ac:dyDescent="0.25">
      <c r="G3711" s="19"/>
      <c r="J3711" s="19"/>
      <c r="K3711" s="19"/>
      <c r="L3711" s="19"/>
      <c r="R3711" s="19"/>
    </row>
    <row r="3712" spans="7:18" x14ac:dyDescent="0.25">
      <c r="G3712" s="19"/>
      <c r="J3712" s="19"/>
      <c r="K3712" s="19"/>
      <c r="L3712" s="19"/>
      <c r="R3712" s="19"/>
    </row>
    <row r="3713" spans="7:18" x14ac:dyDescent="0.25">
      <c r="G3713" s="19"/>
      <c r="J3713" s="19"/>
      <c r="K3713" s="19"/>
      <c r="L3713" s="19"/>
      <c r="R3713" s="19"/>
    </row>
    <row r="3714" spans="7:18" x14ac:dyDescent="0.25">
      <c r="G3714" s="19"/>
      <c r="J3714" s="19"/>
      <c r="K3714" s="19"/>
      <c r="L3714" s="19"/>
      <c r="R3714" s="19"/>
    </row>
    <row r="3715" spans="7:18" x14ac:dyDescent="0.25">
      <c r="G3715" s="19"/>
      <c r="J3715" s="19"/>
      <c r="K3715" s="19"/>
      <c r="L3715" s="19"/>
      <c r="R3715" s="19"/>
    </row>
    <row r="3716" spans="7:18" x14ac:dyDescent="0.25">
      <c r="G3716" s="19"/>
      <c r="J3716" s="19"/>
      <c r="K3716" s="19"/>
      <c r="L3716" s="19"/>
      <c r="R3716" s="19"/>
    </row>
    <row r="3717" spans="7:18" x14ac:dyDescent="0.25">
      <c r="G3717" s="19"/>
      <c r="J3717" s="19"/>
      <c r="K3717" s="19"/>
      <c r="L3717" s="19"/>
      <c r="R3717" s="19"/>
    </row>
    <row r="3718" spans="7:18" x14ac:dyDescent="0.25">
      <c r="G3718" s="19"/>
      <c r="J3718" s="19"/>
      <c r="K3718" s="19"/>
      <c r="L3718" s="19"/>
      <c r="R3718" s="19"/>
    </row>
    <row r="3719" spans="7:18" x14ac:dyDescent="0.25">
      <c r="G3719" s="19"/>
      <c r="J3719" s="19"/>
      <c r="K3719" s="19"/>
      <c r="L3719" s="19"/>
      <c r="R3719" s="19"/>
    </row>
    <row r="3720" spans="7:18" x14ac:dyDescent="0.25">
      <c r="G3720" s="19"/>
      <c r="J3720" s="19"/>
      <c r="K3720" s="19"/>
      <c r="L3720" s="19"/>
      <c r="R3720" s="19"/>
    </row>
    <row r="3721" spans="7:18" x14ac:dyDescent="0.25">
      <c r="G3721" s="19"/>
      <c r="J3721" s="19"/>
      <c r="K3721" s="19"/>
      <c r="L3721" s="19"/>
      <c r="R3721" s="19"/>
    </row>
    <row r="3722" spans="7:18" x14ac:dyDescent="0.25">
      <c r="G3722" s="19"/>
      <c r="J3722" s="19"/>
      <c r="K3722" s="19"/>
      <c r="L3722" s="19"/>
      <c r="R3722" s="19"/>
    </row>
    <row r="3723" spans="7:18" x14ac:dyDescent="0.25">
      <c r="G3723" s="19"/>
      <c r="J3723" s="19"/>
      <c r="K3723" s="19"/>
      <c r="L3723" s="19"/>
      <c r="R3723" s="19"/>
    </row>
    <row r="3724" spans="7:18" x14ac:dyDescent="0.25">
      <c r="G3724" s="19"/>
      <c r="J3724" s="19"/>
      <c r="K3724" s="19"/>
      <c r="L3724" s="19"/>
      <c r="R3724" s="19"/>
    </row>
    <row r="3725" spans="7:18" x14ac:dyDescent="0.25">
      <c r="G3725" s="19"/>
      <c r="J3725" s="19"/>
      <c r="K3725" s="19"/>
      <c r="L3725" s="19"/>
      <c r="R3725" s="19"/>
    </row>
    <row r="3726" spans="7:18" x14ac:dyDescent="0.25">
      <c r="G3726" s="19"/>
      <c r="J3726" s="19"/>
      <c r="K3726" s="19"/>
      <c r="L3726" s="19"/>
      <c r="R3726" s="19"/>
    </row>
    <row r="3727" spans="7:18" x14ac:dyDescent="0.25">
      <c r="G3727" s="19"/>
      <c r="J3727" s="19"/>
      <c r="K3727" s="19"/>
      <c r="L3727" s="19"/>
      <c r="R3727" s="19"/>
    </row>
    <row r="3728" spans="7:18" x14ac:dyDescent="0.25">
      <c r="G3728" s="19"/>
      <c r="J3728" s="19"/>
      <c r="K3728" s="19"/>
      <c r="L3728" s="19"/>
      <c r="R3728" s="19"/>
    </row>
    <row r="3729" spans="7:18" x14ac:dyDescent="0.25">
      <c r="G3729" s="19"/>
      <c r="J3729" s="19"/>
      <c r="K3729" s="19"/>
      <c r="L3729" s="19"/>
      <c r="R3729" s="19"/>
    </row>
    <row r="3730" spans="7:18" x14ac:dyDescent="0.25">
      <c r="G3730" s="19"/>
      <c r="J3730" s="19"/>
      <c r="K3730" s="19"/>
      <c r="L3730" s="19"/>
      <c r="R3730" s="19"/>
    </row>
    <row r="3731" spans="7:18" x14ac:dyDescent="0.25">
      <c r="G3731" s="19"/>
      <c r="J3731" s="19"/>
      <c r="K3731" s="19"/>
      <c r="L3731" s="19"/>
      <c r="R3731" s="19"/>
    </row>
    <row r="3732" spans="7:18" x14ac:dyDescent="0.25">
      <c r="G3732" s="19"/>
      <c r="J3732" s="19"/>
      <c r="K3732" s="19"/>
      <c r="L3732" s="19"/>
      <c r="R3732" s="19"/>
    </row>
    <row r="3733" spans="7:18" x14ac:dyDescent="0.25">
      <c r="G3733" s="19"/>
      <c r="J3733" s="19"/>
      <c r="K3733" s="19"/>
      <c r="L3733" s="19"/>
      <c r="R3733" s="19"/>
    </row>
    <row r="3734" spans="7:18" x14ac:dyDescent="0.25">
      <c r="G3734" s="19"/>
      <c r="J3734" s="19"/>
      <c r="K3734" s="19"/>
      <c r="L3734" s="19"/>
      <c r="R3734" s="19"/>
    </row>
    <row r="3735" spans="7:18" x14ac:dyDescent="0.25">
      <c r="G3735" s="19"/>
      <c r="J3735" s="19"/>
      <c r="K3735" s="19"/>
      <c r="L3735" s="19"/>
      <c r="R3735" s="19"/>
    </row>
    <row r="3736" spans="7:18" x14ac:dyDescent="0.25">
      <c r="G3736" s="19"/>
      <c r="J3736" s="19"/>
      <c r="K3736" s="19"/>
      <c r="L3736" s="19"/>
      <c r="R3736" s="19"/>
    </row>
    <row r="3737" spans="7:18" x14ac:dyDescent="0.25">
      <c r="G3737" s="19"/>
      <c r="J3737" s="19"/>
      <c r="K3737" s="19"/>
      <c r="L3737" s="19"/>
      <c r="R3737" s="19"/>
    </row>
    <row r="3738" spans="7:18" x14ac:dyDescent="0.25">
      <c r="G3738" s="19"/>
      <c r="J3738" s="19"/>
      <c r="K3738" s="19"/>
      <c r="L3738" s="19"/>
      <c r="R3738" s="19"/>
    </row>
    <row r="3739" spans="7:18" x14ac:dyDescent="0.25">
      <c r="G3739" s="19"/>
      <c r="J3739" s="19"/>
      <c r="K3739" s="19"/>
      <c r="L3739" s="19"/>
      <c r="R3739" s="19"/>
    </row>
    <row r="3740" spans="7:18" x14ac:dyDescent="0.25">
      <c r="G3740" s="19"/>
      <c r="J3740" s="19"/>
      <c r="K3740" s="19"/>
      <c r="L3740" s="19"/>
      <c r="R3740" s="19"/>
    </row>
    <row r="3741" spans="7:18" x14ac:dyDescent="0.25">
      <c r="G3741" s="19"/>
      <c r="J3741" s="19"/>
      <c r="K3741" s="19"/>
      <c r="L3741" s="19"/>
      <c r="R3741" s="19"/>
    </row>
    <row r="3742" spans="7:18" x14ac:dyDescent="0.25">
      <c r="G3742" s="19"/>
      <c r="J3742" s="19"/>
      <c r="K3742" s="19"/>
      <c r="L3742" s="19"/>
      <c r="R3742" s="19"/>
    </row>
    <row r="3743" spans="7:18" x14ac:dyDescent="0.25">
      <c r="G3743" s="19"/>
      <c r="J3743" s="19"/>
      <c r="K3743" s="19"/>
      <c r="L3743" s="19"/>
      <c r="R3743" s="19"/>
    </row>
    <row r="3744" spans="7:18" x14ac:dyDescent="0.25">
      <c r="G3744" s="19"/>
      <c r="J3744" s="19"/>
      <c r="K3744" s="19"/>
      <c r="L3744" s="19"/>
      <c r="R3744" s="19"/>
    </row>
    <row r="3745" spans="7:18" x14ac:dyDescent="0.25">
      <c r="G3745" s="19"/>
      <c r="J3745" s="19"/>
      <c r="K3745" s="19"/>
      <c r="L3745" s="19"/>
      <c r="R3745" s="19"/>
    </row>
    <row r="3746" spans="7:18" x14ac:dyDescent="0.25">
      <c r="G3746" s="19"/>
      <c r="J3746" s="19"/>
      <c r="K3746" s="19"/>
      <c r="L3746" s="19"/>
      <c r="R3746" s="19"/>
    </row>
    <row r="3747" spans="7:18" x14ac:dyDescent="0.25">
      <c r="G3747" s="19"/>
      <c r="J3747" s="19"/>
      <c r="K3747" s="19"/>
      <c r="L3747" s="19"/>
      <c r="R3747" s="19"/>
    </row>
    <row r="3748" spans="7:18" x14ac:dyDescent="0.25">
      <c r="G3748" s="19"/>
      <c r="J3748" s="19"/>
      <c r="K3748" s="19"/>
      <c r="L3748" s="19"/>
      <c r="R3748" s="19"/>
    </row>
    <row r="3749" spans="7:18" x14ac:dyDescent="0.25">
      <c r="G3749" s="19"/>
      <c r="J3749" s="19"/>
      <c r="K3749" s="19"/>
      <c r="L3749" s="19"/>
      <c r="R3749" s="19"/>
    </row>
    <row r="3750" spans="7:18" x14ac:dyDescent="0.25">
      <c r="G3750" s="19"/>
      <c r="J3750" s="19"/>
      <c r="K3750" s="19"/>
      <c r="L3750" s="19"/>
      <c r="R3750" s="19"/>
    </row>
    <row r="3752" spans="7:18" x14ac:dyDescent="0.25">
      <c r="G3752" s="19"/>
      <c r="J3752" s="19"/>
      <c r="K3752" s="19"/>
      <c r="L3752" s="19"/>
      <c r="R3752" s="19"/>
    </row>
    <row r="3753" spans="7:18" x14ac:dyDescent="0.25">
      <c r="G3753" s="19"/>
      <c r="J3753" s="19"/>
      <c r="K3753" s="19"/>
      <c r="L3753" s="19"/>
      <c r="R3753" s="19"/>
    </row>
    <row r="3754" spans="7:18" x14ac:dyDescent="0.25">
      <c r="G3754" s="19"/>
      <c r="J3754" s="19"/>
      <c r="K3754" s="19"/>
      <c r="L3754" s="19"/>
      <c r="R3754" s="19"/>
    </row>
    <row r="3755" spans="7:18" x14ac:dyDescent="0.25">
      <c r="G3755" s="19"/>
      <c r="J3755" s="19"/>
      <c r="K3755" s="19"/>
      <c r="L3755" s="19"/>
      <c r="R3755" s="19"/>
    </row>
    <row r="3756" spans="7:18" x14ac:dyDescent="0.25">
      <c r="G3756" s="19"/>
      <c r="J3756" s="19"/>
      <c r="K3756" s="19"/>
      <c r="L3756" s="19"/>
      <c r="R3756" s="19"/>
    </row>
    <row r="3757" spans="7:18" x14ac:dyDescent="0.25">
      <c r="G3757" s="19"/>
      <c r="J3757" s="19"/>
      <c r="K3757" s="19"/>
      <c r="L3757" s="19"/>
      <c r="R3757" s="19"/>
    </row>
    <row r="3758" spans="7:18" x14ac:dyDescent="0.25">
      <c r="G3758" s="19"/>
      <c r="J3758" s="19"/>
      <c r="K3758" s="19"/>
      <c r="L3758" s="19"/>
      <c r="R3758" s="19"/>
    </row>
    <row r="3759" spans="7:18" x14ac:dyDescent="0.25">
      <c r="G3759" s="19"/>
      <c r="J3759" s="19"/>
      <c r="K3759" s="19"/>
      <c r="L3759" s="19"/>
      <c r="R3759" s="19"/>
    </row>
    <row r="3760" spans="7:18" x14ac:dyDescent="0.25">
      <c r="G3760" s="19"/>
      <c r="J3760" s="19"/>
      <c r="K3760" s="19"/>
      <c r="L3760" s="19"/>
      <c r="R3760" s="19"/>
    </row>
    <row r="3761" spans="7:18" x14ac:dyDescent="0.25">
      <c r="G3761" s="19"/>
      <c r="J3761" s="19"/>
      <c r="K3761" s="19"/>
      <c r="L3761" s="19"/>
      <c r="R3761" s="19"/>
    </row>
    <row r="3762" spans="7:18" x14ac:dyDescent="0.25">
      <c r="G3762" s="19"/>
      <c r="J3762" s="19"/>
      <c r="K3762" s="19"/>
      <c r="L3762" s="19"/>
      <c r="R3762" s="19"/>
    </row>
    <row r="3763" spans="7:18" x14ac:dyDescent="0.25">
      <c r="G3763" s="19"/>
      <c r="J3763" s="19"/>
      <c r="K3763" s="19"/>
      <c r="L3763" s="19"/>
      <c r="R3763" s="19"/>
    </row>
    <row r="3764" spans="7:18" x14ac:dyDescent="0.25">
      <c r="G3764" s="19"/>
      <c r="J3764" s="19"/>
      <c r="K3764" s="19"/>
      <c r="L3764" s="19"/>
      <c r="R3764" s="19"/>
    </row>
    <row r="3765" spans="7:18" x14ac:dyDescent="0.25">
      <c r="G3765" s="19"/>
      <c r="J3765" s="19"/>
      <c r="K3765" s="19"/>
      <c r="L3765" s="19"/>
      <c r="R3765" s="19"/>
    </row>
    <row r="3766" spans="7:18" x14ac:dyDescent="0.25">
      <c r="G3766" s="19"/>
      <c r="J3766" s="19"/>
      <c r="K3766" s="19"/>
      <c r="L3766" s="19"/>
      <c r="R3766" s="19"/>
    </row>
    <row r="3767" spans="7:18" x14ac:dyDescent="0.25">
      <c r="G3767" s="19"/>
      <c r="J3767" s="19"/>
      <c r="K3767" s="19"/>
      <c r="L3767" s="19"/>
      <c r="R3767" s="19"/>
    </row>
    <row r="3768" spans="7:18" x14ac:dyDescent="0.25">
      <c r="G3768" s="19"/>
      <c r="J3768" s="19"/>
      <c r="K3768" s="19"/>
      <c r="L3768" s="19"/>
      <c r="R3768" s="19"/>
    </row>
    <row r="3769" spans="7:18" x14ac:dyDescent="0.25">
      <c r="G3769" s="19"/>
      <c r="J3769" s="19"/>
      <c r="K3769" s="19"/>
      <c r="L3769" s="19"/>
      <c r="R3769" s="19"/>
    </row>
    <row r="3770" spans="7:18" x14ac:dyDescent="0.25">
      <c r="G3770" s="19"/>
      <c r="J3770" s="19"/>
      <c r="K3770" s="19"/>
      <c r="L3770" s="19"/>
      <c r="R3770" s="19"/>
    </row>
    <row r="3771" spans="7:18" x14ac:dyDescent="0.25">
      <c r="G3771" s="19"/>
      <c r="J3771" s="19"/>
      <c r="K3771" s="19"/>
      <c r="L3771" s="19"/>
      <c r="R3771" s="19"/>
    </row>
    <row r="3772" spans="7:18" x14ac:dyDescent="0.25">
      <c r="G3772" s="19"/>
      <c r="J3772" s="19"/>
      <c r="K3772" s="19"/>
      <c r="L3772" s="19"/>
      <c r="R3772" s="19"/>
    </row>
    <row r="3773" spans="7:18" x14ac:dyDescent="0.25">
      <c r="G3773" s="19"/>
      <c r="J3773" s="19"/>
      <c r="K3773" s="19"/>
      <c r="L3773" s="19"/>
      <c r="R3773" s="19"/>
    </row>
    <row r="3774" spans="7:18" x14ac:dyDescent="0.25">
      <c r="G3774" s="19"/>
      <c r="J3774" s="19"/>
      <c r="K3774" s="19"/>
      <c r="L3774" s="19"/>
      <c r="R3774" s="19"/>
    </row>
    <row r="3775" spans="7:18" x14ac:dyDescent="0.25">
      <c r="G3775" s="19"/>
      <c r="J3775" s="19"/>
      <c r="K3775" s="19"/>
      <c r="L3775" s="19"/>
      <c r="R3775" s="19"/>
    </row>
    <row r="3776" spans="7:18" x14ac:dyDescent="0.25">
      <c r="G3776" s="19"/>
      <c r="J3776" s="19"/>
      <c r="K3776" s="19"/>
      <c r="L3776" s="19"/>
      <c r="R3776" s="19"/>
    </row>
    <row r="3777" spans="7:18" x14ac:dyDescent="0.25">
      <c r="G3777" s="19"/>
      <c r="J3777" s="19"/>
      <c r="K3777" s="19"/>
      <c r="L3777" s="19"/>
      <c r="R3777" s="19"/>
    </row>
    <row r="3778" spans="7:18" x14ac:dyDescent="0.25">
      <c r="G3778" s="19"/>
      <c r="J3778" s="19"/>
      <c r="K3778" s="19"/>
      <c r="L3778" s="19"/>
      <c r="R3778" s="19"/>
    </row>
    <row r="3779" spans="7:18" x14ac:dyDescent="0.25">
      <c r="G3779" s="19"/>
      <c r="J3779" s="19"/>
      <c r="K3779" s="19"/>
      <c r="L3779" s="19"/>
      <c r="R3779" s="19"/>
    </row>
    <row r="3780" spans="7:18" x14ac:dyDescent="0.25">
      <c r="G3780" s="19"/>
      <c r="J3780" s="19"/>
      <c r="K3780" s="19"/>
      <c r="L3780" s="19"/>
      <c r="R3780" s="19"/>
    </row>
    <row r="3781" spans="7:18" x14ac:dyDescent="0.25">
      <c r="G3781" s="19"/>
      <c r="J3781" s="19"/>
      <c r="K3781" s="19"/>
      <c r="L3781" s="19"/>
      <c r="R3781" s="19"/>
    </row>
    <row r="3782" spans="7:18" x14ac:dyDescent="0.25">
      <c r="G3782" s="19"/>
      <c r="J3782" s="19"/>
      <c r="K3782" s="19"/>
      <c r="L3782" s="19"/>
      <c r="R3782" s="19"/>
    </row>
    <row r="3783" spans="7:18" x14ac:dyDescent="0.25">
      <c r="G3783" s="19"/>
      <c r="J3783" s="19"/>
      <c r="K3783" s="19"/>
      <c r="L3783" s="19"/>
      <c r="R3783" s="19"/>
    </row>
    <row r="3784" spans="7:18" x14ac:dyDescent="0.25">
      <c r="G3784" s="19"/>
      <c r="J3784" s="19"/>
      <c r="K3784" s="19"/>
      <c r="L3784" s="19"/>
      <c r="R3784" s="19"/>
    </row>
    <row r="3785" spans="7:18" x14ac:dyDescent="0.25">
      <c r="G3785" s="19"/>
      <c r="J3785" s="19"/>
      <c r="K3785" s="19"/>
      <c r="L3785" s="19"/>
      <c r="R3785" s="19"/>
    </row>
    <row r="3786" spans="7:18" x14ac:dyDescent="0.25">
      <c r="G3786" s="19"/>
      <c r="J3786" s="19"/>
      <c r="K3786" s="19"/>
      <c r="L3786" s="19"/>
      <c r="R3786" s="19"/>
    </row>
    <row r="3787" spans="7:18" x14ac:dyDescent="0.25">
      <c r="G3787" s="19"/>
      <c r="J3787" s="19"/>
      <c r="K3787" s="19"/>
      <c r="L3787" s="19"/>
      <c r="R3787" s="19"/>
    </row>
    <row r="3788" spans="7:18" x14ac:dyDescent="0.25">
      <c r="G3788" s="19"/>
      <c r="J3788" s="19"/>
      <c r="K3788" s="19"/>
      <c r="L3788" s="19"/>
      <c r="R3788" s="19"/>
    </row>
    <row r="3789" spans="7:18" x14ac:dyDescent="0.25">
      <c r="G3789" s="19"/>
      <c r="J3789" s="19"/>
      <c r="K3789" s="19"/>
      <c r="L3789" s="19"/>
      <c r="R3789" s="19"/>
    </row>
    <row r="3790" spans="7:18" x14ac:dyDescent="0.25">
      <c r="G3790" s="19"/>
      <c r="J3790" s="19"/>
      <c r="K3790" s="19"/>
      <c r="L3790" s="19"/>
      <c r="R3790" s="19"/>
    </row>
    <row r="3791" spans="7:18" x14ac:dyDescent="0.25">
      <c r="G3791" s="19"/>
      <c r="J3791" s="19"/>
      <c r="K3791" s="19"/>
      <c r="L3791" s="19"/>
      <c r="R3791" s="19"/>
    </row>
    <row r="3792" spans="7:18" x14ac:dyDescent="0.25">
      <c r="G3792" s="19"/>
      <c r="J3792" s="19"/>
      <c r="K3792" s="19"/>
      <c r="L3792" s="19"/>
      <c r="R3792" s="19"/>
    </row>
    <row r="3793" spans="7:18" x14ac:dyDescent="0.25">
      <c r="G3793" s="19"/>
      <c r="J3793" s="19"/>
      <c r="K3793" s="19"/>
      <c r="L3793" s="19"/>
      <c r="R3793" s="19"/>
    </row>
    <row r="3794" spans="7:18" x14ac:dyDescent="0.25">
      <c r="G3794" s="19"/>
      <c r="J3794" s="19"/>
      <c r="K3794" s="19"/>
      <c r="L3794" s="19"/>
      <c r="R3794" s="19"/>
    </row>
    <row r="3795" spans="7:18" x14ac:dyDescent="0.25">
      <c r="G3795" s="19"/>
      <c r="J3795" s="19"/>
      <c r="K3795" s="19"/>
      <c r="L3795" s="19"/>
      <c r="R3795" s="19"/>
    </row>
    <row r="3796" spans="7:18" x14ac:dyDescent="0.25">
      <c r="G3796" s="19"/>
      <c r="J3796" s="19"/>
      <c r="K3796" s="19"/>
      <c r="L3796" s="19"/>
      <c r="R3796" s="19"/>
    </row>
    <row r="3797" spans="7:18" x14ac:dyDescent="0.25">
      <c r="G3797" s="19"/>
      <c r="J3797" s="19"/>
      <c r="K3797" s="19"/>
      <c r="L3797" s="19"/>
      <c r="R3797" s="19"/>
    </row>
    <row r="3798" spans="7:18" x14ac:dyDescent="0.25">
      <c r="G3798" s="19"/>
      <c r="J3798" s="19"/>
      <c r="K3798" s="19"/>
      <c r="L3798" s="19"/>
      <c r="R3798" s="19"/>
    </row>
    <row r="3799" spans="7:18" x14ac:dyDescent="0.25">
      <c r="G3799" s="19"/>
      <c r="J3799" s="19"/>
      <c r="K3799" s="19"/>
      <c r="L3799" s="19"/>
      <c r="R3799" s="19"/>
    </row>
    <row r="3800" spans="7:18" x14ac:dyDescent="0.25">
      <c r="G3800" s="19"/>
      <c r="J3800" s="19"/>
      <c r="K3800" s="19"/>
      <c r="L3800" s="19"/>
      <c r="R3800" s="19"/>
    </row>
    <row r="3801" spans="7:18" x14ac:dyDescent="0.25">
      <c r="G3801" s="19"/>
      <c r="J3801" s="19"/>
      <c r="K3801" s="19"/>
      <c r="L3801" s="19"/>
      <c r="R3801" s="19"/>
    </row>
    <row r="3802" spans="7:18" x14ac:dyDescent="0.25">
      <c r="G3802" s="19"/>
      <c r="J3802" s="19"/>
      <c r="K3802" s="19"/>
      <c r="L3802" s="19"/>
      <c r="R3802" s="19"/>
    </row>
    <row r="3803" spans="7:18" x14ac:dyDescent="0.25">
      <c r="G3803" s="19"/>
      <c r="J3803" s="19"/>
      <c r="K3803" s="19"/>
      <c r="L3803" s="19"/>
      <c r="R3803" s="19"/>
    </row>
    <row r="3804" spans="7:18" x14ac:dyDescent="0.25">
      <c r="G3804" s="19"/>
      <c r="J3804" s="19"/>
      <c r="K3804" s="19"/>
      <c r="L3804" s="19"/>
      <c r="R3804" s="19"/>
    </row>
    <row r="3805" spans="7:18" x14ac:dyDescent="0.25">
      <c r="G3805" s="19"/>
      <c r="J3805" s="19"/>
      <c r="K3805" s="19"/>
      <c r="L3805" s="19"/>
      <c r="R3805" s="19"/>
    </row>
    <row r="3806" spans="7:18" x14ac:dyDescent="0.25">
      <c r="G3806" s="19"/>
      <c r="J3806" s="19"/>
      <c r="K3806" s="19"/>
      <c r="L3806" s="19"/>
      <c r="R3806" s="19"/>
    </row>
    <row r="3807" spans="7:18" x14ac:dyDescent="0.25">
      <c r="G3807" s="19"/>
      <c r="J3807" s="19"/>
      <c r="K3807" s="19"/>
      <c r="L3807" s="19"/>
      <c r="R3807" s="19"/>
    </row>
    <row r="3808" spans="7:18" x14ac:dyDescent="0.25">
      <c r="G3808" s="19"/>
      <c r="J3808" s="19"/>
      <c r="K3808" s="19"/>
      <c r="L3808" s="19"/>
      <c r="R3808" s="19"/>
    </row>
    <row r="3809" spans="7:18" x14ac:dyDescent="0.25">
      <c r="G3809" s="19"/>
      <c r="J3809" s="19"/>
      <c r="K3809" s="19"/>
      <c r="L3809" s="19"/>
      <c r="R3809" s="19"/>
    </row>
    <row r="3810" spans="7:18" x14ac:dyDescent="0.25">
      <c r="G3810" s="19"/>
      <c r="J3810" s="19"/>
      <c r="K3810" s="19"/>
      <c r="L3810" s="19"/>
      <c r="R3810" s="19"/>
    </row>
    <row r="3811" spans="7:18" x14ac:dyDescent="0.25">
      <c r="G3811" s="19"/>
      <c r="J3811" s="19"/>
      <c r="K3811" s="19"/>
      <c r="L3811" s="19"/>
      <c r="R3811" s="19"/>
    </row>
    <row r="3812" spans="7:18" x14ac:dyDescent="0.25">
      <c r="G3812" s="19"/>
      <c r="J3812" s="19"/>
      <c r="K3812" s="19"/>
      <c r="L3812" s="19"/>
      <c r="R3812" s="19"/>
    </row>
    <row r="3813" spans="7:18" x14ac:dyDescent="0.25">
      <c r="G3813" s="19"/>
      <c r="J3813" s="19"/>
      <c r="K3813" s="19"/>
      <c r="L3813" s="19"/>
      <c r="R3813" s="19"/>
    </row>
    <row r="3814" spans="7:18" x14ac:dyDescent="0.25">
      <c r="G3814" s="19"/>
      <c r="J3814" s="19"/>
      <c r="K3814" s="19"/>
      <c r="L3814" s="19"/>
      <c r="R3814" s="19"/>
    </row>
    <row r="3815" spans="7:18" x14ac:dyDescent="0.25">
      <c r="G3815" s="19"/>
      <c r="J3815" s="19"/>
      <c r="K3815" s="19"/>
      <c r="L3815" s="19"/>
      <c r="R3815" s="19"/>
    </row>
    <row r="3816" spans="7:18" x14ac:dyDescent="0.25">
      <c r="G3816" s="19"/>
      <c r="J3816" s="19"/>
      <c r="K3816" s="19"/>
      <c r="L3816" s="19"/>
      <c r="R3816" s="19"/>
    </row>
    <row r="3817" spans="7:18" x14ac:dyDescent="0.25">
      <c r="G3817" s="19"/>
      <c r="J3817" s="19"/>
      <c r="K3817" s="19"/>
      <c r="L3817" s="19"/>
      <c r="R3817" s="19"/>
    </row>
    <row r="3818" spans="7:18" x14ac:dyDescent="0.25">
      <c r="G3818" s="19"/>
      <c r="J3818" s="19"/>
      <c r="K3818" s="19"/>
      <c r="L3818" s="19"/>
      <c r="R3818" s="19"/>
    </row>
    <row r="3819" spans="7:18" x14ac:dyDescent="0.25">
      <c r="G3819" s="19"/>
      <c r="J3819" s="19"/>
      <c r="K3819" s="19"/>
      <c r="L3819" s="19"/>
      <c r="R3819" s="19"/>
    </row>
    <row r="3820" spans="7:18" x14ac:dyDescent="0.25">
      <c r="G3820" s="19"/>
      <c r="J3820" s="19"/>
      <c r="K3820" s="19"/>
      <c r="L3820" s="19"/>
      <c r="R3820" s="19"/>
    </row>
    <row r="3821" spans="7:18" x14ac:dyDescent="0.25">
      <c r="G3821" s="19"/>
      <c r="J3821" s="19"/>
      <c r="K3821" s="19"/>
      <c r="L3821" s="19"/>
      <c r="R3821" s="19"/>
    </row>
    <row r="3822" spans="7:18" x14ac:dyDescent="0.25">
      <c r="G3822" s="19"/>
      <c r="J3822" s="19"/>
      <c r="K3822" s="19"/>
      <c r="L3822" s="19"/>
      <c r="R3822" s="19"/>
    </row>
    <row r="3823" spans="7:18" x14ac:dyDescent="0.25">
      <c r="G3823" s="19"/>
      <c r="J3823" s="19"/>
      <c r="K3823" s="19"/>
      <c r="L3823" s="19"/>
      <c r="R3823" s="19"/>
    </row>
    <row r="3824" spans="7:18" x14ac:dyDescent="0.25">
      <c r="G3824" s="19"/>
      <c r="J3824" s="19"/>
      <c r="K3824" s="19"/>
      <c r="L3824" s="19"/>
      <c r="R3824" s="19"/>
    </row>
    <row r="3825" spans="7:18" x14ac:dyDescent="0.25">
      <c r="G3825" s="19"/>
      <c r="J3825" s="19"/>
      <c r="K3825" s="19"/>
      <c r="L3825" s="19"/>
      <c r="R3825" s="19"/>
    </row>
    <row r="3826" spans="7:18" x14ac:dyDescent="0.25">
      <c r="G3826" s="19"/>
      <c r="J3826" s="19"/>
      <c r="K3826" s="19"/>
      <c r="L3826" s="19"/>
      <c r="R3826" s="19"/>
    </row>
    <row r="3827" spans="7:18" x14ac:dyDescent="0.25">
      <c r="G3827" s="19"/>
      <c r="J3827" s="19"/>
      <c r="K3827" s="19"/>
      <c r="L3827" s="19"/>
      <c r="R3827" s="19"/>
    </row>
    <row r="3828" spans="7:18" x14ac:dyDescent="0.25">
      <c r="G3828" s="19"/>
      <c r="J3828" s="19"/>
      <c r="K3828" s="19"/>
      <c r="L3828" s="19"/>
      <c r="R3828" s="19"/>
    </row>
    <row r="3829" spans="7:18" x14ac:dyDescent="0.25">
      <c r="G3829" s="19"/>
      <c r="J3829" s="19"/>
      <c r="K3829" s="19"/>
      <c r="L3829" s="19"/>
      <c r="R3829" s="19"/>
    </row>
    <row r="3830" spans="7:18" x14ac:dyDescent="0.25">
      <c r="G3830" s="19"/>
      <c r="J3830" s="19"/>
      <c r="K3830" s="19"/>
      <c r="L3830" s="19"/>
      <c r="R3830" s="19"/>
    </row>
    <row r="3831" spans="7:18" x14ac:dyDescent="0.25">
      <c r="G3831" s="19"/>
      <c r="J3831" s="19"/>
      <c r="K3831" s="19"/>
      <c r="L3831" s="19"/>
      <c r="R3831" s="19"/>
    </row>
    <row r="3832" spans="7:18" x14ac:dyDescent="0.25">
      <c r="G3832" s="19"/>
      <c r="J3832" s="19"/>
      <c r="K3832" s="19"/>
      <c r="L3832" s="19"/>
      <c r="R3832" s="19"/>
    </row>
    <row r="3833" spans="7:18" x14ac:dyDescent="0.25">
      <c r="G3833" s="19"/>
      <c r="J3833" s="19"/>
      <c r="K3833" s="19"/>
      <c r="L3833" s="19"/>
      <c r="R3833" s="19"/>
    </row>
    <row r="3834" spans="7:18" x14ac:dyDescent="0.25">
      <c r="G3834" s="19"/>
      <c r="J3834" s="19"/>
      <c r="K3834" s="19"/>
      <c r="L3834" s="19"/>
      <c r="R3834" s="19"/>
    </row>
    <row r="3835" spans="7:18" x14ac:dyDescent="0.25">
      <c r="G3835" s="19"/>
      <c r="J3835" s="19"/>
      <c r="K3835" s="19"/>
      <c r="L3835" s="19"/>
      <c r="R3835" s="19"/>
    </row>
    <row r="3836" spans="7:18" x14ac:dyDescent="0.25">
      <c r="G3836" s="19"/>
      <c r="J3836" s="19"/>
      <c r="K3836" s="19"/>
      <c r="L3836" s="19"/>
      <c r="R3836" s="19"/>
    </row>
    <row r="3837" spans="7:18" x14ac:dyDescent="0.25">
      <c r="G3837" s="19"/>
      <c r="J3837" s="19"/>
      <c r="K3837" s="19"/>
      <c r="L3837" s="19"/>
      <c r="R3837" s="19"/>
    </row>
    <row r="3838" spans="7:18" x14ac:dyDescent="0.25">
      <c r="G3838" s="19"/>
      <c r="J3838" s="19"/>
      <c r="K3838" s="19"/>
      <c r="L3838" s="19"/>
      <c r="R3838" s="19"/>
    </row>
    <row r="3839" spans="7:18" x14ac:dyDescent="0.25">
      <c r="G3839" s="19"/>
      <c r="J3839" s="19"/>
      <c r="K3839" s="19"/>
      <c r="L3839" s="19"/>
      <c r="R3839" s="19"/>
    </row>
    <row r="3840" spans="7:18" x14ac:dyDescent="0.25">
      <c r="G3840" s="19"/>
      <c r="J3840" s="19"/>
      <c r="K3840" s="19"/>
      <c r="L3840" s="19"/>
      <c r="R3840" s="19"/>
    </row>
    <row r="3841" spans="7:18" x14ac:dyDescent="0.25">
      <c r="G3841" s="19"/>
      <c r="J3841" s="19"/>
      <c r="K3841" s="19"/>
      <c r="L3841" s="19"/>
      <c r="R3841" s="19"/>
    </row>
    <row r="3842" spans="7:18" x14ac:dyDescent="0.25">
      <c r="G3842" s="19"/>
      <c r="J3842" s="19"/>
      <c r="K3842" s="19"/>
      <c r="L3842" s="19"/>
      <c r="R3842" s="19"/>
    </row>
    <row r="3843" spans="7:18" x14ac:dyDescent="0.25">
      <c r="G3843" s="19"/>
      <c r="J3843" s="19"/>
      <c r="K3843" s="19"/>
      <c r="L3843" s="19"/>
      <c r="R3843" s="19"/>
    </row>
    <row r="3844" spans="7:18" x14ac:dyDescent="0.25">
      <c r="G3844" s="19"/>
      <c r="J3844" s="19"/>
      <c r="K3844" s="19"/>
      <c r="L3844" s="19"/>
      <c r="R3844" s="19"/>
    </row>
    <row r="3845" spans="7:18" x14ac:dyDescent="0.25">
      <c r="G3845" s="19"/>
      <c r="J3845" s="19"/>
      <c r="K3845" s="19"/>
      <c r="L3845" s="19"/>
      <c r="R3845" s="19"/>
    </row>
    <row r="3846" spans="7:18" x14ac:dyDescent="0.25">
      <c r="G3846" s="19"/>
      <c r="J3846" s="19"/>
      <c r="K3846" s="19"/>
      <c r="L3846" s="19"/>
      <c r="R3846" s="19"/>
    </row>
    <row r="3847" spans="7:18" x14ac:dyDescent="0.25">
      <c r="G3847" s="19"/>
      <c r="J3847" s="19"/>
      <c r="K3847" s="19"/>
      <c r="L3847" s="19"/>
      <c r="R3847" s="19"/>
    </row>
    <row r="3848" spans="7:18" x14ac:dyDescent="0.25">
      <c r="G3848" s="19"/>
      <c r="J3848" s="19"/>
      <c r="K3848" s="19"/>
      <c r="L3848" s="19"/>
      <c r="R3848" s="19"/>
    </row>
    <row r="3849" spans="7:18" x14ac:dyDescent="0.25">
      <c r="G3849" s="19"/>
      <c r="J3849" s="19"/>
      <c r="K3849" s="19"/>
      <c r="L3849" s="19"/>
      <c r="R3849" s="19"/>
    </row>
    <row r="3850" spans="7:18" x14ac:dyDescent="0.25">
      <c r="G3850" s="19"/>
      <c r="J3850" s="19"/>
      <c r="K3850" s="19"/>
      <c r="L3850" s="19"/>
      <c r="R3850" s="19"/>
    </row>
    <row r="3851" spans="7:18" x14ac:dyDescent="0.25">
      <c r="G3851" s="19"/>
      <c r="J3851" s="19"/>
      <c r="K3851" s="19"/>
      <c r="L3851" s="19"/>
      <c r="R3851" s="19"/>
    </row>
    <row r="3852" spans="7:18" x14ac:dyDescent="0.25">
      <c r="G3852" s="19"/>
      <c r="J3852" s="19"/>
      <c r="K3852" s="19"/>
      <c r="L3852" s="19"/>
      <c r="R3852" s="19"/>
    </row>
    <row r="3853" spans="7:18" x14ac:dyDescent="0.25">
      <c r="G3853" s="19"/>
      <c r="J3853" s="19"/>
      <c r="K3853" s="19"/>
      <c r="L3853" s="19"/>
      <c r="R3853" s="19"/>
    </row>
    <row r="3854" spans="7:18" x14ac:dyDescent="0.25">
      <c r="G3854" s="19"/>
      <c r="J3854" s="19"/>
      <c r="K3854" s="19"/>
      <c r="L3854" s="19"/>
      <c r="R3854" s="19"/>
    </row>
    <row r="3855" spans="7:18" x14ac:dyDescent="0.25">
      <c r="G3855" s="19"/>
      <c r="J3855" s="19"/>
      <c r="K3855" s="19"/>
      <c r="L3855" s="19"/>
      <c r="R3855" s="19"/>
    </row>
    <row r="3856" spans="7:18" x14ac:dyDescent="0.25">
      <c r="G3856" s="19"/>
      <c r="J3856" s="19"/>
      <c r="K3856" s="19"/>
      <c r="L3856" s="19"/>
      <c r="R3856" s="19"/>
    </row>
    <row r="3857" spans="7:18" x14ac:dyDescent="0.25">
      <c r="G3857" s="19"/>
      <c r="J3857" s="19"/>
      <c r="K3857" s="19"/>
      <c r="L3857" s="19"/>
      <c r="R3857" s="19"/>
    </row>
    <row r="3858" spans="7:18" x14ac:dyDescent="0.25">
      <c r="G3858" s="19"/>
      <c r="J3858" s="19"/>
      <c r="K3858" s="19"/>
      <c r="L3858" s="19"/>
      <c r="R3858" s="19"/>
    </row>
    <row r="3859" spans="7:18" x14ac:dyDescent="0.25">
      <c r="G3859" s="19"/>
      <c r="J3859" s="19"/>
      <c r="K3859" s="19"/>
      <c r="L3859" s="19"/>
      <c r="R3859" s="19"/>
    </row>
    <row r="3860" spans="7:18" x14ac:dyDescent="0.25">
      <c r="G3860" s="19"/>
      <c r="J3860" s="19"/>
      <c r="K3860" s="19"/>
      <c r="L3860" s="19"/>
      <c r="R3860" s="19"/>
    </row>
    <row r="3861" spans="7:18" x14ac:dyDescent="0.25">
      <c r="G3861" s="19"/>
      <c r="J3861" s="19"/>
      <c r="K3861" s="19"/>
      <c r="L3861" s="19"/>
      <c r="R3861" s="19"/>
    </row>
    <row r="3862" spans="7:18" x14ac:dyDescent="0.25">
      <c r="G3862" s="19"/>
      <c r="J3862" s="19"/>
      <c r="K3862" s="19"/>
      <c r="L3862" s="19"/>
      <c r="R3862" s="19"/>
    </row>
    <row r="3863" spans="7:18" x14ac:dyDescent="0.25">
      <c r="G3863" s="19"/>
      <c r="J3863" s="19"/>
      <c r="K3863" s="19"/>
      <c r="L3863" s="19"/>
      <c r="R3863" s="19"/>
    </row>
    <row r="3864" spans="7:18" x14ac:dyDescent="0.25">
      <c r="G3864" s="19"/>
      <c r="J3864" s="19"/>
      <c r="K3864" s="19"/>
      <c r="L3864" s="19"/>
      <c r="R3864" s="19"/>
    </row>
    <row r="3865" spans="7:18" x14ac:dyDescent="0.25">
      <c r="G3865" s="19"/>
      <c r="J3865" s="19"/>
      <c r="K3865" s="19"/>
      <c r="L3865" s="19"/>
      <c r="R3865" s="19"/>
    </row>
    <row r="3866" spans="7:18" x14ac:dyDescent="0.25">
      <c r="G3866" s="19"/>
      <c r="J3866" s="19"/>
      <c r="K3866" s="19"/>
      <c r="L3866" s="19"/>
      <c r="R3866" s="19"/>
    </row>
    <row r="3867" spans="7:18" x14ac:dyDescent="0.25">
      <c r="G3867" s="19"/>
      <c r="J3867" s="19"/>
      <c r="K3867" s="19"/>
      <c r="L3867" s="19"/>
      <c r="R3867" s="19"/>
    </row>
    <row r="3868" spans="7:18" x14ac:dyDescent="0.25">
      <c r="G3868" s="19"/>
      <c r="J3868" s="19"/>
      <c r="K3868" s="19"/>
      <c r="L3868" s="19"/>
      <c r="R3868" s="19"/>
    </row>
    <row r="3869" spans="7:18" x14ac:dyDescent="0.25">
      <c r="G3869" s="19"/>
      <c r="J3869" s="19"/>
      <c r="K3869" s="19"/>
      <c r="L3869" s="19"/>
      <c r="R3869" s="19"/>
    </row>
    <row r="3870" spans="7:18" x14ac:dyDescent="0.25">
      <c r="G3870" s="19"/>
      <c r="J3870" s="19"/>
      <c r="K3870" s="19"/>
      <c r="L3870" s="19"/>
      <c r="R3870" s="19"/>
    </row>
    <row r="3871" spans="7:18" x14ac:dyDescent="0.25">
      <c r="G3871" s="19"/>
      <c r="J3871" s="19"/>
      <c r="K3871" s="19"/>
      <c r="L3871" s="19"/>
      <c r="R3871" s="19"/>
    </row>
    <row r="3872" spans="7:18" x14ac:dyDescent="0.25">
      <c r="G3872" s="19"/>
      <c r="J3872" s="19"/>
      <c r="K3872" s="19"/>
      <c r="L3872" s="19"/>
      <c r="R3872" s="19"/>
    </row>
    <row r="3873" spans="7:18" x14ac:dyDescent="0.25">
      <c r="G3873" s="19"/>
      <c r="J3873" s="19"/>
      <c r="K3873" s="19"/>
      <c r="L3873" s="19"/>
      <c r="R3873" s="19"/>
    </row>
    <row r="3874" spans="7:18" x14ac:dyDescent="0.25">
      <c r="G3874" s="19"/>
      <c r="J3874" s="19"/>
      <c r="K3874" s="19"/>
      <c r="L3874" s="19"/>
      <c r="R3874" s="19"/>
    </row>
    <row r="3875" spans="7:18" x14ac:dyDescent="0.25">
      <c r="G3875" s="19"/>
      <c r="J3875" s="19"/>
      <c r="K3875" s="19"/>
      <c r="L3875" s="19"/>
      <c r="R3875" s="19"/>
    </row>
    <row r="3876" spans="7:18" x14ac:dyDescent="0.25">
      <c r="G3876" s="19"/>
      <c r="J3876" s="19"/>
      <c r="K3876" s="19"/>
      <c r="L3876" s="19"/>
      <c r="R3876" s="19"/>
    </row>
    <row r="3877" spans="7:18" x14ac:dyDescent="0.25">
      <c r="G3877" s="19"/>
      <c r="J3877" s="19"/>
      <c r="K3877" s="19"/>
      <c r="L3877" s="19"/>
      <c r="R3877" s="19"/>
    </row>
    <row r="3878" spans="7:18" x14ac:dyDescent="0.25">
      <c r="G3878" s="19"/>
      <c r="J3878" s="19"/>
      <c r="K3878" s="19"/>
      <c r="L3878" s="19"/>
      <c r="R3878" s="19"/>
    </row>
    <row r="3879" spans="7:18" x14ac:dyDescent="0.25">
      <c r="G3879" s="19"/>
      <c r="J3879" s="19"/>
      <c r="K3879" s="19"/>
      <c r="L3879" s="19"/>
      <c r="R3879" s="19"/>
    </row>
    <row r="3880" spans="7:18" x14ac:dyDescent="0.25">
      <c r="G3880" s="19"/>
      <c r="J3880" s="19"/>
      <c r="K3880" s="19"/>
      <c r="L3880" s="19"/>
      <c r="R3880" s="19"/>
    </row>
    <row r="3881" spans="7:18" x14ac:dyDescent="0.25">
      <c r="G3881" s="19"/>
      <c r="J3881" s="19"/>
      <c r="K3881" s="19"/>
      <c r="L3881" s="19"/>
      <c r="R3881" s="19"/>
    </row>
    <row r="3882" spans="7:18" x14ac:dyDescent="0.25">
      <c r="G3882" s="19"/>
      <c r="J3882" s="19"/>
      <c r="K3882" s="19"/>
      <c r="L3882" s="19"/>
      <c r="R3882" s="19"/>
    </row>
    <row r="3883" spans="7:18" x14ac:dyDescent="0.25">
      <c r="G3883" s="19"/>
      <c r="J3883" s="19"/>
      <c r="K3883" s="19"/>
      <c r="L3883" s="19"/>
      <c r="R3883" s="19"/>
    </row>
    <row r="3884" spans="7:18" x14ac:dyDescent="0.25">
      <c r="G3884" s="19"/>
      <c r="J3884" s="19"/>
      <c r="K3884" s="19"/>
      <c r="L3884" s="19"/>
      <c r="R3884" s="19"/>
    </row>
    <row r="3885" spans="7:18" x14ac:dyDescent="0.25">
      <c r="G3885" s="19"/>
      <c r="J3885" s="19"/>
      <c r="K3885" s="19"/>
      <c r="L3885" s="19"/>
      <c r="R3885" s="19"/>
    </row>
    <row r="3886" spans="7:18" x14ac:dyDescent="0.25">
      <c r="G3886" s="19"/>
      <c r="J3886" s="19"/>
      <c r="K3886" s="19"/>
      <c r="L3886" s="19"/>
      <c r="R3886" s="19"/>
    </row>
    <row r="3887" spans="7:18" x14ac:dyDescent="0.25">
      <c r="G3887" s="19"/>
      <c r="J3887" s="19"/>
      <c r="K3887" s="19"/>
      <c r="L3887" s="19"/>
      <c r="R3887" s="19"/>
    </row>
    <row r="3888" spans="7:18" x14ac:dyDescent="0.25">
      <c r="G3888" s="19"/>
      <c r="J3888" s="19"/>
      <c r="K3888" s="19"/>
      <c r="L3888" s="19"/>
      <c r="R3888" s="19"/>
    </row>
    <row r="3889" spans="7:18" x14ac:dyDescent="0.25">
      <c r="G3889" s="19"/>
      <c r="J3889" s="19"/>
      <c r="K3889" s="19"/>
      <c r="L3889" s="19"/>
      <c r="R3889" s="19"/>
    </row>
    <row r="3890" spans="7:18" x14ac:dyDescent="0.25">
      <c r="G3890" s="19"/>
      <c r="J3890" s="19"/>
      <c r="K3890" s="19"/>
      <c r="L3890" s="19"/>
      <c r="R3890" s="19"/>
    </row>
    <row r="3891" spans="7:18" x14ac:dyDescent="0.25">
      <c r="G3891" s="19"/>
      <c r="J3891" s="19"/>
      <c r="K3891" s="19"/>
      <c r="L3891" s="19"/>
      <c r="R3891" s="19"/>
    </row>
    <row r="3892" spans="7:18" x14ac:dyDescent="0.25">
      <c r="G3892" s="19"/>
      <c r="J3892" s="19"/>
      <c r="K3892" s="19"/>
      <c r="L3892" s="19"/>
      <c r="R3892" s="19"/>
    </row>
    <row r="3893" spans="7:18" x14ac:dyDescent="0.25">
      <c r="G3893" s="19"/>
      <c r="J3893" s="19"/>
      <c r="K3893" s="19"/>
      <c r="L3893" s="19"/>
      <c r="R3893" s="19"/>
    </row>
    <row r="3894" spans="7:18" x14ac:dyDescent="0.25">
      <c r="G3894" s="19"/>
      <c r="J3894" s="19"/>
      <c r="K3894" s="19"/>
      <c r="L3894" s="19"/>
      <c r="R3894" s="19"/>
    </row>
    <row r="3895" spans="7:18" x14ac:dyDescent="0.25">
      <c r="G3895" s="19"/>
      <c r="J3895" s="19"/>
      <c r="K3895" s="19"/>
      <c r="L3895" s="19"/>
      <c r="R3895" s="19"/>
    </row>
    <row r="3896" spans="7:18" x14ac:dyDescent="0.25">
      <c r="G3896" s="19"/>
      <c r="J3896" s="19"/>
      <c r="K3896" s="19"/>
      <c r="L3896" s="19"/>
      <c r="R3896" s="19"/>
    </row>
    <row r="3897" spans="7:18" x14ac:dyDescent="0.25">
      <c r="G3897" s="19"/>
      <c r="J3897" s="19"/>
      <c r="K3897" s="19"/>
      <c r="L3897" s="19"/>
      <c r="R3897" s="19"/>
    </row>
    <row r="3898" spans="7:18" x14ac:dyDescent="0.25">
      <c r="G3898" s="19"/>
      <c r="J3898" s="19"/>
      <c r="K3898" s="19"/>
      <c r="L3898" s="19"/>
      <c r="R3898" s="19"/>
    </row>
    <row r="3899" spans="7:18" x14ac:dyDescent="0.25">
      <c r="G3899" s="19"/>
      <c r="J3899" s="19"/>
      <c r="K3899" s="19"/>
      <c r="L3899" s="19"/>
      <c r="R3899" s="19"/>
    </row>
    <row r="3900" spans="7:18" x14ac:dyDescent="0.25">
      <c r="G3900" s="19"/>
      <c r="J3900" s="19"/>
      <c r="K3900" s="19"/>
      <c r="L3900" s="19"/>
      <c r="R3900" s="19"/>
    </row>
    <row r="3901" spans="7:18" x14ac:dyDescent="0.25">
      <c r="G3901" s="19"/>
      <c r="J3901" s="19"/>
      <c r="K3901" s="19"/>
      <c r="L3901" s="19"/>
      <c r="R3901" s="19"/>
    </row>
    <row r="3902" spans="7:18" x14ac:dyDescent="0.25">
      <c r="G3902" s="19"/>
      <c r="J3902" s="19"/>
      <c r="K3902" s="19"/>
      <c r="L3902" s="19"/>
      <c r="R3902" s="19"/>
    </row>
    <row r="3903" spans="7:18" x14ac:dyDescent="0.25">
      <c r="G3903" s="19"/>
      <c r="J3903" s="19"/>
      <c r="K3903" s="19"/>
      <c r="L3903" s="19"/>
      <c r="R3903" s="19"/>
    </row>
    <row r="3904" spans="7:18" x14ac:dyDescent="0.25">
      <c r="G3904" s="19"/>
      <c r="J3904" s="19"/>
      <c r="K3904" s="19"/>
      <c r="L3904" s="19"/>
      <c r="R3904" s="19"/>
    </row>
    <row r="3905" spans="7:18" x14ac:dyDescent="0.25">
      <c r="G3905" s="19"/>
      <c r="J3905" s="19"/>
      <c r="K3905" s="19"/>
      <c r="L3905" s="19"/>
      <c r="R3905" s="19"/>
    </row>
    <row r="3906" spans="7:18" x14ac:dyDescent="0.25">
      <c r="G3906" s="19"/>
      <c r="J3906" s="19"/>
      <c r="K3906" s="19"/>
      <c r="L3906" s="19"/>
      <c r="R3906" s="19"/>
    </row>
    <row r="3907" spans="7:18" x14ac:dyDescent="0.25">
      <c r="G3907" s="19"/>
      <c r="J3907" s="19"/>
      <c r="K3907" s="19"/>
      <c r="L3907" s="19"/>
      <c r="R3907" s="19"/>
    </row>
    <row r="3908" spans="7:18" x14ac:dyDescent="0.25">
      <c r="G3908" s="19"/>
      <c r="J3908" s="19"/>
      <c r="K3908" s="19"/>
      <c r="L3908" s="19"/>
      <c r="R3908" s="19"/>
    </row>
    <row r="3909" spans="7:18" x14ac:dyDescent="0.25">
      <c r="G3909" s="19"/>
      <c r="J3909" s="19"/>
      <c r="K3909" s="19"/>
      <c r="L3909" s="19"/>
      <c r="R3909" s="19"/>
    </row>
    <row r="3910" spans="7:18" x14ac:dyDescent="0.25">
      <c r="G3910" s="19"/>
      <c r="J3910" s="19"/>
      <c r="K3910" s="19"/>
      <c r="L3910" s="19"/>
      <c r="R3910" s="19"/>
    </row>
    <row r="3911" spans="7:18" x14ac:dyDescent="0.25">
      <c r="G3911" s="19"/>
      <c r="J3911" s="19"/>
      <c r="K3911" s="19"/>
      <c r="L3911" s="19"/>
      <c r="R3911" s="19"/>
    </row>
    <row r="3912" spans="7:18" x14ac:dyDescent="0.25">
      <c r="G3912" s="19"/>
      <c r="J3912" s="19"/>
      <c r="K3912" s="19"/>
      <c r="L3912" s="19"/>
      <c r="R3912" s="19"/>
    </row>
    <row r="3913" spans="7:18" x14ac:dyDescent="0.25">
      <c r="G3913" s="19"/>
      <c r="J3913" s="19"/>
      <c r="K3913" s="19"/>
      <c r="L3913" s="19"/>
      <c r="R3913" s="19"/>
    </row>
    <row r="3914" spans="7:18" x14ac:dyDescent="0.25">
      <c r="G3914" s="19"/>
      <c r="J3914" s="19"/>
      <c r="K3914" s="19"/>
      <c r="L3914" s="19"/>
      <c r="R3914" s="19"/>
    </row>
    <row r="3915" spans="7:18" x14ac:dyDescent="0.25">
      <c r="G3915" s="19"/>
      <c r="J3915" s="19"/>
      <c r="K3915" s="19"/>
      <c r="L3915" s="19"/>
      <c r="R3915" s="19"/>
    </row>
    <row r="3916" spans="7:18" x14ac:dyDescent="0.25">
      <c r="G3916" s="19"/>
      <c r="J3916" s="19"/>
      <c r="K3916" s="19"/>
      <c r="L3916" s="19"/>
      <c r="R3916" s="19"/>
    </row>
    <row r="3917" spans="7:18" x14ac:dyDescent="0.25">
      <c r="G3917" s="19"/>
      <c r="J3917" s="19"/>
      <c r="K3917" s="19"/>
      <c r="L3917" s="19"/>
      <c r="R3917" s="19"/>
    </row>
    <row r="3918" spans="7:18" x14ac:dyDescent="0.25">
      <c r="G3918" s="19"/>
      <c r="J3918" s="19"/>
      <c r="K3918" s="19"/>
      <c r="L3918" s="19"/>
      <c r="R3918" s="19"/>
    </row>
    <row r="3919" spans="7:18" x14ac:dyDescent="0.25">
      <c r="G3919" s="19"/>
      <c r="J3919" s="19"/>
      <c r="K3919" s="19"/>
      <c r="L3919" s="19"/>
      <c r="R3919" s="19"/>
    </row>
    <row r="3920" spans="7:18" x14ac:dyDescent="0.25">
      <c r="G3920" s="19"/>
      <c r="J3920" s="19"/>
      <c r="K3920" s="19"/>
      <c r="L3920" s="19"/>
      <c r="R3920" s="19"/>
    </row>
    <row r="3921" spans="7:18" x14ac:dyDescent="0.25">
      <c r="G3921" s="19"/>
      <c r="J3921" s="19"/>
      <c r="K3921" s="19"/>
      <c r="L3921" s="19"/>
      <c r="R3921" s="19"/>
    </row>
    <row r="3922" spans="7:18" x14ac:dyDescent="0.25">
      <c r="G3922" s="19"/>
      <c r="J3922" s="19"/>
      <c r="K3922" s="19"/>
      <c r="L3922" s="19"/>
      <c r="R3922" s="19"/>
    </row>
    <row r="3923" spans="7:18" x14ac:dyDescent="0.25">
      <c r="G3923" s="19"/>
      <c r="J3923" s="19"/>
      <c r="K3923" s="19"/>
      <c r="L3923" s="19"/>
      <c r="R3923" s="19"/>
    </row>
    <row r="3924" spans="7:18" x14ac:dyDescent="0.25">
      <c r="G3924" s="19"/>
      <c r="J3924" s="19"/>
      <c r="K3924" s="19"/>
      <c r="L3924" s="19"/>
      <c r="R3924" s="19"/>
    </row>
    <row r="3925" spans="7:18" x14ac:dyDescent="0.25">
      <c r="G3925" s="19"/>
      <c r="J3925" s="19"/>
      <c r="K3925" s="19"/>
      <c r="L3925" s="19"/>
      <c r="R3925" s="19"/>
    </row>
    <row r="3926" spans="7:18" x14ac:dyDescent="0.25">
      <c r="G3926" s="19"/>
      <c r="J3926" s="19"/>
      <c r="K3926" s="19"/>
      <c r="L3926" s="19"/>
      <c r="R3926" s="19"/>
    </row>
    <row r="3927" spans="7:18" x14ac:dyDescent="0.25">
      <c r="G3927" s="19"/>
      <c r="J3927" s="19"/>
      <c r="K3927" s="19"/>
      <c r="L3927" s="19"/>
      <c r="R3927" s="19"/>
    </row>
    <row r="3928" spans="7:18" x14ac:dyDescent="0.25">
      <c r="G3928" s="19"/>
      <c r="J3928" s="19"/>
      <c r="K3928" s="19"/>
      <c r="L3928" s="19"/>
      <c r="R3928" s="19"/>
    </row>
    <row r="3929" spans="7:18" x14ac:dyDescent="0.25">
      <c r="G3929" s="19"/>
      <c r="J3929" s="19"/>
      <c r="K3929" s="19"/>
      <c r="L3929" s="19"/>
      <c r="R3929" s="19"/>
    </row>
    <row r="3930" spans="7:18" x14ac:dyDescent="0.25">
      <c r="G3930" s="19"/>
      <c r="J3930" s="19"/>
      <c r="K3930" s="19"/>
      <c r="L3930" s="19"/>
      <c r="R3930" s="19"/>
    </row>
    <row r="3931" spans="7:18" x14ac:dyDescent="0.25">
      <c r="G3931" s="19"/>
      <c r="J3931" s="19"/>
      <c r="K3931" s="19"/>
      <c r="L3931" s="19"/>
      <c r="R3931" s="19"/>
    </row>
    <row r="3932" spans="7:18" x14ac:dyDescent="0.25">
      <c r="G3932" s="19"/>
      <c r="J3932" s="19"/>
      <c r="K3932" s="19"/>
      <c r="L3932" s="19"/>
      <c r="R3932" s="19"/>
    </row>
    <row r="3933" spans="7:18" x14ac:dyDescent="0.25">
      <c r="G3933" s="19"/>
      <c r="J3933" s="19"/>
      <c r="K3933" s="19"/>
      <c r="L3933" s="19"/>
      <c r="R3933" s="19"/>
    </row>
    <row r="3934" spans="7:18" x14ac:dyDescent="0.25">
      <c r="G3934" s="19"/>
      <c r="J3934" s="19"/>
      <c r="K3934" s="19"/>
      <c r="L3934" s="19"/>
      <c r="R3934" s="19"/>
    </row>
    <row r="3935" spans="7:18" x14ac:dyDescent="0.25">
      <c r="G3935" s="19"/>
      <c r="J3935" s="19"/>
      <c r="K3935" s="19"/>
      <c r="L3935" s="19"/>
      <c r="R3935" s="19"/>
    </row>
    <row r="3936" spans="7:18" x14ac:dyDescent="0.25">
      <c r="G3936" s="19"/>
      <c r="J3936" s="19"/>
      <c r="K3936" s="19"/>
      <c r="L3936" s="19"/>
      <c r="R3936" s="19"/>
    </row>
    <row r="3937" spans="7:18" x14ac:dyDescent="0.25">
      <c r="G3937" s="19"/>
      <c r="J3937" s="19"/>
      <c r="K3937" s="19"/>
      <c r="L3937" s="19"/>
      <c r="R3937" s="19"/>
    </row>
    <row r="3938" spans="7:18" x14ac:dyDescent="0.25">
      <c r="G3938" s="19"/>
      <c r="J3938" s="19"/>
      <c r="K3938" s="19"/>
      <c r="L3938" s="19"/>
      <c r="R3938" s="19"/>
    </row>
    <row r="3939" spans="7:18" x14ac:dyDescent="0.25">
      <c r="G3939" s="19"/>
      <c r="J3939" s="19"/>
      <c r="K3939" s="19"/>
      <c r="L3939" s="19"/>
      <c r="R3939" s="19"/>
    </row>
    <row r="3940" spans="7:18" x14ac:dyDescent="0.25">
      <c r="G3940" s="19"/>
      <c r="J3940" s="19"/>
      <c r="K3940" s="19"/>
      <c r="L3940" s="19"/>
      <c r="R3940" s="19"/>
    </row>
    <row r="3941" spans="7:18" x14ac:dyDescent="0.25">
      <c r="G3941" s="19"/>
      <c r="J3941" s="19"/>
      <c r="K3941" s="19"/>
      <c r="L3941" s="19"/>
      <c r="R3941" s="19"/>
    </row>
    <row r="3942" spans="7:18" x14ac:dyDescent="0.25">
      <c r="G3942" s="19"/>
      <c r="J3942" s="19"/>
      <c r="K3942" s="19"/>
      <c r="L3942" s="19"/>
      <c r="R3942" s="19"/>
    </row>
    <row r="3943" spans="7:18" x14ac:dyDescent="0.25">
      <c r="G3943" s="19"/>
      <c r="J3943" s="19"/>
      <c r="K3943" s="19"/>
      <c r="L3943" s="19"/>
      <c r="R3943" s="19"/>
    </row>
    <row r="3944" spans="7:18" x14ac:dyDescent="0.25">
      <c r="G3944" s="19"/>
      <c r="J3944" s="19"/>
      <c r="K3944" s="19"/>
      <c r="L3944" s="19"/>
      <c r="R3944" s="19"/>
    </row>
    <row r="3945" spans="7:18" x14ac:dyDescent="0.25">
      <c r="G3945" s="19"/>
      <c r="J3945" s="19"/>
      <c r="K3945" s="19"/>
      <c r="L3945" s="19"/>
      <c r="R3945" s="19"/>
    </row>
    <row r="3946" spans="7:18" x14ac:dyDescent="0.25">
      <c r="G3946" s="19"/>
      <c r="J3946" s="19"/>
      <c r="K3946" s="19"/>
      <c r="L3946" s="19"/>
      <c r="R3946" s="19"/>
    </row>
    <row r="3947" spans="7:18" x14ac:dyDescent="0.25">
      <c r="G3947" s="19"/>
      <c r="J3947" s="19"/>
      <c r="K3947" s="19"/>
      <c r="L3947" s="19"/>
      <c r="R3947" s="19"/>
    </row>
    <row r="3948" spans="7:18" x14ac:dyDescent="0.25">
      <c r="G3948" s="19"/>
      <c r="J3948" s="19"/>
      <c r="K3948" s="19"/>
      <c r="L3948" s="19"/>
      <c r="R3948" s="19"/>
    </row>
    <row r="3949" spans="7:18" x14ac:dyDescent="0.25">
      <c r="G3949" s="19"/>
      <c r="J3949" s="19"/>
      <c r="K3949" s="19"/>
      <c r="L3949" s="19"/>
      <c r="R3949" s="19"/>
    </row>
    <row r="3950" spans="7:18" x14ac:dyDescent="0.25">
      <c r="G3950" s="19"/>
      <c r="J3950" s="19"/>
      <c r="K3950" s="19"/>
      <c r="L3950" s="19"/>
      <c r="R3950" s="19"/>
    </row>
    <row r="3951" spans="7:18" x14ac:dyDescent="0.25">
      <c r="G3951" s="19"/>
      <c r="J3951" s="19"/>
      <c r="K3951" s="19"/>
      <c r="L3951" s="19"/>
      <c r="R3951" s="19"/>
    </row>
    <row r="3952" spans="7:18" x14ac:dyDescent="0.25">
      <c r="G3952" s="19"/>
      <c r="J3952" s="19"/>
      <c r="K3952" s="19"/>
      <c r="L3952" s="19"/>
      <c r="R3952" s="19"/>
    </row>
    <row r="3953" spans="7:18" x14ac:dyDescent="0.25">
      <c r="G3953" s="19"/>
      <c r="J3953" s="19"/>
      <c r="K3953" s="19"/>
      <c r="L3953" s="19"/>
      <c r="R3953" s="19"/>
    </row>
    <row r="3954" spans="7:18" x14ac:dyDescent="0.25">
      <c r="G3954" s="19"/>
      <c r="J3954" s="19"/>
      <c r="K3954" s="19"/>
      <c r="L3954" s="19"/>
      <c r="R3954" s="19"/>
    </row>
    <row r="3955" spans="7:18" x14ac:dyDescent="0.25">
      <c r="G3955" s="19"/>
      <c r="J3955" s="19"/>
      <c r="K3955" s="19"/>
      <c r="L3955" s="19"/>
      <c r="R3955" s="19"/>
    </row>
    <row r="3956" spans="7:18" x14ac:dyDescent="0.25">
      <c r="G3956" s="19"/>
      <c r="J3956" s="19"/>
      <c r="K3956" s="19"/>
      <c r="L3956" s="19"/>
      <c r="R3956" s="19"/>
    </row>
    <row r="3957" spans="7:18" x14ac:dyDescent="0.25">
      <c r="G3957" s="19"/>
      <c r="J3957" s="19"/>
      <c r="K3957" s="19"/>
      <c r="L3957" s="19"/>
      <c r="R3957" s="19"/>
    </row>
    <row r="3958" spans="7:18" x14ac:dyDescent="0.25">
      <c r="G3958" s="19"/>
      <c r="J3958" s="19"/>
      <c r="K3958" s="19"/>
      <c r="L3958" s="19"/>
      <c r="R3958" s="19"/>
    </row>
    <row r="3959" spans="7:18" x14ac:dyDescent="0.25">
      <c r="G3959" s="19"/>
      <c r="J3959" s="19"/>
      <c r="K3959" s="19"/>
      <c r="L3959" s="19"/>
      <c r="R3959" s="19"/>
    </row>
    <row r="3960" spans="7:18" x14ac:dyDescent="0.25">
      <c r="G3960" s="19"/>
      <c r="J3960" s="19"/>
      <c r="K3960" s="19"/>
      <c r="L3960" s="19"/>
      <c r="R3960" s="19"/>
    </row>
    <row r="3961" spans="7:18" x14ac:dyDescent="0.25">
      <c r="G3961" s="19"/>
      <c r="J3961" s="19"/>
      <c r="K3961" s="19"/>
      <c r="L3961" s="19"/>
      <c r="R3961" s="19"/>
    </row>
    <row r="3962" spans="7:18" x14ac:dyDescent="0.25">
      <c r="G3962" s="19"/>
      <c r="J3962" s="19"/>
      <c r="K3962" s="19"/>
      <c r="L3962" s="19"/>
      <c r="R3962" s="19"/>
    </row>
    <row r="3963" spans="7:18" x14ac:dyDescent="0.25">
      <c r="G3963" s="19"/>
      <c r="J3963" s="19"/>
      <c r="K3963" s="19"/>
      <c r="L3963" s="19"/>
      <c r="R3963" s="19"/>
    </row>
    <row r="3964" spans="7:18" x14ac:dyDescent="0.25">
      <c r="G3964" s="19"/>
      <c r="J3964" s="19"/>
      <c r="K3964" s="19"/>
      <c r="L3964" s="19"/>
      <c r="R3964" s="19"/>
    </row>
    <row r="3965" spans="7:18" x14ac:dyDescent="0.25">
      <c r="G3965" s="19"/>
      <c r="J3965" s="19"/>
      <c r="K3965" s="19"/>
      <c r="L3965" s="19"/>
      <c r="R3965" s="19"/>
    </row>
    <row r="3966" spans="7:18" x14ac:dyDescent="0.25">
      <c r="G3966" s="19"/>
      <c r="J3966" s="19"/>
      <c r="K3966" s="19"/>
      <c r="L3966" s="19"/>
      <c r="R3966" s="19"/>
    </row>
    <row r="3967" spans="7:18" x14ac:dyDescent="0.25">
      <c r="G3967" s="19"/>
      <c r="J3967" s="19"/>
      <c r="K3967" s="19"/>
      <c r="L3967" s="19"/>
      <c r="R3967" s="19"/>
    </row>
    <row r="3968" spans="7:18" x14ac:dyDescent="0.25">
      <c r="G3968" s="19"/>
      <c r="J3968" s="19"/>
      <c r="K3968" s="19"/>
      <c r="L3968" s="19"/>
      <c r="R3968" s="19"/>
    </row>
    <row r="3969" spans="7:18" x14ac:dyDescent="0.25">
      <c r="G3969" s="19"/>
      <c r="J3969" s="19"/>
      <c r="K3969" s="19"/>
      <c r="L3969" s="19"/>
      <c r="R3969" s="19"/>
    </row>
    <row r="3970" spans="7:18" x14ac:dyDescent="0.25">
      <c r="G3970" s="19"/>
      <c r="J3970" s="19"/>
      <c r="K3970" s="19"/>
      <c r="L3970" s="19"/>
      <c r="R3970" s="19"/>
    </row>
    <row r="3971" spans="7:18" x14ac:dyDescent="0.25">
      <c r="G3971" s="19"/>
      <c r="J3971" s="19"/>
      <c r="K3971" s="19"/>
      <c r="L3971" s="19"/>
      <c r="R3971" s="19"/>
    </row>
    <row r="3972" spans="7:18" x14ac:dyDescent="0.25">
      <c r="G3972" s="19"/>
      <c r="J3972" s="19"/>
      <c r="K3972" s="19"/>
      <c r="L3972" s="19"/>
      <c r="R3972" s="19"/>
    </row>
    <row r="3973" spans="7:18" x14ac:dyDescent="0.25">
      <c r="G3973" s="19"/>
      <c r="J3973" s="19"/>
      <c r="K3973" s="19"/>
      <c r="L3973" s="19"/>
      <c r="R3973" s="19"/>
    </row>
    <row r="3974" spans="7:18" x14ac:dyDescent="0.25">
      <c r="G3974" s="19"/>
      <c r="J3974" s="19"/>
      <c r="K3974" s="19"/>
      <c r="L3974" s="19"/>
      <c r="R3974" s="19"/>
    </row>
    <row r="3975" spans="7:18" x14ac:dyDescent="0.25">
      <c r="G3975" s="19"/>
      <c r="J3975" s="19"/>
      <c r="K3975" s="19"/>
      <c r="L3975" s="19"/>
      <c r="R3975" s="19"/>
    </row>
    <row r="3976" spans="7:18" x14ac:dyDescent="0.25">
      <c r="G3976" s="19"/>
      <c r="J3976" s="19"/>
      <c r="K3976" s="19"/>
      <c r="L3976" s="19"/>
      <c r="R3976" s="19"/>
    </row>
    <row r="3977" spans="7:18" x14ac:dyDescent="0.25">
      <c r="G3977" s="19"/>
      <c r="J3977" s="19"/>
      <c r="K3977" s="19"/>
      <c r="L3977" s="19"/>
      <c r="R3977" s="19"/>
    </row>
    <row r="3978" spans="7:18" x14ac:dyDescent="0.25">
      <c r="G3978" s="19"/>
      <c r="J3978" s="19"/>
      <c r="K3978" s="19"/>
      <c r="L3978" s="19"/>
      <c r="R3978" s="19"/>
    </row>
    <row r="3979" spans="7:18" x14ac:dyDescent="0.25">
      <c r="G3979" s="19"/>
      <c r="J3979" s="19"/>
      <c r="K3979" s="19"/>
      <c r="L3979" s="19"/>
      <c r="R3979" s="19"/>
    </row>
    <row r="3980" spans="7:18" x14ac:dyDescent="0.25">
      <c r="G3980" s="19"/>
      <c r="J3980" s="19"/>
      <c r="K3980" s="19"/>
      <c r="L3980" s="19"/>
      <c r="R3980" s="19"/>
    </row>
    <row r="3981" spans="7:18" x14ac:dyDescent="0.25">
      <c r="G3981" s="19"/>
      <c r="J3981" s="19"/>
      <c r="K3981" s="19"/>
      <c r="L3981" s="19"/>
      <c r="R3981" s="19"/>
    </row>
    <row r="3982" spans="7:18" x14ac:dyDescent="0.25">
      <c r="G3982" s="19"/>
      <c r="J3982" s="19"/>
      <c r="K3982" s="19"/>
      <c r="L3982" s="19"/>
      <c r="R3982" s="19"/>
    </row>
    <row r="3983" spans="7:18" x14ac:dyDescent="0.25">
      <c r="G3983" s="19"/>
      <c r="J3983" s="19"/>
      <c r="K3983" s="19"/>
      <c r="L3983" s="19"/>
      <c r="R3983" s="19"/>
    </row>
    <row r="3984" spans="7:18" x14ac:dyDescent="0.25">
      <c r="G3984" s="19"/>
      <c r="J3984" s="19"/>
      <c r="K3984" s="19"/>
      <c r="L3984" s="19"/>
      <c r="R3984" s="19"/>
    </row>
    <row r="3985" spans="7:18" x14ac:dyDescent="0.25">
      <c r="G3985" s="19"/>
      <c r="J3985" s="19"/>
      <c r="K3985" s="19"/>
      <c r="L3985" s="19"/>
      <c r="R3985" s="19"/>
    </row>
    <row r="3986" spans="7:18" x14ac:dyDescent="0.25">
      <c r="G3986" s="19"/>
      <c r="J3986" s="19"/>
      <c r="K3986" s="19"/>
      <c r="L3986" s="19"/>
      <c r="R3986" s="19"/>
    </row>
    <row r="3987" spans="7:18" x14ac:dyDescent="0.25">
      <c r="G3987" s="19"/>
      <c r="J3987" s="19"/>
      <c r="K3987" s="19"/>
      <c r="L3987" s="19"/>
      <c r="R3987" s="19"/>
    </row>
    <row r="3988" spans="7:18" x14ac:dyDescent="0.25">
      <c r="G3988" s="19"/>
      <c r="J3988" s="19"/>
      <c r="K3988" s="19"/>
      <c r="L3988" s="19"/>
      <c r="R3988" s="19"/>
    </row>
    <row r="3989" spans="7:18" x14ac:dyDescent="0.25">
      <c r="G3989" s="19"/>
      <c r="J3989" s="19"/>
      <c r="K3989" s="19"/>
      <c r="L3989" s="19"/>
      <c r="R3989" s="19"/>
    </row>
    <row r="3990" spans="7:18" x14ac:dyDescent="0.25">
      <c r="G3990" s="19"/>
      <c r="J3990" s="19"/>
      <c r="K3990" s="19"/>
      <c r="L3990" s="19"/>
      <c r="R3990" s="19"/>
    </row>
    <row r="3991" spans="7:18" x14ac:dyDescent="0.25">
      <c r="G3991" s="19"/>
      <c r="J3991" s="19"/>
      <c r="K3991" s="19"/>
      <c r="L3991" s="19"/>
      <c r="R3991" s="19"/>
    </row>
    <row r="3992" spans="7:18" x14ac:dyDescent="0.25">
      <c r="G3992" s="19"/>
      <c r="J3992" s="19"/>
      <c r="K3992" s="19"/>
      <c r="L3992" s="19"/>
      <c r="R3992" s="19"/>
    </row>
    <row r="3993" spans="7:18" x14ac:dyDescent="0.25">
      <c r="G3993" s="19"/>
      <c r="J3993" s="19"/>
      <c r="K3993" s="19"/>
      <c r="L3993" s="19"/>
      <c r="R3993" s="19"/>
    </row>
    <row r="3994" spans="7:18" x14ac:dyDescent="0.25">
      <c r="G3994" s="19"/>
      <c r="J3994" s="19"/>
      <c r="K3994" s="19"/>
      <c r="L3994" s="19"/>
      <c r="R3994" s="19"/>
    </row>
    <row r="3995" spans="7:18" x14ac:dyDescent="0.25">
      <c r="G3995" s="19"/>
      <c r="J3995" s="19"/>
      <c r="K3995" s="19"/>
      <c r="L3995" s="19"/>
      <c r="R3995" s="19"/>
    </row>
    <row r="3996" spans="7:18" x14ac:dyDescent="0.25">
      <c r="G3996" s="19"/>
      <c r="J3996" s="19"/>
      <c r="K3996" s="19"/>
      <c r="L3996" s="19"/>
      <c r="R3996" s="19"/>
    </row>
    <row r="3997" spans="7:18" x14ac:dyDescent="0.25">
      <c r="G3997" s="19"/>
      <c r="J3997" s="19"/>
      <c r="K3997" s="19"/>
      <c r="L3997" s="19"/>
      <c r="R3997" s="19"/>
    </row>
    <row r="3998" spans="7:18" x14ac:dyDescent="0.25">
      <c r="G3998" s="19"/>
      <c r="J3998" s="19"/>
      <c r="K3998" s="19"/>
      <c r="L3998" s="19"/>
      <c r="R3998" s="19"/>
    </row>
    <row r="3999" spans="7:18" x14ac:dyDescent="0.25">
      <c r="G3999" s="19"/>
      <c r="J3999" s="19"/>
      <c r="K3999" s="19"/>
      <c r="L3999" s="19"/>
      <c r="R3999" s="19"/>
    </row>
    <row r="4000" spans="7:18" x14ac:dyDescent="0.25">
      <c r="G4000" s="19"/>
      <c r="J4000" s="19"/>
      <c r="K4000" s="19"/>
      <c r="L4000" s="19"/>
      <c r="R4000" s="19"/>
    </row>
    <row r="4002" spans="7:18" x14ac:dyDescent="0.25">
      <c r="G4002" s="19"/>
      <c r="J4002" s="19"/>
      <c r="K4002" s="19"/>
      <c r="L4002" s="19"/>
      <c r="R4002" s="19"/>
    </row>
    <row r="4003" spans="7:18" x14ac:dyDescent="0.25">
      <c r="G4003" s="19"/>
      <c r="J4003" s="19"/>
      <c r="K4003" s="19"/>
      <c r="L4003" s="19"/>
      <c r="R4003" s="19"/>
    </row>
    <row r="4004" spans="7:18" x14ac:dyDescent="0.25">
      <c r="G4004" s="19"/>
      <c r="J4004" s="19"/>
      <c r="K4004" s="19"/>
      <c r="L4004" s="19"/>
      <c r="R4004" s="19"/>
    </row>
    <row r="4005" spans="7:18" x14ac:dyDescent="0.25">
      <c r="G4005" s="19"/>
      <c r="J4005" s="19"/>
      <c r="K4005" s="19"/>
      <c r="L4005" s="19"/>
      <c r="R4005" s="19"/>
    </row>
    <row r="4006" spans="7:18" x14ac:dyDescent="0.25">
      <c r="G4006" s="19"/>
      <c r="J4006" s="19"/>
      <c r="K4006" s="19"/>
      <c r="L4006" s="19"/>
      <c r="R4006" s="19"/>
    </row>
    <row r="4007" spans="7:18" x14ac:dyDescent="0.25">
      <c r="G4007" s="19"/>
      <c r="J4007" s="19"/>
      <c r="K4007" s="19"/>
      <c r="L4007" s="19"/>
      <c r="R4007" s="19"/>
    </row>
    <row r="4008" spans="7:18" x14ac:dyDescent="0.25">
      <c r="G4008" s="19"/>
      <c r="J4008" s="19"/>
      <c r="K4008" s="19"/>
      <c r="L4008" s="19"/>
      <c r="R4008" s="19"/>
    </row>
    <row r="4009" spans="7:18" x14ac:dyDescent="0.25">
      <c r="G4009" s="19"/>
      <c r="J4009" s="19"/>
      <c r="K4009" s="19"/>
      <c r="L4009" s="19"/>
      <c r="R4009" s="19"/>
    </row>
    <row r="4010" spans="7:18" x14ac:dyDescent="0.25">
      <c r="G4010" s="19"/>
      <c r="J4010" s="19"/>
      <c r="K4010" s="19"/>
      <c r="L4010" s="19"/>
      <c r="R4010" s="19"/>
    </row>
    <row r="4011" spans="7:18" x14ac:dyDescent="0.25">
      <c r="G4011" s="19"/>
      <c r="J4011" s="19"/>
      <c r="K4011" s="19"/>
      <c r="L4011" s="19"/>
      <c r="R4011" s="19"/>
    </row>
    <row r="4012" spans="7:18" x14ac:dyDescent="0.25">
      <c r="G4012" s="19"/>
      <c r="J4012" s="19"/>
      <c r="K4012" s="19"/>
      <c r="L4012" s="19"/>
      <c r="R4012" s="19"/>
    </row>
    <row r="4013" spans="7:18" x14ac:dyDescent="0.25">
      <c r="G4013" s="19"/>
      <c r="J4013" s="19"/>
      <c r="K4013" s="19"/>
      <c r="L4013" s="19"/>
      <c r="R4013" s="19"/>
    </row>
    <row r="4014" spans="7:18" x14ac:dyDescent="0.25">
      <c r="G4014" s="19"/>
      <c r="J4014" s="19"/>
      <c r="K4014" s="19"/>
      <c r="L4014" s="19"/>
      <c r="R4014" s="19"/>
    </row>
    <row r="4015" spans="7:18" x14ac:dyDescent="0.25">
      <c r="G4015" s="19"/>
      <c r="J4015" s="19"/>
      <c r="K4015" s="19"/>
      <c r="L4015" s="19"/>
      <c r="R4015" s="19"/>
    </row>
    <row r="4016" spans="7:18" x14ac:dyDescent="0.25">
      <c r="G4016" s="19"/>
      <c r="J4016" s="19"/>
      <c r="K4016" s="19"/>
      <c r="L4016" s="19"/>
      <c r="R4016" s="19"/>
    </row>
    <row r="4017" spans="7:18" x14ac:dyDescent="0.25">
      <c r="G4017" s="19"/>
      <c r="J4017" s="19"/>
      <c r="K4017" s="19"/>
      <c r="L4017" s="19"/>
      <c r="R4017" s="19"/>
    </row>
    <row r="4018" spans="7:18" x14ac:dyDescent="0.25">
      <c r="G4018" s="19"/>
      <c r="J4018" s="19"/>
      <c r="K4018" s="19"/>
      <c r="L4018" s="19"/>
      <c r="R4018" s="19"/>
    </row>
    <row r="4019" spans="7:18" x14ac:dyDescent="0.25">
      <c r="G4019" s="19"/>
      <c r="J4019" s="19"/>
      <c r="K4019" s="19"/>
      <c r="L4019" s="19"/>
      <c r="R4019" s="19"/>
    </row>
    <row r="4020" spans="7:18" x14ac:dyDescent="0.25">
      <c r="G4020" s="19"/>
      <c r="J4020" s="19"/>
      <c r="K4020" s="19"/>
      <c r="L4020" s="19"/>
      <c r="R4020" s="19"/>
    </row>
    <row r="4021" spans="7:18" x14ac:dyDescent="0.25">
      <c r="G4021" s="19"/>
      <c r="J4021" s="19"/>
      <c r="K4021" s="19"/>
      <c r="L4021" s="19"/>
      <c r="R4021" s="19"/>
    </row>
    <row r="4022" spans="7:18" x14ac:dyDescent="0.25">
      <c r="G4022" s="19"/>
      <c r="J4022" s="19"/>
      <c r="K4022" s="19"/>
      <c r="L4022" s="19"/>
      <c r="R4022" s="19"/>
    </row>
    <row r="4023" spans="7:18" x14ac:dyDescent="0.25">
      <c r="G4023" s="19"/>
      <c r="J4023" s="19"/>
      <c r="K4023" s="19"/>
      <c r="L4023" s="19"/>
      <c r="R4023" s="19"/>
    </row>
    <row r="4024" spans="7:18" x14ac:dyDescent="0.25">
      <c r="G4024" s="19"/>
      <c r="J4024" s="19"/>
      <c r="K4024" s="19"/>
      <c r="L4024" s="19"/>
      <c r="R4024" s="19"/>
    </row>
    <row r="4025" spans="7:18" x14ac:dyDescent="0.25">
      <c r="G4025" s="19"/>
      <c r="J4025" s="19"/>
      <c r="K4025" s="19"/>
      <c r="L4025" s="19"/>
      <c r="R4025" s="19"/>
    </row>
    <row r="4026" spans="7:18" x14ac:dyDescent="0.25">
      <c r="G4026" s="19"/>
      <c r="J4026" s="19"/>
      <c r="K4026" s="19"/>
      <c r="L4026" s="19"/>
      <c r="R4026" s="19"/>
    </row>
    <row r="4027" spans="7:18" x14ac:dyDescent="0.25">
      <c r="G4027" s="19"/>
      <c r="J4027" s="19"/>
      <c r="K4027" s="19"/>
      <c r="L4027" s="19"/>
      <c r="R4027" s="19"/>
    </row>
    <row r="4028" spans="7:18" x14ac:dyDescent="0.25">
      <c r="G4028" s="19"/>
      <c r="J4028" s="19"/>
      <c r="K4028" s="19"/>
      <c r="L4028" s="19"/>
      <c r="R4028" s="19"/>
    </row>
    <row r="4029" spans="7:18" x14ac:dyDescent="0.25">
      <c r="G4029" s="19"/>
      <c r="J4029" s="19"/>
      <c r="K4029" s="19"/>
      <c r="L4029" s="19"/>
      <c r="R4029" s="19"/>
    </row>
    <row r="4030" spans="7:18" x14ac:dyDescent="0.25">
      <c r="G4030" s="19"/>
      <c r="J4030" s="19"/>
      <c r="K4030" s="19"/>
      <c r="L4030" s="19"/>
      <c r="R4030" s="19"/>
    </row>
    <row r="4031" spans="7:18" x14ac:dyDescent="0.25">
      <c r="G4031" s="19"/>
      <c r="J4031" s="19"/>
      <c r="K4031" s="19"/>
      <c r="L4031" s="19"/>
      <c r="R4031" s="19"/>
    </row>
    <row r="4032" spans="7:18" x14ac:dyDescent="0.25">
      <c r="G4032" s="19"/>
      <c r="J4032" s="19"/>
      <c r="K4032" s="19"/>
      <c r="L4032" s="19"/>
      <c r="R4032" s="19"/>
    </row>
    <row r="4033" spans="7:18" x14ac:dyDescent="0.25">
      <c r="G4033" s="19"/>
      <c r="J4033" s="19"/>
      <c r="K4033" s="19"/>
      <c r="L4033" s="19"/>
      <c r="R4033" s="19"/>
    </row>
    <row r="4034" spans="7:18" x14ac:dyDescent="0.25">
      <c r="G4034" s="19"/>
      <c r="J4034" s="19"/>
      <c r="K4034" s="19"/>
      <c r="L4034" s="19"/>
      <c r="R4034" s="19"/>
    </row>
    <row r="4035" spans="7:18" x14ac:dyDescent="0.25">
      <c r="G4035" s="19"/>
      <c r="J4035" s="19"/>
      <c r="K4035" s="19"/>
      <c r="L4035" s="19"/>
      <c r="R4035" s="19"/>
    </row>
    <row r="4036" spans="7:18" x14ac:dyDescent="0.25">
      <c r="G4036" s="19"/>
      <c r="J4036" s="19"/>
      <c r="K4036" s="19"/>
      <c r="L4036" s="19"/>
      <c r="R4036" s="19"/>
    </row>
    <row r="4037" spans="7:18" x14ac:dyDescent="0.25">
      <c r="G4037" s="19"/>
      <c r="J4037" s="19"/>
      <c r="K4037" s="19"/>
      <c r="L4037" s="19"/>
      <c r="R4037" s="19"/>
    </row>
    <row r="4038" spans="7:18" x14ac:dyDescent="0.25">
      <c r="G4038" s="19"/>
      <c r="J4038" s="19"/>
      <c r="K4038" s="19"/>
      <c r="L4038" s="19"/>
      <c r="R4038" s="19"/>
    </row>
    <row r="4039" spans="7:18" x14ac:dyDescent="0.25">
      <c r="G4039" s="19"/>
      <c r="J4039" s="19"/>
      <c r="K4039" s="19"/>
      <c r="L4039" s="19"/>
      <c r="R4039" s="19"/>
    </row>
    <row r="4040" spans="7:18" x14ac:dyDescent="0.25">
      <c r="G4040" s="19"/>
      <c r="J4040" s="19"/>
      <c r="K4040" s="19"/>
      <c r="L4040" s="19"/>
      <c r="R4040" s="19"/>
    </row>
    <row r="4041" spans="7:18" x14ac:dyDescent="0.25">
      <c r="G4041" s="19"/>
      <c r="J4041" s="19"/>
      <c r="K4041" s="19"/>
      <c r="L4041" s="19"/>
      <c r="R4041" s="19"/>
    </row>
    <row r="4042" spans="7:18" x14ac:dyDescent="0.25">
      <c r="G4042" s="19"/>
      <c r="J4042" s="19"/>
      <c r="K4042" s="19"/>
      <c r="L4042" s="19"/>
      <c r="R4042" s="19"/>
    </row>
    <row r="4043" spans="7:18" x14ac:dyDescent="0.25">
      <c r="G4043" s="19"/>
      <c r="J4043" s="19"/>
      <c r="K4043" s="19"/>
      <c r="L4043" s="19"/>
      <c r="R4043" s="19"/>
    </row>
    <row r="4044" spans="7:18" x14ac:dyDescent="0.25">
      <c r="G4044" s="19"/>
      <c r="J4044" s="19"/>
      <c r="K4044" s="19"/>
      <c r="L4044" s="19"/>
      <c r="R4044" s="19"/>
    </row>
    <row r="4045" spans="7:18" x14ac:dyDescent="0.25">
      <c r="G4045" s="19"/>
      <c r="J4045" s="19"/>
      <c r="K4045" s="19"/>
      <c r="L4045" s="19"/>
      <c r="R4045" s="19"/>
    </row>
    <row r="4046" spans="7:18" x14ac:dyDescent="0.25">
      <c r="G4046" s="19"/>
      <c r="J4046" s="19"/>
      <c r="K4046" s="19"/>
      <c r="L4046" s="19"/>
      <c r="R4046" s="19"/>
    </row>
    <row r="4047" spans="7:18" x14ac:dyDescent="0.25">
      <c r="G4047" s="19"/>
      <c r="J4047" s="19"/>
      <c r="K4047" s="19"/>
      <c r="L4047" s="19"/>
      <c r="R4047" s="19"/>
    </row>
    <row r="4048" spans="7:18" x14ac:dyDescent="0.25">
      <c r="G4048" s="19"/>
      <c r="J4048" s="19"/>
      <c r="K4048" s="19"/>
      <c r="L4048" s="19"/>
      <c r="R4048" s="19"/>
    </row>
    <row r="4049" spans="7:18" x14ac:dyDescent="0.25">
      <c r="G4049" s="19"/>
      <c r="J4049" s="19"/>
      <c r="K4049" s="19"/>
      <c r="L4049" s="19"/>
      <c r="R4049" s="19"/>
    </row>
    <row r="4050" spans="7:18" x14ac:dyDescent="0.25">
      <c r="G4050" s="19"/>
      <c r="J4050" s="19"/>
      <c r="K4050" s="19"/>
      <c r="L4050" s="19"/>
      <c r="R4050" s="19"/>
    </row>
    <row r="4051" spans="7:18" x14ac:dyDescent="0.25">
      <c r="G4051" s="19"/>
      <c r="J4051" s="19"/>
      <c r="K4051" s="19"/>
      <c r="L4051" s="19"/>
      <c r="R4051" s="19"/>
    </row>
    <row r="4052" spans="7:18" x14ac:dyDescent="0.25">
      <c r="G4052" s="19"/>
      <c r="J4052" s="19"/>
      <c r="K4052" s="19"/>
      <c r="L4052" s="19"/>
      <c r="R4052" s="19"/>
    </row>
    <row r="4053" spans="7:18" x14ac:dyDescent="0.25">
      <c r="G4053" s="19"/>
      <c r="J4053" s="19"/>
      <c r="K4053" s="19"/>
      <c r="L4053" s="19"/>
      <c r="R4053" s="19"/>
    </row>
    <row r="4054" spans="7:18" x14ac:dyDescent="0.25">
      <c r="G4054" s="19"/>
      <c r="J4054" s="19"/>
      <c r="K4054" s="19"/>
      <c r="L4054" s="19"/>
      <c r="R4054" s="19"/>
    </row>
    <row r="4055" spans="7:18" x14ac:dyDescent="0.25">
      <c r="G4055" s="19"/>
      <c r="J4055" s="19"/>
      <c r="K4055" s="19"/>
      <c r="L4055" s="19"/>
      <c r="R4055" s="19"/>
    </row>
    <row r="4056" spans="7:18" x14ac:dyDescent="0.25">
      <c r="G4056" s="19"/>
      <c r="J4056" s="19"/>
      <c r="K4056" s="19"/>
      <c r="L4056" s="19"/>
      <c r="R4056" s="19"/>
    </row>
    <row r="4057" spans="7:18" x14ac:dyDescent="0.25">
      <c r="G4057" s="19"/>
      <c r="J4057" s="19"/>
      <c r="K4057" s="19"/>
      <c r="L4057" s="19"/>
      <c r="R4057" s="19"/>
    </row>
    <row r="4058" spans="7:18" x14ac:dyDescent="0.25">
      <c r="G4058" s="19"/>
      <c r="J4058" s="19"/>
      <c r="K4058" s="19"/>
      <c r="L4058" s="19"/>
      <c r="R4058" s="19"/>
    </row>
    <row r="4059" spans="7:18" x14ac:dyDescent="0.25">
      <c r="G4059" s="19"/>
      <c r="J4059" s="19"/>
      <c r="K4059" s="19"/>
      <c r="L4059" s="19"/>
      <c r="R4059" s="19"/>
    </row>
    <row r="4060" spans="7:18" x14ac:dyDescent="0.25">
      <c r="G4060" s="19"/>
      <c r="J4060" s="19"/>
      <c r="K4060" s="19"/>
      <c r="L4060" s="19"/>
      <c r="R4060" s="19"/>
    </row>
    <row r="4061" spans="7:18" x14ac:dyDescent="0.25">
      <c r="G4061" s="19"/>
      <c r="J4061" s="19"/>
      <c r="K4061" s="19"/>
      <c r="L4061" s="19"/>
      <c r="R4061" s="19"/>
    </row>
    <row r="4062" spans="7:18" x14ac:dyDescent="0.25">
      <c r="G4062" s="19"/>
      <c r="J4062" s="19"/>
      <c r="K4062" s="19"/>
      <c r="L4062" s="19"/>
      <c r="R4062" s="19"/>
    </row>
    <row r="4063" spans="7:18" x14ac:dyDescent="0.25">
      <c r="G4063" s="19"/>
      <c r="J4063" s="19"/>
      <c r="K4063" s="19"/>
      <c r="L4063" s="19"/>
      <c r="R4063" s="19"/>
    </row>
    <row r="4064" spans="7:18" x14ac:dyDescent="0.25">
      <c r="G4064" s="19"/>
      <c r="J4064" s="19"/>
      <c r="K4064" s="19"/>
      <c r="L4064" s="19"/>
      <c r="R4064" s="19"/>
    </row>
    <row r="4065" spans="7:18" x14ac:dyDescent="0.25">
      <c r="G4065" s="19"/>
      <c r="J4065" s="19"/>
      <c r="K4065" s="19"/>
      <c r="L4065" s="19"/>
      <c r="R4065" s="19"/>
    </row>
    <row r="4066" spans="7:18" x14ac:dyDescent="0.25">
      <c r="G4066" s="19"/>
      <c r="J4066" s="19"/>
      <c r="K4066" s="19"/>
      <c r="L4066" s="19"/>
      <c r="R4066" s="19"/>
    </row>
    <row r="4067" spans="7:18" x14ac:dyDescent="0.25">
      <c r="G4067" s="19"/>
      <c r="J4067" s="19"/>
      <c r="K4067" s="19"/>
      <c r="L4067" s="19"/>
      <c r="R4067" s="19"/>
    </row>
    <row r="4068" spans="7:18" x14ac:dyDescent="0.25">
      <c r="G4068" s="19"/>
      <c r="J4068" s="19"/>
      <c r="K4068" s="19"/>
      <c r="L4068" s="19"/>
      <c r="R4068" s="19"/>
    </row>
    <row r="4069" spans="7:18" x14ac:dyDescent="0.25">
      <c r="G4069" s="19"/>
      <c r="J4069" s="19"/>
      <c r="K4069" s="19"/>
      <c r="L4069" s="19"/>
      <c r="R4069" s="19"/>
    </row>
    <row r="4070" spans="7:18" x14ac:dyDescent="0.25">
      <c r="G4070" s="19"/>
      <c r="J4070" s="19"/>
      <c r="K4070" s="19"/>
      <c r="L4070" s="19"/>
      <c r="R4070" s="19"/>
    </row>
    <row r="4071" spans="7:18" x14ac:dyDescent="0.25">
      <c r="G4071" s="19"/>
      <c r="J4071" s="19"/>
      <c r="K4071" s="19"/>
      <c r="L4071" s="19"/>
      <c r="R4071" s="19"/>
    </row>
    <row r="4072" spans="7:18" x14ac:dyDescent="0.25">
      <c r="G4072" s="19"/>
      <c r="J4072" s="19"/>
      <c r="K4072" s="19"/>
      <c r="L4072" s="19"/>
      <c r="R4072" s="19"/>
    </row>
    <row r="4073" spans="7:18" x14ac:dyDescent="0.25">
      <c r="G4073" s="19"/>
      <c r="J4073" s="19"/>
      <c r="K4073" s="19"/>
      <c r="L4073" s="19"/>
      <c r="R4073" s="19"/>
    </row>
    <row r="4074" spans="7:18" x14ac:dyDescent="0.25">
      <c r="G4074" s="19"/>
      <c r="J4074" s="19"/>
      <c r="K4074" s="19"/>
      <c r="L4074" s="19"/>
      <c r="R4074" s="19"/>
    </row>
    <row r="4075" spans="7:18" x14ac:dyDescent="0.25">
      <c r="G4075" s="19"/>
      <c r="J4075" s="19"/>
      <c r="K4075" s="19"/>
      <c r="L4075" s="19"/>
      <c r="R4075" s="19"/>
    </row>
    <row r="4076" spans="7:18" x14ac:dyDescent="0.25">
      <c r="G4076" s="19"/>
      <c r="J4076" s="19"/>
      <c r="K4076" s="19"/>
      <c r="L4076" s="19"/>
      <c r="R4076" s="19"/>
    </row>
    <row r="4077" spans="7:18" x14ac:dyDescent="0.25">
      <c r="G4077" s="19"/>
      <c r="J4077" s="19"/>
      <c r="K4077" s="19"/>
      <c r="L4077" s="19"/>
      <c r="R4077" s="19"/>
    </row>
    <row r="4078" spans="7:18" x14ac:dyDescent="0.25">
      <c r="G4078" s="19"/>
      <c r="J4078" s="19"/>
      <c r="K4078" s="19"/>
      <c r="L4078" s="19"/>
      <c r="R4078" s="19"/>
    </row>
    <row r="4079" spans="7:18" x14ac:dyDescent="0.25">
      <c r="G4079" s="19"/>
      <c r="J4079" s="19"/>
      <c r="K4079" s="19"/>
      <c r="L4079" s="19"/>
      <c r="R4079" s="19"/>
    </row>
    <row r="4080" spans="7:18" x14ac:dyDescent="0.25">
      <c r="G4080" s="19"/>
      <c r="J4080" s="19"/>
      <c r="K4080" s="19"/>
      <c r="L4080" s="19"/>
      <c r="R4080" s="19"/>
    </row>
    <row r="4081" spans="7:18" x14ac:dyDescent="0.25">
      <c r="G4081" s="19"/>
      <c r="J4081" s="19"/>
      <c r="K4081" s="19"/>
      <c r="L4081" s="19"/>
      <c r="R4081" s="19"/>
    </row>
    <row r="4082" spans="7:18" x14ac:dyDescent="0.25">
      <c r="G4082" s="19"/>
      <c r="J4082" s="19"/>
      <c r="K4082" s="19"/>
      <c r="L4082" s="19"/>
      <c r="R4082" s="19"/>
    </row>
    <row r="4083" spans="7:18" x14ac:dyDescent="0.25">
      <c r="G4083" s="19"/>
      <c r="J4083" s="19"/>
      <c r="K4083" s="19"/>
      <c r="L4083" s="19"/>
      <c r="R4083" s="19"/>
    </row>
    <row r="4084" spans="7:18" x14ac:dyDescent="0.25">
      <c r="G4084" s="19"/>
      <c r="J4084" s="19"/>
      <c r="K4084" s="19"/>
      <c r="L4084" s="19"/>
      <c r="R4084" s="19"/>
    </row>
    <row r="4085" spans="7:18" x14ac:dyDescent="0.25">
      <c r="G4085" s="19"/>
      <c r="J4085" s="19"/>
      <c r="K4085" s="19"/>
      <c r="L4085" s="19"/>
      <c r="R4085" s="19"/>
    </row>
    <row r="4086" spans="7:18" x14ac:dyDescent="0.25">
      <c r="G4086" s="19"/>
      <c r="J4086" s="19"/>
      <c r="K4086" s="19"/>
      <c r="L4086" s="19"/>
      <c r="R4086" s="19"/>
    </row>
    <row r="4087" spans="7:18" x14ac:dyDescent="0.25">
      <c r="G4087" s="19"/>
      <c r="J4087" s="19"/>
      <c r="K4087" s="19"/>
      <c r="L4087" s="19"/>
      <c r="R4087" s="19"/>
    </row>
    <row r="4088" spans="7:18" x14ac:dyDescent="0.25">
      <c r="G4088" s="19"/>
      <c r="J4088" s="19"/>
      <c r="K4088" s="19"/>
      <c r="L4088" s="19"/>
      <c r="R4088" s="19"/>
    </row>
    <row r="4089" spans="7:18" x14ac:dyDescent="0.25">
      <c r="G4089" s="19"/>
      <c r="J4089" s="19"/>
      <c r="K4089" s="19"/>
      <c r="L4089" s="19"/>
      <c r="R4089" s="19"/>
    </row>
    <row r="4090" spans="7:18" x14ac:dyDescent="0.25">
      <c r="G4090" s="19"/>
      <c r="J4090" s="19"/>
      <c r="K4090" s="19"/>
      <c r="L4090" s="19"/>
      <c r="R4090" s="19"/>
    </row>
    <row r="4091" spans="7:18" x14ac:dyDescent="0.25">
      <c r="G4091" s="19"/>
      <c r="J4091" s="19"/>
      <c r="K4091" s="19"/>
      <c r="L4091" s="19"/>
      <c r="R4091" s="19"/>
    </row>
    <row r="4092" spans="7:18" x14ac:dyDescent="0.25">
      <c r="G4092" s="19"/>
      <c r="J4092" s="19"/>
      <c r="K4092" s="19"/>
      <c r="L4092" s="19"/>
      <c r="R4092" s="19"/>
    </row>
    <row r="4093" spans="7:18" x14ac:dyDescent="0.25">
      <c r="G4093" s="19"/>
      <c r="J4093" s="19"/>
      <c r="K4093" s="19"/>
      <c r="L4093" s="19"/>
      <c r="R4093" s="19"/>
    </row>
    <row r="4094" spans="7:18" x14ac:dyDescent="0.25">
      <c r="G4094" s="19"/>
      <c r="J4094" s="19"/>
      <c r="K4094" s="19"/>
      <c r="L4094" s="19"/>
      <c r="R4094" s="19"/>
    </row>
    <row r="4095" spans="7:18" x14ac:dyDescent="0.25">
      <c r="G4095" s="19"/>
      <c r="J4095" s="19"/>
      <c r="K4095" s="19"/>
      <c r="L4095" s="19"/>
      <c r="R4095" s="19"/>
    </row>
    <row r="4096" spans="7:18" x14ac:dyDescent="0.25">
      <c r="G4096" s="19"/>
      <c r="J4096" s="19"/>
      <c r="K4096" s="19"/>
      <c r="L4096" s="19"/>
      <c r="R4096" s="19"/>
    </row>
    <row r="4097" spans="7:18" x14ac:dyDescent="0.25">
      <c r="G4097" s="19"/>
      <c r="J4097" s="19"/>
      <c r="K4097" s="19"/>
      <c r="L4097" s="19"/>
      <c r="R4097" s="19"/>
    </row>
    <row r="4098" spans="7:18" x14ac:dyDescent="0.25">
      <c r="G4098" s="19"/>
      <c r="J4098" s="19"/>
      <c r="K4098" s="19"/>
      <c r="L4098" s="19"/>
      <c r="R4098" s="19"/>
    </row>
    <row r="4099" spans="7:18" x14ac:dyDescent="0.25">
      <c r="G4099" s="19"/>
      <c r="J4099" s="19"/>
      <c r="K4099" s="19"/>
      <c r="L4099" s="19"/>
      <c r="R4099" s="19"/>
    </row>
    <row r="4100" spans="7:18" x14ac:dyDescent="0.25">
      <c r="G4100" s="19"/>
      <c r="J4100" s="19"/>
      <c r="K4100" s="19"/>
      <c r="L4100" s="19"/>
      <c r="R4100" s="19"/>
    </row>
    <row r="4101" spans="7:18" x14ac:dyDescent="0.25">
      <c r="G4101" s="19"/>
      <c r="J4101" s="19"/>
      <c r="K4101" s="19"/>
      <c r="L4101" s="19"/>
      <c r="R4101" s="19"/>
    </row>
    <row r="4102" spans="7:18" x14ac:dyDescent="0.25">
      <c r="G4102" s="19"/>
      <c r="J4102" s="19"/>
      <c r="K4102" s="19"/>
      <c r="L4102" s="19"/>
      <c r="R4102" s="19"/>
    </row>
    <row r="4103" spans="7:18" x14ac:dyDescent="0.25">
      <c r="G4103" s="19"/>
      <c r="J4103" s="19"/>
      <c r="K4103" s="19"/>
      <c r="L4103" s="19"/>
      <c r="R4103" s="19"/>
    </row>
    <row r="4104" spans="7:18" x14ac:dyDescent="0.25">
      <c r="G4104" s="19"/>
      <c r="J4104" s="19"/>
      <c r="K4104" s="19"/>
      <c r="L4104" s="19"/>
      <c r="R4104" s="19"/>
    </row>
    <row r="4105" spans="7:18" x14ac:dyDescent="0.25">
      <c r="G4105" s="19"/>
      <c r="J4105" s="19"/>
      <c r="K4105" s="19"/>
      <c r="L4105" s="19"/>
      <c r="R4105" s="19"/>
    </row>
    <row r="4106" spans="7:18" x14ac:dyDescent="0.25">
      <c r="G4106" s="19"/>
      <c r="J4106" s="19"/>
      <c r="K4106" s="19"/>
      <c r="L4106" s="19"/>
      <c r="R4106" s="19"/>
    </row>
    <row r="4107" spans="7:18" x14ac:dyDescent="0.25">
      <c r="G4107" s="19"/>
      <c r="J4107" s="19"/>
      <c r="K4107" s="19"/>
      <c r="L4107" s="19"/>
      <c r="R4107" s="19"/>
    </row>
    <row r="4108" spans="7:18" x14ac:dyDescent="0.25">
      <c r="G4108" s="19"/>
      <c r="J4108" s="19"/>
      <c r="K4108" s="19"/>
      <c r="L4108" s="19"/>
      <c r="R4108" s="19"/>
    </row>
    <row r="4109" spans="7:18" x14ac:dyDescent="0.25">
      <c r="G4109" s="19"/>
      <c r="J4109" s="19"/>
      <c r="K4109" s="19"/>
      <c r="L4109" s="19"/>
      <c r="R4109" s="19"/>
    </row>
    <row r="4110" spans="7:18" x14ac:dyDescent="0.25">
      <c r="G4110" s="19"/>
      <c r="J4110" s="19"/>
      <c r="K4110" s="19"/>
      <c r="L4110" s="19"/>
      <c r="R4110" s="19"/>
    </row>
    <row r="4111" spans="7:18" x14ac:dyDescent="0.25">
      <c r="G4111" s="19"/>
      <c r="J4111" s="19"/>
      <c r="K4111" s="19"/>
      <c r="L4111" s="19"/>
      <c r="R4111" s="19"/>
    </row>
    <row r="4112" spans="7:18" x14ac:dyDescent="0.25">
      <c r="G4112" s="19"/>
      <c r="J4112" s="19"/>
      <c r="K4112" s="19"/>
      <c r="L4112" s="19"/>
      <c r="R4112" s="19"/>
    </row>
    <row r="4113" spans="7:18" x14ac:dyDescent="0.25">
      <c r="G4113" s="19"/>
      <c r="J4113" s="19"/>
      <c r="K4113" s="19"/>
      <c r="L4113" s="19"/>
      <c r="R4113" s="19"/>
    </row>
    <row r="4114" spans="7:18" x14ac:dyDescent="0.25">
      <c r="G4114" s="19"/>
      <c r="J4114" s="19"/>
      <c r="K4114" s="19"/>
      <c r="L4114" s="19"/>
      <c r="R4114" s="19"/>
    </row>
    <row r="4115" spans="7:18" x14ac:dyDescent="0.25">
      <c r="G4115" s="19"/>
      <c r="J4115" s="19"/>
      <c r="K4115" s="19"/>
      <c r="L4115" s="19"/>
      <c r="R4115" s="19"/>
    </row>
    <row r="4116" spans="7:18" x14ac:dyDescent="0.25">
      <c r="G4116" s="19"/>
      <c r="J4116" s="19"/>
      <c r="K4116" s="19"/>
      <c r="L4116" s="19"/>
      <c r="R4116" s="19"/>
    </row>
    <row r="4117" spans="7:18" x14ac:dyDescent="0.25">
      <c r="G4117" s="19"/>
      <c r="J4117" s="19"/>
      <c r="K4117" s="19"/>
      <c r="L4117" s="19"/>
      <c r="R4117" s="19"/>
    </row>
    <row r="4118" spans="7:18" x14ac:dyDescent="0.25">
      <c r="G4118" s="19"/>
      <c r="J4118" s="19"/>
      <c r="K4118" s="19"/>
      <c r="L4118" s="19"/>
      <c r="R4118" s="19"/>
    </row>
    <row r="4119" spans="7:18" x14ac:dyDescent="0.25">
      <c r="G4119" s="19"/>
      <c r="J4119" s="19"/>
      <c r="K4119" s="19"/>
      <c r="L4119" s="19"/>
      <c r="R4119" s="19"/>
    </row>
    <row r="4120" spans="7:18" x14ac:dyDescent="0.25">
      <c r="G4120" s="19"/>
      <c r="J4120" s="19"/>
      <c r="K4120" s="19"/>
      <c r="L4120" s="19"/>
      <c r="R4120" s="19"/>
    </row>
    <row r="4121" spans="7:18" x14ac:dyDescent="0.25">
      <c r="G4121" s="19"/>
      <c r="J4121" s="19"/>
      <c r="K4121" s="19"/>
      <c r="L4121" s="19"/>
      <c r="R4121" s="19"/>
    </row>
    <row r="4122" spans="7:18" x14ac:dyDescent="0.25">
      <c r="G4122" s="19"/>
      <c r="J4122" s="19"/>
      <c r="K4122" s="19"/>
      <c r="L4122" s="19"/>
      <c r="R4122" s="19"/>
    </row>
    <row r="4123" spans="7:18" x14ac:dyDescent="0.25">
      <c r="G4123" s="19"/>
      <c r="J4123" s="19"/>
      <c r="K4123" s="19"/>
      <c r="L4123" s="19"/>
      <c r="R4123" s="19"/>
    </row>
    <row r="4124" spans="7:18" x14ac:dyDescent="0.25">
      <c r="G4124" s="19"/>
      <c r="J4124" s="19"/>
      <c r="K4124" s="19"/>
      <c r="L4124" s="19"/>
      <c r="R4124" s="19"/>
    </row>
    <row r="4125" spans="7:18" x14ac:dyDescent="0.25">
      <c r="G4125" s="19"/>
      <c r="J4125" s="19"/>
      <c r="K4125" s="19"/>
      <c r="L4125" s="19"/>
      <c r="R4125" s="19"/>
    </row>
    <row r="4126" spans="7:18" x14ac:dyDescent="0.25">
      <c r="G4126" s="19"/>
      <c r="J4126" s="19"/>
      <c r="K4126" s="19"/>
      <c r="L4126" s="19"/>
      <c r="R4126" s="19"/>
    </row>
    <row r="4127" spans="7:18" x14ac:dyDescent="0.25">
      <c r="G4127" s="19"/>
      <c r="J4127" s="19"/>
      <c r="K4127" s="19"/>
      <c r="L4127" s="19"/>
      <c r="R4127" s="19"/>
    </row>
    <row r="4128" spans="7:18" x14ac:dyDescent="0.25">
      <c r="G4128" s="19"/>
      <c r="J4128" s="19"/>
      <c r="K4128" s="19"/>
      <c r="L4128" s="19"/>
      <c r="R4128" s="19"/>
    </row>
    <row r="4129" spans="7:18" x14ac:dyDescent="0.25">
      <c r="G4129" s="19"/>
      <c r="J4129" s="19"/>
      <c r="K4129" s="19"/>
      <c r="L4129" s="19"/>
      <c r="R4129" s="19"/>
    </row>
    <row r="4130" spans="7:18" x14ac:dyDescent="0.25">
      <c r="G4130" s="19"/>
      <c r="J4130" s="19"/>
      <c r="K4130" s="19"/>
      <c r="L4130" s="19"/>
      <c r="R4130" s="19"/>
    </row>
    <row r="4131" spans="7:18" x14ac:dyDescent="0.25">
      <c r="G4131" s="19"/>
      <c r="J4131" s="19"/>
      <c r="K4131" s="19"/>
      <c r="L4131" s="19"/>
      <c r="R4131" s="19"/>
    </row>
    <row r="4132" spans="7:18" x14ac:dyDescent="0.25">
      <c r="G4132" s="19"/>
      <c r="J4132" s="19"/>
      <c r="K4132" s="19"/>
      <c r="L4132" s="19"/>
      <c r="R4132" s="19"/>
    </row>
    <row r="4133" spans="7:18" x14ac:dyDescent="0.25">
      <c r="G4133" s="19"/>
      <c r="J4133" s="19"/>
      <c r="K4133" s="19"/>
      <c r="L4133" s="19"/>
      <c r="R4133" s="19"/>
    </row>
    <row r="4134" spans="7:18" x14ac:dyDescent="0.25">
      <c r="G4134" s="19"/>
      <c r="J4134" s="19"/>
      <c r="K4134" s="19"/>
      <c r="L4134" s="19"/>
      <c r="R4134" s="19"/>
    </row>
    <row r="4135" spans="7:18" x14ac:dyDescent="0.25">
      <c r="G4135" s="19"/>
      <c r="J4135" s="19"/>
      <c r="K4135" s="19"/>
      <c r="L4135" s="19"/>
      <c r="R4135" s="19"/>
    </row>
    <row r="4136" spans="7:18" x14ac:dyDescent="0.25">
      <c r="G4136" s="19"/>
      <c r="J4136" s="19"/>
      <c r="K4136" s="19"/>
      <c r="L4136" s="19"/>
      <c r="R4136" s="19"/>
    </row>
    <row r="4137" spans="7:18" x14ac:dyDescent="0.25">
      <c r="G4137" s="19"/>
      <c r="J4137" s="19"/>
      <c r="K4137" s="19"/>
      <c r="L4137" s="19"/>
      <c r="R4137" s="19"/>
    </row>
    <row r="4138" spans="7:18" x14ac:dyDescent="0.25">
      <c r="G4138" s="19"/>
      <c r="J4138" s="19"/>
      <c r="K4138" s="19"/>
      <c r="L4138" s="19"/>
      <c r="R4138" s="19"/>
    </row>
    <row r="4139" spans="7:18" x14ac:dyDescent="0.25">
      <c r="G4139" s="19"/>
      <c r="J4139" s="19"/>
      <c r="K4139" s="19"/>
      <c r="L4139" s="19"/>
      <c r="R4139" s="19"/>
    </row>
    <row r="4140" spans="7:18" x14ac:dyDescent="0.25">
      <c r="G4140" s="19"/>
      <c r="J4140" s="19"/>
      <c r="K4140" s="19"/>
      <c r="L4140" s="19"/>
      <c r="R4140" s="19"/>
    </row>
    <row r="4141" spans="7:18" x14ac:dyDescent="0.25">
      <c r="G4141" s="19"/>
      <c r="J4141" s="19"/>
      <c r="K4141" s="19"/>
      <c r="L4141" s="19"/>
      <c r="R4141" s="19"/>
    </row>
    <row r="4142" spans="7:18" x14ac:dyDescent="0.25">
      <c r="G4142" s="19"/>
      <c r="J4142" s="19"/>
      <c r="K4142" s="19"/>
      <c r="L4142" s="19"/>
      <c r="R4142" s="19"/>
    </row>
    <row r="4143" spans="7:18" x14ac:dyDescent="0.25">
      <c r="G4143" s="19"/>
      <c r="J4143" s="19"/>
      <c r="K4143" s="19"/>
      <c r="L4143" s="19"/>
      <c r="R4143" s="19"/>
    </row>
    <row r="4144" spans="7:18" x14ac:dyDescent="0.25">
      <c r="G4144" s="19"/>
      <c r="J4144" s="19"/>
      <c r="K4144" s="19"/>
      <c r="L4144" s="19"/>
      <c r="R4144" s="19"/>
    </row>
    <row r="4145" spans="7:18" x14ac:dyDescent="0.25">
      <c r="G4145" s="19"/>
      <c r="J4145" s="19"/>
      <c r="K4145" s="19"/>
      <c r="L4145" s="19"/>
      <c r="R4145" s="19"/>
    </row>
    <row r="4146" spans="7:18" x14ac:dyDescent="0.25">
      <c r="G4146" s="19"/>
      <c r="J4146" s="19"/>
      <c r="K4146" s="19"/>
      <c r="L4146" s="19"/>
      <c r="R4146" s="19"/>
    </row>
    <row r="4147" spans="7:18" x14ac:dyDescent="0.25">
      <c r="G4147" s="19"/>
      <c r="J4147" s="19"/>
      <c r="K4147" s="19"/>
      <c r="L4147" s="19"/>
      <c r="R4147" s="19"/>
    </row>
    <row r="4148" spans="7:18" x14ac:dyDescent="0.25">
      <c r="G4148" s="19"/>
      <c r="J4148" s="19"/>
      <c r="K4148" s="19"/>
      <c r="L4148" s="19"/>
      <c r="R4148" s="19"/>
    </row>
    <row r="4149" spans="7:18" x14ac:dyDescent="0.25">
      <c r="G4149" s="19"/>
      <c r="J4149" s="19"/>
      <c r="K4149" s="19"/>
      <c r="L4149" s="19"/>
      <c r="R4149" s="19"/>
    </row>
    <row r="4150" spans="7:18" x14ac:dyDescent="0.25">
      <c r="G4150" s="19"/>
      <c r="J4150" s="19"/>
      <c r="K4150" s="19"/>
      <c r="L4150" s="19"/>
      <c r="R4150" s="19"/>
    </row>
    <row r="4151" spans="7:18" x14ac:dyDescent="0.25">
      <c r="G4151" s="19"/>
      <c r="J4151" s="19"/>
      <c r="K4151" s="19"/>
      <c r="L4151" s="19"/>
      <c r="R4151" s="19"/>
    </row>
    <row r="4152" spans="7:18" x14ac:dyDescent="0.25">
      <c r="G4152" s="19"/>
      <c r="J4152" s="19"/>
      <c r="K4152" s="19"/>
      <c r="L4152" s="19"/>
      <c r="R4152" s="19"/>
    </row>
    <row r="4153" spans="7:18" x14ac:dyDescent="0.25">
      <c r="G4153" s="19"/>
      <c r="J4153" s="19"/>
      <c r="K4153" s="19"/>
      <c r="L4153" s="19"/>
      <c r="R4153" s="19"/>
    </row>
    <row r="4154" spans="7:18" x14ac:dyDescent="0.25">
      <c r="G4154" s="19"/>
      <c r="J4154" s="19"/>
      <c r="K4154" s="19"/>
      <c r="L4154" s="19"/>
      <c r="R4154" s="19"/>
    </row>
    <row r="4155" spans="7:18" x14ac:dyDescent="0.25">
      <c r="G4155" s="19"/>
      <c r="J4155" s="19"/>
      <c r="K4155" s="19"/>
      <c r="L4155" s="19"/>
      <c r="R4155" s="19"/>
    </row>
    <row r="4156" spans="7:18" x14ac:dyDescent="0.25">
      <c r="G4156" s="19"/>
      <c r="J4156" s="19"/>
      <c r="K4156" s="19"/>
      <c r="L4156" s="19"/>
      <c r="R4156" s="19"/>
    </row>
    <row r="4157" spans="7:18" x14ac:dyDescent="0.25">
      <c r="G4157" s="19"/>
      <c r="J4157" s="19"/>
      <c r="K4157" s="19"/>
      <c r="L4157" s="19"/>
      <c r="R4157" s="19"/>
    </row>
    <row r="4158" spans="7:18" x14ac:dyDescent="0.25">
      <c r="G4158" s="19"/>
      <c r="J4158" s="19"/>
      <c r="K4158" s="19"/>
      <c r="L4158" s="19"/>
      <c r="R4158" s="19"/>
    </row>
    <row r="4159" spans="7:18" x14ac:dyDescent="0.25">
      <c r="G4159" s="19"/>
      <c r="J4159" s="19"/>
      <c r="K4159" s="19"/>
      <c r="L4159" s="19"/>
      <c r="R4159" s="19"/>
    </row>
    <row r="4160" spans="7:18" x14ac:dyDescent="0.25">
      <c r="G4160" s="19"/>
      <c r="J4160" s="19"/>
      <c r="K4160" s="19"/>
      <c r="L4160" s="19"/>
      <c r="R4160" s="19"/>
    </row>
    <row r="4161" spans="7:18" x14ac:dyDescent="0.25">
      <c r="G4161" s="19"/>
      <c r="J4161" s="19"/>
      <c r="K4161" s="19"/>
      <c r="L4161" s="19"/>
      <c r="R4161" s="19"/>
    </row>
    <row r="4162" spans="7:18" x14ac:dyDescent="0.25">
      <c r="G4162" s="19"/>
      <c r="J4162" s="19"/>
      <c r="K4162" s="19"/>
      <c r="L4162" s="19"/>
      <c r="R4162" s="19"/>
    </row>
    <row r="4163" spans="7:18" x14ac:dyDescent="0.25">
      <c r="G4163" s="19"/>
      <c r="J4163" s="19"/>
      <c r="K4163" s="19"/>
      <c r="L4163" s="19"/>
      <c r="R4163" s="19"/>
    </row>
    <row r="4164" spans="7:18" x14ac:dyDescent="0.25">
      <c r="G4164" s="19"/>
      <c r="J4164" s="19"/>
      <c r="K4164" s="19"/>
      <c r="L4164" s="19"/>
      <c r="R4164" s="19"/>
    </row>
    <row r="4165" spans="7:18" x14ac:dyDescent="0.25">
      <c r="G4165" s="19"/>
      <c r="J4165" s="19"/>
      <c r="K4165" s="19"/>
      <c r="L4165" s="19"/>
      <c r="R4165" s="19"/>
    </row>
    <row r="4166" spans="7:18" x14ac:dyDescent="0.25">
      <c r="G4166" s="19"/>
      <c r="J4166" s="19"/>
      <c r="K4166" s="19"/>
      <c r="L4166" s="19"/>
      <c r="R4166" s="19"/>
    </row>
    <row r="4167" spans="7:18" x14ac:dyDescent="0.25">
      <c r="G4167" s="19"/>
      <c r="J4167" s="19"/>
      <c r="K4167" s="19"/>
      <c r="L4167" s="19"/>
      <c r="R4167" s="19"/>
    </row>
    <row r="4168" spans="7:18" x14ac:dyDescent="0.25">
      <c r="G4168" s="19"/>
      <c r="J4168" s="19"/>
      <c r="K4168" s="19"/>
      <c r="L4168" s="19"/>
      <c r="R4168" s="19"/>
    </row>
    <row r="4169" spans="7:18" x14ac:dyDescent="0.25">
      <c r="G4169" s="19"/>
      <c r="J4169" s="19"/>
      <c r="K4169" s="19"/>
      <c r="L4169" s="19"/>
      <c r="R4169" s="19"/>
    </row>
    <row r="4170" spans="7:18" x14ac:dyDescent="0.25">
      <c r="G4170" s="19"/>
      <c r="J4170" s="19"/>
      <c r="K4170" s="19"/>
      <c r="L4170" s="19"/>
      <c r="R4170" s="19"/>
    </row>
    <row r="4171" spans="7:18" x14ac:dyDescent="0.25">
      <c r="G4171" s="19"/>
      <c r="J4171" s="19"/>
      <c r="K4171" s="19"/>
      <c r="L4171" s="19"/>
      <c r="R4171" s="19"/>
    </row>
    <row r="4172" spans="7:18" x14ac:dyDescent="0.25">
      <c r="G4172" s="19"/>
      <c r="J4172" s="19"/>
      <c r="K4172" s="19"/>
      <c r="L4172" s="19"/>
      <c r="R4172" s="19"/>
    </row>
    <row r="4173" spans="7:18" x14ac:dyDescent="0.25">
      <c r="G4173" s="19"/>
      <c r="J4173" s="19"/>
      <c r="K4173" s="19"/>
      <c r="L4173" s="19"/>
      <c r="R4173" s="19"/>
    </row>
    <row r="4174" spans="7:18" x14ac:dyDescent="0.25">
      <c r="G4174" s="19"/>
      <c r="J4174" s="19"/>
      <c r="K4174" s="19"/>
      <c r="L4174" s="19"/>
      <c r="R4174" s="19"/>
    </row>
    <row r="4175" spans="7:18" x14ac:dyDescent="0.25">
      <c r="G4175" s="19"/>
      <c r="J4175" s="19"/>
      <c r="K4175" s="19"/>
      <c r="L4175" s="19"/>
      <c r="R4175" s="19"/>
    </row>
    <row r="4176" spans="7:18" x14ac:dyDescent="0.25">
      <c r="G4176" s="19"/>
      <c r="J4176" s="19"/>
      <c r="K4176" s="19"/>
      <c r="L4176" s="19"/>
      <c r="R4176" s="19"/>
    </row>
    <row r="4177" spans="7:18" x14ac:dyDescent="0.25">
      <c r="G4177" s="19"/>
      <c r="J4177" s="19"/>
      <c r="K4177" s="19"/>
      <c r="L4177" s="19"/>
      <c r="R4177" s="19"/>
    </row>
    <row r="4178" spans="7:18" x14ac:dyDescent="0.25">
      <c r="G4178" s="19"/>
      <c r="J4178" s="19"/>
      <c r="K4178" s="19"/>
      <c r="L4178" s="19"/>
      <c r="R4178" s="19"/>
    </row>
    <row r="4179" spans="7:18" x14ac:dyDescent="0.25">
      <c r="G4179" s="19"/>
      <c r="J4179" s="19"/>
      <c r="K4179" s="19"/>
      <c r="L4179" s="19"/>
      <c r="R4179" s="19"/>
    </row>
    <row r="4180" spans="7:18" x14ac:dyDescent="0.25">
      <c r="G4180" s="19"/>
      <c r="J4180" s="19"/>
      <c r="K4180" s="19"/>
      <c r="L4180" s="19"/>
      <c r="R4180" s="19"/>
    </row>
    <row r="4181" spans="7:18" x14ac:dyDescent="0.25">
      <c r="G4181" s="19"/>
      <c r="J4181" s="19"/>
      <c r="K4181" s="19"/>
      <c r="L4181" s="19"/>
      <c r="R4181" s="19"/>
    </row>
    <row r="4182" spans="7:18" x14ac:dyDescent="0.25">
      <c r="G4182" s="19"/>
      <c r="J4182" s="19"/>
      <c r="K4182" s="19"/>
      <c r="L4182" s="19"/>
      <c r="R4182" s="19"/>
    </row>
    <row r="4183" spans="7:18" x14ac:dyDescent="0.25">
      <c r="G4183" s="19"/>
      <c r="J4183" s="19"/>
      <c r="K4183" s="19"/>
      <c r="L4183" s="19"/>
      <c r="R4183" s="19"/>
    </row>
    <row r="4184" spans="7:18" x14ac:dyDescent="0.25">
      <c r="G4184" s="19"/>
      <c r="J4184" s="19"/>
      <c r="K4184" s="19"/>
      <c r="L4184" s="19"/>
      <c r="R4184" s="19"/>
    </row>
    <row r="4185" spans="7:18" x14ac:dyDescent="0.25">
      <c r="G4185" s="19"/>
      <c r="J4185" s="19"/>
      <c r="K4185" s="19"/>
      <c r="L4185" s="19"/>
      <c r="R4185" s="19"/>
    </row>
    <row r="4186" spans="7:18" x14ac:dyDescent="0.25">
      <c r="G4186" s="19"/>
      <c r="J4186" s="19"/>
      <c r="K4186" s="19"/>
      <c r="L4186" s="19"/>
      <c r="R4186" s="19"/>
    </row>
    <row r="4187" spans="7:18" x14ac:dyDescent="0.25">
      <c r="G4187" s="19"/>
      <c r="J4187" s="19"/>
      <c r="K4187" s="19"/>
      <c r="L4187" s="19"/>
      <c r="R4187" s="19"/>
    </row>
    <row r="4188" spans="7:18" x14ac:dyDescent="0.25">
      <c r="G4188" s="19"/>
      <c r="J4188" s="19"/>
      <c r="K4188" s="19"/>
      <c r="L4188" s="19"/>
      <c r="R4188" s="19"/>
    </row>
    <row r="4189" spans="7:18" x14ac:dyDescent="0.25">
      <c r="G4189" s="19"/>
      <c r="J4189" s="19"/>
      <c r="K4189" s="19"/>
      <c r="L4189" s="19"/>
      <c r="R4189" s="19"/>
    </row>
    <row r="4190" spans="7:18" x14ac:dyDescent="0.25">
      <c r="G4190" s="19"/>
      <c r="J4190" s="19"/>
      <c r="K4190" s="19"/>
      <c r="L4190" s="19"/>
      <c r="R4190" s="19"/>
    </row>
    <row r="4191" spans="7:18" x14ac:dyDescent="0.25">
      <c r="G4191" s="19"/>
      <c r="J4191" s="19"/>
      <c r="K4191" s="19"/>
      <c r="L4191" s="19"/>
      <c r="R4191" s="19"/>
    </row>
    <row r="4192" spans="7:18" x14ac:dyDescent="0.25">
      <c r="G4192" s="19"/>
      <c r="J4192" s="19"/>
      <c r="K4192" s="19"/>
      <c r="L4192" s="19"/>
      <c r="R4192" s="19"/>
    </row>
    <row r="4193" spans="7:18" x14ac:dyDescent="0.25">
      <c r="G4193" s="19"/>
      <c r="J4193" s="19"/>
      <c r="K4193" s="19"/>
      <c r="L4193" s="19"/>
      <c r="R4193" s="19"/>
    </row>
    <row r="4194" spans="7:18" x14ac:dyDescent="0.25">
      <c r="G4194" s="19"/>
      <c r="J4194" s="19"/>
      <c r="K4194" s="19"/>
      <c r="L4194" s="19"/>
      <c r="R4194" s="19"/>
    </row>
    <row r="4195" spans="7:18" x14ac:dyDescent="0.25">
      <c r="G4195" s="19"/>
      <c r="J4195" s="19"/>
      <c r="K4195" s="19"/>
      <c r="L4195" s="19"/>
      <c r="R4195" s="19"/>
    </row>
    <row r="4196" spans="7:18" x14ac:dyDescent="0.25">
      <c r="G4196" s="19"/>
      <c r="J4196" s="19"/>
      <c r="K4196" s="19"/>
      <c r="L4196" s="19"/>
      <c r="R4196" s="19"/>
    </row>
    <row r="4197" spans="7:18" x14ac:dyDescent="0.25">
      <c r="G4197" s="19"/>
      <c r="J4197" s="19"/>
      <c r="K4197" s="19"/>
      <c r="L4197" s="19"/>
      <c r="R4197" s="19"/>
    </row>
    <row r="4198" spans="7:18" x14ac:dyDescent="0.25">
      <c r="G4198" s="19"/>
      <c r="J4198" s="19"/>
      <c r="K4198" s="19"/>
      <c r="L4198" s="19"/>
      <c r="R4198" s="19"/>
    </row>
    <row r="4199" spans="7:18" x14ac:dyDescent="0.25">
      <c r="G4199" s="19"/>
      <c r="J4199" s="19"/>
      <c r="K4199" s="19"/>
      <c r="L4199" s="19"/>
      <c r="R4199" s="19"/>
    </row>
    <row r="4200" spans="7:18" x14ac:dyDescent="0.25">
      <c r="G4200" s="19"/>
      <c r="J4200" s="19"/>
      <c r="K4200" s="19"/>
      <c r="L4200" s="19"/>
      <c r="R4200" s="19"/>
    </row>
    <row r="4201" spans="7:18" x14ac:dyDescent="0.25">
      <c r="G4201" s="19"/>
      <c r="J4201" s="19"/>
      <c r="K4201" s="19"/>
      <c r="L4201" s="19"/>
      <c r="R4201" s="19"/>
    </row>
    <row r="4202" spans="7:18" x14ac:dyDescent="0.25">
      <c r="G4202" s="19"/>
      <c r="J4202" s="19"/>
      <c r="K4202" s="19"/>
      <c r="L4202" s="19"/>
      <c r="R4202" s="19"/>
    </row>
    <row r="4203" spans="7:18" x14ac:dyDescent="0.25">
      <c r="G4203" s="19"/>
      <c r="J4203" s="19"/>
      <c r="K4203" s="19"/>
      <c r="L4203" s="19"/>
      <c r="R4203" s="19"/>
    </row>
    <row r="4204" spans="7:18" x14ac:dyDescent="0.25">
      <c r="G4204" s="19"/>
      <c r="J4204" s="19"/>
      <c r="K4204" s="19"/>
      <c r="L4204" s="19"/>
      <c r="R4204" s="19"/>
    </row>
    <row r="4205" spans="7:18" x14ac:dyDescent="0.25">
      <c r="G4205" s="19"/>
      <c r="J4205" s="19"/>
      <c r="K4205" s="19"/>
      <c r="L4205" s="19"/>
      <c r="R4205" s="19"/>
    </row>
    <row r="4206" spans="7:18" x14ac:dyDescent="0.25">
      <c r="G4206" s="19"/>
      <c r="J4206" s="19"/>
      <c r="K4206" s="19"/>
      <c r="L4206" s="19"/>
      <c r="R4206" s="19"/>
    </row>
    <row r="4207" spans="7:18" x14ac:dyDescent="0.25">
      <c r="G4207" s="19"/>
      <c r="J4207" s="19"/>
      <c r="K4207" s="19"/>
      <c r="L4207" s="19"/>
      <c r="R4207" s="19"/>
    </row>
    <row r="4208" spans="7:18" x14ac:dyDescent="0.25">
      <c r="G4208" s="19"/>
      <c r="J4208" s="19"/>
      <c r="K4208" s="19"/>
      <c r="L4208" s="19"/>
      <c r="R4208" s="19"/>
    </row>
    <row r="4209" spans="7:18" x14ac:dyDescent="0.25">
      <c r="G4209" s="19"/>
      <c r="J4209" s="19"/>
      <c r="K4209" s="19"/>
      <c r="L4209" s="19"/>
      <c r="R4209" s="19"/>
    </row>
    <row r="4210" spans="7:18" x14ac:dyDescent="0.25">
      <c r="G4210" s="19"/>
      <c r="J4210" s="19"/>
      <c r="K4210" s="19"/>
      <c r="L4210" s="19"/>
      <c r="R4210" s="19"/>
    </row>
    <row r="4211" spans="7:18" x14ac:dyDescent="0.25">
      <c r="G4211" s="19"/>
      <c r="J4211" s="19"/>
      <c r="K4211" s="19"/>
      <c r="L4211" s="19"/>
      <c r="R4211" s="19"/>
    </row>
    <row r="4212" spans="7:18" x14ac:dyDescent="0.25">
      <c r="G4212" s="19"/>
      <c r="J4212" s="19"/>
      <c r="K4212" s="19"/>
      <c r="L4212" s="19"/>
      <c r="R4212" s="19"/>
    </row>
    <row r="4213" spans="7:18" x14ac:dyDescent="0.25">
      <c r="G4213" s="19"/>
      <c r="J4213" s="19"/>
      <c r="K4213" s="19"/>
      <c r="L4213" s="19"/>
      <c r="R4213" s="19"/>
    </row>
    <row r="4214" spans="7:18" x14ac:dyDescent="0.25">
      <c r="G4214" s="19"/>
      <c r="J4214" s="19"/>
      <c r="K4214" s="19"/>
      <c r="L4214" s="19"/>
      <c r="R4214" s="19"/>
    </row>
    <row r="4215" spans="7:18" x14ac:dyDescent="0.25">
      <c r="G4215" s="19"/>
      <c r="J4215" s="19"/>
      <c r="K4215" s="19"/>
      <c r="L4215" s="19"/>
      <c r="R4215" s="19"/>
    </row>
    <row r="4216" spans="7:18" x14ac:dyDescent="0.25">
      <c r="G4216" s="19"/>
      <c r="J4216" s="19"/>
      <c r="K4216" s="19"/>
      <c r="L4216" s="19"/>
      <c r="R4216" s="19"/>
    </row>
    <row r="4217" spans="7:18" x14ac:dyDescent="0.25">
      <c r="G4217" s="19"/>
      <c r="J4217" s="19"/>
      <c r="K4217" s="19"/>
      <c r="L4217" s="19"/>
      <c r="R4217" s="19"/>
    </row>
    <row r="4218" spans="7:18" x14ac:dyDescent="0.25">
      <c r="G4218" s="19"/>
      <c r="J4218" s="19"/>
      <c r="K4218" s="19"/>
      <c r="L4218" s="19"/>
      <c r="R4218" s="19"/>
    </row>
    <row r="4219" spans="7:18" x14ac:dyDescent="0.25">
      <c r="G4219" s="19"/>
      <c r="J4219" s="19"/>
      <c r="K4219" s="19"/>
      <c r="L4219" s="19"/>
      <c r="R4219" s="19"/>
    </row>
    <row r="4220" spans="7:18" x14ac:dyDescent="0.25">
      <c r="G4220" s="19"/>
      <c r="J4220" s="19"/>
      <c r="K4220" s="19"/>
      <c r="L4220" s="19"/>
      <c r="R4220" s="19"/>
    </row>
    <row r="4221" spans="7:18" x14ac:dyDescent="0.25">
      <c r="G4221" s="19"/>
      <c r="J4221" s="19"/>
      <c r="K4221" s="19"/>
      <c r="L4221" s="19"/>
      <c r="R4221" s="19"/>
    </row>
    <row r="4222" spans="7:18" x14ac:dyDescent="0.25">
      <c r="G4222" s="19"/>
      <c r="J4222" s="19"/>
      <c r="K4222" s="19"/>
      <c r="L4222" s="19"/>
      <c r="R4222" s="19"/>
    </row>
    <row r="4223" spans="7:18" x14ac:dyDescent="0.25">
      <c r="G4223" s="19"/>
      <c r="J4223" s="19"/>
      <c r="K4223" s="19"/>
      <c r="L4223" s="19"/>
      <c r="R4223" s="19"/>
    </row>
    <row r="4224" spans="7:18" x14ac:dyDescent="0.25">
      <c r="G4224" s="19"/>
      <c r="J4224" s="19"/>
      <c r="K4224" s="19"/>
      <c r="L4224" s="19"/>
      <c r="R4224" s="19"/>
    </row>
    <row r="4225" spans="7:18" x14ac:dyDescent="0.25">
      <c r="G4225" s="19"/>
      <c r="J4225" s="19"/>
      <c r="K4225" s="19"/>
      <c r="L4225" s="19"/>
      <c r="R4225" s="19"/>
    </row>
    <row r="4226" spans="7:18" x14ac:dyDescent="0.25">
      <c r="G4226" s="19"/>
      <c r="J4226" s="19"/>
      <c r="K4226" s="19"/>
      <c r="L4226" s="19"/>
      <c r="R4226" s="19"/>
    </row>
    <row r="4227" spans="7:18" x14ac:dyDescent="0.25">
      <c r="G4227" s="19"/>
      <c r="J4227" s="19"/>
      <c r="K4227" s="19"/>
      <c r="L4227" s="19"/>
      <c r="R4227" s="19"/>
    </row>
    <row r="4228" spans="7:18" x14ac:dyDescent="0.25">
      <c r="G4228" s="19"/>
      <c r="J4228" s="19"/>
      <c r="K4228" s="19"/>
      <c r="L4228" s="19"/>
      <c r="R4228" s="19"/>
    </row>
    <row r="4229" spans="7:18" x14ac:dyDescent="0.25">
      <c r="G4229" s="19"/>
      <c r="J4229" s="19"/>
      <c r="K4229" s="19"/>
      <c r="L4229" s="19"/>
      <c r="R4229" s="19"/>
    </row>
    <row r="4230" spans="7:18" x14ac:dyDescent="0.25">
      <c r="G4230" s="19"/>
      <c r="J4230" s="19"/>
      <c r="K4230" s="19"/>
      <c r="L4230" s="19"/>
      <c r="R4230" s="19"/>
    </row>
    <row r="4231" spans="7:18" x14ac:dyDescent="0.25">
      <c r="G4231" s="19"/>
      <c r="J4231" s="19"/>
      <c r="K4231" s="19"/>
      <c r="L4231" s="19"/>
      <c r="R4231" s="19"/>
    </row>
    <row r="4232" spans="7:18" x14ac:dyDescent="0.25">
      <c r="G4232" s="19"/>
      <c r="J4232" s="19"/>
      <c r="K4232" s="19"/>
      <c r="L4232" s="19"/>
      <c r="R4232" s="19"/>
    </row>
    <row r="4233" spans="7:18" x14ac:dyDescent="0.25">
      <c r="G4233" s="19"/>
      <c r="J4233" s="19"/>
      <c r="K4233" s="19"/>
      <c r="L4233" s="19"/>
      <c r="R4233" s="19"/>
    </row>
    <row r="4234" spans="7:18" x14ac:dyDescent="0.25">
      <c r="G4234" s="19"/>
      <c r="J4234" s="19"/>
      <c r="K4234" s="19"/>
      <c r="L4234" s="19"/>
      <c r="R4234" s="19"/>
    </row>
    <row r="4235" spans="7:18" x14ac:dyDescent="0.25">
      <c r="G4235" s="19"/>
      <c r="J4235" s="19"/>
      <c r="K4235" s="19"/>
      <c r="L4235" s="19"/>
      <c r="R4235" s="19"/>
    </row>
    <row r="4236" spans="7:18" x14ac:dyDescent="0.25">
      <c r="G4236" s="19"/>
      <c r="J4236" s="19"/>
      <c r="K4236" s="19"/>
      <c r="L4236" s="19"/>
      <c r="R4236" s="19"/>
    </row>
    <row r="4237" spans="7:18" x14ac:dyDescent="0.25">
      <c r="G4237" s="19"/>
      <c r="J4237" s="19"/>
      <c r="K4237" s="19"/>
      <c r="L4237" s="19"/>
      <c r="R4237" s="19"/>
    </row>
    <row r="4238" spans="7:18" x14ac:dyDescent="0.25">
      <c r="G4238" s="19"/>
      <c r="J4238" s="19"/>
      <c r="K4238" s="19"/>
      <c r="L4238" s="19"/>
      <c r="R4238" s="19"/>
    </row>
    <row r="4239" spans="7:18" x14ac:dyDescent="0.25">
      <c r="G4239" s="19"/>
      <c r="J4239" s="19"/>
      <c r="K4239" s="19"/>
      <c r="L4239" s="19"/>
      <c r="R4239" s="19"/>
    </row>
    <row r="4240" spans="7:18" x14ac:dyDescent="0.25">
      <c r="G4240" s="19"/>
      <c r="J4240" s="19"/>
      <c r="K4240" s="19"/>
      <c r="L4240" s="19"/>
      <c r="R4240" s="19"/>
    </row>
    <row r="4241" spans="7:18" x14ac:dyDescent="0.25">
      <c r="G4241" s="19"/>
      <c r="J4241" s="19"/>
      <c r="K4241" s="19"/>
      <c r="L4241" s="19"/>
      <c r="R4241" s="19"/>
    </row>
    <row r="4242" spans="7:18" x14ac:dyDescent="0.25">
      <c r="G4242" s="19"/>
      <c r="J4242" s="19"/>
      <c r="K4242" s="19"/>
      <c r="L4242" s="19"/>
      <c r="R4242" s="19"/>
    </row>
    <row r="4243" spans="7:18" x14ac:dyDescent="0.25">
      <c r="G4243" s="19"/>
      <c r="J4243" s="19"/>
      <c r="K4243" s="19"/>
      <c r="L4243" s="19"/>
      <c r="R4243" s="19"/>
    </row>
    <row r="4244" spans="7:18" x14ac:dyDescent="0.25">
      <c r="G4244" s="19"/>
      <c r="J4244" s="19"/>
      <c r="K4244" s="19"/>
      <c r="L4244" s="19"/>
      <c r="R4244" s="19"/>
    </row>
    <row r="4245" spans="7:18" x14ac:dyDescent="0.25">
      <c r="G4245" s="19"/>
      <c r="J4245" s="19"/>
      <c r="K4245" s="19"/>
      <c r="L4245" s="19"/>
      <c r="R4245" s="19"/>
    </row>
    <row r="4246" spans="7:18" x14ac:dyDescent="0.25">
      <c r="G4246" s="19"/>
      <c r="J4246" s="19"/>
      <c r="K4246" s="19"/>
      <c r="L4246" s="19"/>
      <c r="R4246" s="19"/>
    </row>
    <row r="4247" spans="7:18" x14ac:dyDescent="0.25">
      <c r="G4247" s="19"/>
      <c r="J4247" s="19"/>
      <c r="K4247" s="19"/>
      <c r="L4247" s="19"/>
      <c r="R4247" s="19"/>
    </row>
    <row r="4248" spans="7:18" x14ac:dyDescent="0.25">
      <c r="G4248" s="19"/>
      <c r="J4248" s="19"/>
      <c r="K4248" s="19"/>
      <c r="L4248" s="19"/>
      <c r="R4248" s="19"/>
    </row>
    <row r="4249" spans="7:18" x14ac:dyDescent="0.25">
      <c r="G4249" s="19"/>
      <c r="J4249" s="19"/>
      <c r="K4249" s="19"/>
      <c r="L4249" s="19"/>
      <c r="R4249" s="19"/>
    </row>
    <row r="4250" spans="7:18" x14ac:dyDescent="0.25">
      <c r="G4250" s="19"/>
      <c r="J4250" s="19"/>
      <c r="K4250" s="19"/>
      <c r="L4250" s="19"/>
      <c r="R4250" s="19"/>
    </row>
    <row r="4252" spans="7:18" x14ac:dyDescent="0.25">
      <c r="G4252" s="19"/>
      <c r="J4252" s="19"/>
      <c r="K4252" s="19"/>
      <c r="L4252" s="19"/>
      <c r="R4252" s="19"/>
    </row>
    <row r="4253" spans="7:18" x14ac:dyDescent="0.25">
      <c r="G4253" s="19"/>
      <c r="J4253" s="19"/>
      <c r="K4253" s="19"/>
      <c r="L4253" s="19"/>
      <c r="R4253" s="19"/>
    </row>
    <row r="4254" spans="7:18" x14ac:dyDescent="0.25">
      <c r="G4254" s="19"/>
      <c r="J4254" s="19"/>
      <c r="K4254" s="19"/>
      <c r="L4254" s="19"/>
      <c r="R4254" s="19"/>
    </row>
    <row r="4255" spans="7:18" x14ac:dyDescent="0.25">
      <c r="G4255" s="19"/>
      <c r="J4255" s="19"/>
      <c r="K4255" s="19"/>
      <c r="L4255" s="19"/>
      <c r="R4255" s="19"/>
    </row>
    <row r="4256" spans="7:18" x14ac:dyDescent="0.25">
      <c r="G4256" s="19"/>
      <c r="J4256" s="19"/>
      <c r="K4256" s="19"/>
      <c r="L4256" s="19"/>
      <c r="R4256" s="19"/>
    </row>
    <row r="4257" spans="7:18" x14ac:dyDescent="0.25">
      <c r="G4257" s="19"/>
      <c r="J4257" s="19"/>
      <c r="K4257" s="19"/>
      <c r="L4257" s="19"/>
      <c r="R4257" s="19"/>
    </row>
    <row r="4258" spans="7:18" x14ac:dyDescent="0.25">
      <c r="G4258" s="19"/>
      <c r="J4258" s="19"/>
      <c r="K4258" s="19"/>
      <c r="L4258" s="19"/>
      <c r="R4258" s="19"/>
    </row>
    <row r="4259" spans="7:18" x14ac:dyDescent="0.25">
      <c r="G4259" s="19"/>
      <c r="J4259" s="19"/>
      <c r="K4259" s="19"/>
      <c r="L4259" s="19"/>
      <c r="R4259" s="19"/>
    </row>
    <row r="4260" spans="7:18" x14ac:dyDescent="0.25">
      <c r="G4260" s="19"/>
      <c r="J4260" s="19"/>
      <c r="K4260" s="19"/>
      <c r="L4260" s="19"/>
      <c r="R4260" s="19"/>
    </row>
    <row r="4261" spans="7:18" x14ac:dyDescent="0.25">
      <c r="G4261" s="19"/>
      <c r="J4261" s="19"/>
      <c r="K4261" s="19"/>
      <c r="L4261" s="19"/>
      <c r="R4261" s="19"/>
    </row>
    <row r="4262" spans="7:18" x14ac:dyDescent="0.25">
      <c r="G4262" s="19"/>
      <c r="J4262" s="19"/>
      <c r="K4262" s="19"/>
      <c r="L4262" s="19"/>
      <c r="R4262" s="19"/>
    </row>
    <row r="4263" spans="7:18" x14ac:dyDescent="0.25">
      <c r="G4263" s="19"/>
      <c r="J4263" s="19"/>
      <c r="K4263" s="19"/>
      <c r="L4263" s="19"/>
      <c r="R4263" s="19"/>
    </row>
    <row r="4264" spans="7:18" x14ac:dyDescent="0.25">
      <c r="G4264" s="19"/>
      <c r="J4264" s="19"/>
      <c r="K4264" s="19"/>
      <c r="L4264" s="19"/>
      <c r="R4264" s="19"/>
    </row>
    <row r="4265" spans="7:18" x14ac:dyDescent="0.25">
      <c r="G4265" s="19"/>
      <c r="J4265" s="19"/>
      <c r="K4265" s="19"/>
      <c r="L4265" s="19"/>
      <c r="R4265" s="19"/>
    </row>
    <row r="4266" spans="7:18" x14ac:dyDescent="0.25">
      <c r="G4266" s="19"/>
      <c r="J4266" s="19"/>
      <c r="K4266" s="19"/>
      <c r="L4266" s="19"/>
      <c r="R4266" s="19"/>
    </row>
    <row r="4267" spans="7:18" x14ac:dyDescent="0.25">
      <c r="G4267" s="19"/>
      <c r="J4267" s="19"/>
      <c r="K4267" s="19"/>
      <c r="L4267" s="19"/>
      <c r="R4267" s="19"/>
    </row>
    <row r="4268" spans="7:18" x14ac:dyDescent="0.25">
      <c r="G4268" s="19"/>
      <c r="J4268" s="19"/>
      <c r="K4268" s="19"/>
      <c r="L4268" s="19"/>
      <c r="R4268" s="19"/>
    </row>
    <row r="4269" spans="7:18" x14ac:dyDescent="0.25">
      <c r="G4269" s="19"/>
      <c r="J4269" s="19"/>
      <c r="K4269" s="19"/>
      <c r="L4269" s="19"/>
      <c r="R4269" s="19"/>
    </row>
    <row r="4270" spans="7:18" x14ac:dyDescent="0.25">
      <c r="G4270" s="19"/>
      <c r="J4270" s="19"/>
      <c r="K4270" s="19"/>
      <c r="L4270" s="19"/>
      <c r="R4270" s="19"/>
    </row>
    <row r="4271" spans="7:18" x14ac:dyDescent="0.25">
      <c r="G4271" s="19"/>
      <c r="J4271" s="19"/>
      <c r="K4271" s="19"/>
      <c r="L4271" s="19"/>
      <c r="R4271" s="19"/>
    </row>
    <row r="4272" spans="7:18" x14ac:dyDescent="0.25">
      <c r="G4272" s="19"/>
      <c r="J4272" s="19"/>
      <c r="K4272" s="19"/>
      <c r="L4272" s="19"/>
      <c r="R4272" s="19"/>
    </row>
    <row r="4273" spans="7:18" x14ac:dyDescent="0.25">
      <c r="G4273" s="19"/>
      <c r="J4273" s="19"/>
      <c r="K4273" s="19"/>
      <c r="L4273" s="19"/>
      <c r="R4273" s="19"/>
    </row>
    <row r="4274" spans="7:18" x14ac:dyDescent="0.25">
      <c r="G4274" s="19"/>
      <c r="J4274" s="19"/>
      <c r="K4274" s="19"/>
      <c r="L4274" s="19"/>
      <c r="R4274" s="19"/>
    </row>
    <row r="4275" spans="7:18" x14ac:dyDescent="0.25">
      <c r="G4275" s="19"/>
      <c r="J4275" s="19"/>
      <c r="K4275" s="19"/>
      <c r="L4275" s="19"/>
      <c r="R4275" s="19"/>
    </row>
    <row r="4276" spans="7:18" x14ac:dyDescent="0.25">
      <c r="G4276" s="19"/>
      <c r="J4276" s="19"/>
      <c r="K4276" s="19"/>
      <c r="L4276" s="19"/>
      <c r="R4276" s="19"/>
    </row>
    <row r="4277" spans="7:18" x14ac:dyDescent="0.25">
      <c r="G4277" s="19"/>
      <c r="J4277" s="19"/>
      <c r="K4277" s="19"/>
      <c r="L4277" s="19"/>
      <c r="R4277" s="19"/>
    </row>
    <row r="4278" spans="7:18" x14ac:dyDescent="0.25">
      <c r="G4278" s="19"/>
      <c r="J4278" s="19"/>
      <c r="K4278" s="19"/>
      <c r="L4278" s="19"/>
      <c r="R4278" s="19"/>
    </row>
    <row r="4279" spans="7:18" x14ac:dyDescent="0.25">
      <c r="G4279" s="19"/>
      <c r="J4279" s="19"/>
      <c r="K4279" s="19"/>
      <c r="L4279" s="19"/>
      <c r="R4279" s="19"/>
    </row>
    <row r="4280" spans="7:18" x14ac:dyDescent="0.25">
      <c r="G4280" s="19"/>
      <c r="J4280" s="19"/>
      <c r="K4280" s="19"/>
      <c r="L4280" s="19"/>
      <c r="R4280" s="19"/>
    </row>
    <row r="4281" spans="7:18" x14ac:dyDescent="0.25">
      <c r="G4281" s="19"/>
      <c r="J4281" s="19"/>
      <c r="K4281" s="19"/>
      <c r="L4281" s="19"/>
      <c r="R4281" s="19"/>
    </row>
    <row r="4282" spans="7:18" x14ac:dyDescent="0.25">
      <c r="G4282" s="19"/>
      <c r="J4282" s="19"/>
      <c r="K4282" s="19"/>
      <c r="L4282" s="19"/>
      <c r="R4282" s="19"/>
    </row>
    <row r="4283" spans="7:18" x14ac:dyDescent="0.25">
      <c r="G4283" s="19"/>
      <c r="J4283" s="19"/>
      <c r="K4283" s="19"/>
      <c r="L4283" s="19"/>
      <c r="R4283" s="19"/>
    </row>
    <row r="4284" spans="7:18" x14ac:dyDescent="0.25">
      <c r="G4284" s="19"/>
      <c r="J4284" s="19"/>
      <c r="K4284" s="19"/>
      <c r="L4284" s="19"/>
      <c r="R4284" s="19"/>
    </row>
    <row r="4285" spans="7:18" x14ac:dyDescent="0.25">
      <c r="G4285" s="19"/>
      <c r="J4285" s="19"/>
      <c r="K4285" s="19"/>
      <c r="L4285" s="19"/>
      <c r="R4285" s="19"/>
    </row>
    <row r="4286" spans="7:18" x14ac:dyDescent="0.25">
      <c r="G4286" s="19"/>
      <c r="J4286" s="19"/>
      <c r="K4286" s="19"/>
      <c r="L4286" s="19"/>
      <c r="R4286" s="19"/>
    </row>
    <row r="4287" spans="7:18" x14ac:dyDescent="0.25">
      <c r="G4287" s="19"/>
      <c r="J4287" s="19"/>
      <c r="K4287" s="19"/>
      <c r="L4287" s="19"/>
      <c r="R4287" s="19"/>
    </row>
    <row r="4288" spans="7:18" x14ac:dyDescent="0.25">
      <c r="G4288" s="19"/>
      <c r="J4288" s="19"/>
      <c r="K4288" s="19"/>
      <c r="L4288" s="19"/>
      <c r="R4288" s="19"/>
    </row>
    <row r="4289" spans="7:18" x14ac:dyDescent="0.25">
      <c r="G4289" s="19"/>
      <c r="J4289" s="19"/>
      <c r="K4289" s="19"/>
      <c r="L4289" s="19"/>
      <c r="R4289" s="19"/>
    </row>
    <row r="4290" spans="7:18" x14ac:dyDescent="0.25">
      <c r="G4290" s="19"/>
      <c r="J4290" s="19"/>
      <c r="K4290" s="19"/>
      <c r="L4290" s="19"/>
      <c r="R4290" s="19"/>
    </row>
    <row r="4291" spans="7:18" x14ac:dyDescent="0.25">
      <c r="G4291" s="19"/>
      <c r="J4291" s="19"/>
      <c r="K4291" s="19"/>
      <c r="L4291" s="19"/>
      <c r="R4291" s="19"/>
    </row>
    <row r="4292" spans="7:18" x14ac:dyDescent="0.25">
      <c r="G4292" s="19"/>
      <c r="J4292" s="19"/>
      <c r="K4292" s="19"/>
      <c r="L4292" s="19"/>
      <c r="R4292" s="19"/>
    </row>
    <row r="4293" spans="7:18" x14ac:dyDescent="0.25">
      <c r="G4293" s="19"/>
      <c r="J4293" s="19"/>
      <c r="K4293" s="19"/>
      <c r="L4293" s="19"/>
      <c r="R4293" s="19"/>
    </row>
    <row r="4294" spans="7:18" x14ac:dyDescent="0.25">
      <c r="G4294" s="19"/>
      <c r="J4294" s="19"/>
      <c r="K4294" s="19"/>
      <c r="L4294" s="19"/>
      <c r="R4294" s="19"/>
    </row>
    <row r="4295" spans="7:18" x14ac:dyDescent="0.25">
      <c r="G4295" s="19"/>
      <c r="J4295" s="19"/>
      <c r="K4295" s="19"/>
      <c r="L4295" s="19"/>
      <c r="R4295" s="19"/>
    </row>
    <row r="4296" spans="7:18" x14ac:dyDescent="0.25">
      <c r="G4296" s="19"/>
      <c r="J4296" s="19"/>
      <c r="K4296" s="19"/>
      <c r="L4296" s="19"/>
      <c r="R4296" s="19"/>
    </row>
    <row r="4297" spans="7:18" x14ac:dyDescent="0.25">
      <c r="G4297" s="19"/>
      <c r="J4297" s="19"/>
      <c r="K4297" s="19"/>
      <c r="L4297" s="19"/>
      <c r="R4297" s="19"/>
    </row>
    <row r="4298" spans="7:18" x14ac:dyDescent="0.25">
      <c r="G4298" s="19"/>
      <c r="J4298" s="19"/>
      <c r="K4298" s="19"/>
      <c r="L4298" s="19"/>
      <c r="R4298" s="19"/>
    </row>
    <row r="4299" spans="7:18" x14ac:dyDescent="0.25">
      <c r="G4299" s="19"/>
      <c r="J4299" s="19"/>
      <c r="K4299" s="19"/>
      <c r="L4299" s="19"/>
      <c r="R4299" s="19"/>
    </row>
    <row r="4300" spans="7:18" x14ac:dyDescent="0.25">
      <c r="G4300" s="19"/>
      <c r="J4300" s="19"/>
      <c r="K4300" s="19"/>
      <c r="L4300" s="19"/>
      <c r="R4300" s="19"/>
    </row>
    <row r="4301" spans="7:18" x14ac:dyDescent="0.25">
      <c r="G4301" s="19"/>
      <c r="J4301" s="19"/>
      <c r="K4301" s="19"/>
      <c r="L4301" s="19"/>
      <c r="R4301" s="19"/>
    </row>
    <row r="4302" spans="7:18" x14ac:dyDescent="0.25">
      <c r="G4302" s="19"/>
      <c r="J4302" s="19"/>
      <c r="K4302" s="19"/>
      <c r="L4302" s="19"/>
      <c r="R4302" s="19"/>
    </row>
    <row r="4303" spans="7:18" x14ac:dyDescent="0.25">
      <c r="G4303" s="19"/>
      <c r="J4303" s="19"/>
      <c r="K4303" s="19"/>
      <c r="L4303" s="19"/>
      <c r="R4303" s="19"/>
    </row>
    <row r="4304" spans="7:18" x14ac:dyDescent="0.25">
      <c r="G4304" s="19"/>
      <c r="J4304" s="19"/>
      <c r="K4304" s="19"/>
      <c r="L4304" s="19"/>
      <c r="R4304" s="19"/>
    </row>
    <row r="4305" spans="7:18" x14ac:dyDescent="0.25">
      <c r="G4305" s="19"/>
      <c r="J4305" s="19"/>
      <c r="K4305" s="19"/>
      <c r="L4305" s="19"/>
      <c r="R4305" s="19"/>
    </row>
    <row r="4306" spans="7:18" x14ac:dyDescent="0.25">
      <c r="G4306" s="19"/>
      <c r="J4306" s="19"/>
      <c r="K4306" s="19"/>
      <c r="L4306" s="19"/>
      <c r="R4306" s="19"/>
    </row>
    <row r="4307" spans="7:18" x14ac:dyDescent="0.25">
      <c r="G4307" s="19"/>
      <c r="J4307" s="19"/>
      <c r="K4307" s="19"/>
      <c r="L4307" s="19"/>
      <c r="R4307" s="19"/>
    </row>
    <row r="4308" spans="7:18" x14ac:dyDescent="0.25">
      <c r="G4308" s="19"/>
      <c r="J4308" s="19"/>
      <c r="K4308" s="19"/>
      <c r="L4308" s="19"/>
      <c r="R4308" s="19"/>
    </row>
    <row r="4309" spans="7:18" x14ac:dyDescent="0.25">
      <c r="G4309" s="19"/>
      <c r="J4309" s="19"/>
      <c r="K4309" s="19"/>
      <c r="L4309" s="19"/>
      <c r="R4309" s="19"/>
    </row>
    <row r="4310" spans="7:18" x14ac:dyDescent="0.25">
      <c r="G4310" s="19"/>
      <c r="J4310" s="19"/>
      <c r="K4310" s="19"/>
      <c r="L4310" s="19"/>
      <c r="R4310" s="19"/>
    </row>
    <row r="4311" spans="7:18" x14ac:dyDescent="0.25">
      <c r="G4311" s="19"/>
      <c r="J4311" s="19"/>
      <c r="K4311" s="19"/>
      <c r="L4311" s="19"/>
      <c r="R4311" s="19"/>
    </row>
    <row r="4312" spans="7:18" x14ac:dyDescent="0.25">
      <c r="G4312" s="19"/>
      <c r="J4312" s="19"/>
      <c r="K4312" s="19"/>
      <c r="L4312" s="19"/>
      <c r="R4312" s="19"/>
    </row>
    <row r="4313" spans="7:18" x14ac:dyDescent="0.25">
      <c r="G4313" s="19"/>
      <c r="J4313" s="19"/>
      <c r="K4313" s="19"/>
      <c r="L4313" s="19"/>
      <c r="R4313" s="19"/>
    </row>
    <row r="4314" spans="7:18" x14ac:dyDescent="0.25">
      <c r="G4314" s="19"/>
      <c r="J4314" s="19"/>
      <c r="K4314" s="19"/>
      <c r="L4314" s="19"/>
      <c r="R4314" s="19"/>
    </row>
    <row r="4315" spans="7:18" x14ac:dyDescent="0.25">
      <c r="G4315" s="19"/>
      <c r="J4315" s="19"/>
      <c r="K4315" s="19"/>
      <c r="L4315" s="19"/>
      <c r="R4315" s="19"/>
    </row>
    <row r="4316" spans="7:18" x14ac:dyDescent="0.25">
      <c r="G4316" s="19"/>
      <c r="J4316" s="19"/>
      <c r="K4316" s="19"/>
      <c r="L4316" s="19"/>
      <c r="R4316" s="19"/>
    </row>
    <row r="4317" spans="7:18" x14ac:dyDescent="0.25">
      <c r="G4317" s="19"/>
      <c r="J4317" s="19"/>
      <c r="K4317" s="19"/>
      <c r="L4317" s="19"/>
      <c r="R4317" s="19"/>
    </row>
    <row r="4318" spans="7:18" x14ac:dyDescent="0.25">
      <c r="G4318" s="19"/>
      <c r="J4318" s="19"/>
      <c r="K4318" s="19"/>
      <c r="L4318" s="19"/>
      <c r="R4318" s="19"/>
    </row>
    <row r="4319" spans="7:18" x14ac:dyDescent="0.25">
      <c r="G4319" s="19"/>
      <c r="J4319" s="19"/>
      <c r="K4319" s="19"/>
      <c r="L4319" s="19"/>
      <c r="R4319" s="19"/>
    </row>
    <row r="4320" spans="7:18" x14ac:dyDescent="0.25">
      <c r="G4320" s="19"/>
      <c r="J4320" s="19"/>
      <c r="K4320" s="19"/>
      <c r="L4320" s="19"/>
      <c r="R4320" s="19"/>
    </row>
    <row r="4321" spans="7:18" x14ac:dyDescent="0.25">
      <c r="G4321" s="19"/>
      <c r="J4321" s="19"/>
      <c r="K4321" s="19"/>
      <c r="L4321" s="19"/>
      <c r="R4321" s="19"/>
    </row>
    <row r="4322" spans="7:18" x14ac:dyDescent="0.25">
      <c r="G4322" s="19"/>
      <c r="J4322" s="19"/>
      <c r="K4322" s="19"/>
      <c r="L4322" s="19"/>
      <c r="R4322" s="19"/>
    </row>
    <row r="4323" spans="7:18" x14ac:dyDescent="0.25">
      <c r="G4323" s="19"/>
      <c r="J4323" s="19"/>
      <c r="K4323" s="19"/>
      <c r="L4323" s="19"/>
      <c r="R4323" s="19"/>
    </row>
    <row r="4324" spans="7:18" x14ac:dyDescent="0.25">
      <c r="G4324" s="19"/>
      <c r="J4324" s="19"/>
      <c r="K4324" s="19"/>
      <c r="L4324" s="19"/>
      <c r="R4324" s="19"/>
    </row>
    <row r="4325" spans="7:18" x14ac:dyDescent="0.25">
      <c r="G4325" s="19"/>
      <c r="J4325" s="19"/>
      <c r="K4325" s="19"/>
      <c r="L4325" s="19"/>
      <c r="R4325" s="19"/>
    </row>
    <row r="4326" spans="7:18" x14ac:dyDescent="0.25">
      <c r="G4326" s="19"/>
      <c r="J4326" s="19"/>
      <c r="K4326" s="19"/>
      <c r="L4326" s="19"/>
      <c r="R4326" s="19"/>
    </row>
    <row r="4327" spans="7:18" x14ac:dyDescent="0.25">
      <c r="G4327" s="19"/>
      <c r="J4327" s="19"/>
      <c r="K4327" s="19"/>
      <c r="L4327" s="19"/>
      <c r="R4327" s="19"/>
    </row>
    <row r="4328" spans="7:18" x14ac:dyDescent="0.25">
      <c r="G4328" s="19"/>
      <c r="J4328" s="19"/>
      <c r="K4328" s="19"/>
      <c r="L4328" s="19"/>
      <c r="R4328" s="19"/>
    </row>
    <row r="4329" spans="7:18" x14ac:dyDescent="0.25">
      <c r="G4329" s="19"/>
      <c r="J4329" s="19"/>
      <c r="K4329" s="19"/>
      <c r="L4329" s="19"/>
      <c r="R4329" s="19"/>
    </row>
    <row r="4330" spans="7:18" x14ac:dyDescent="0.25">
      <c r="G4330" s="19"/>
      <c r="J4330" s="19"/>
      <c r="K4330" s="19"/>
      <c r="L4330" s="19"/>
      <c r="R4330" s="19"/>
    </row>
    <row r="4331" spans="7:18" x14ac:dyDescent="0.25">
      <c r="G4331" s="19"/>
      <c r="J4331" s="19"/>
      <c r="K4331" s="19"/>
      <c r="L4331" s="19"/>
      <c r="R4331" s="19"/>
    </row>
    <row r="4332" spans="7:18" x14ac:dyDescent="0.25">
      <c r="G4332" s="19"/>
      <c r="J4332" s="19"/>
      <c r="K4332" s="19"/>
      <c r="L4332" s="19"/>
      <c r="R4332" s="19"/>
    </row>
    <row r="4333" spans="7:18" x14ac:dyDescent="0.25">
      <c r="G4333" s="19"/>
      <c r="J4333" s="19"/>
      <c r="K4333" s="19"/>
      <c r="L4333" s="19"/>
      <c r="R4333" s="19"/>
    </row>
    <row r="4334" spans="7:18" x14ac:dyDescent="0.25">
      <c r="G4334" s="19"/>
      <c r="J4334" s="19"/>
      <c r="K4334" s="19"/>
      <c r="L4334" s="19"/>
      <c r="R4334" s="19"/>
    </row>
    <row r="4335" spans="7:18" x14ac:dyDescent="0.25">
      <c r="G4335" s="19"/>
      <c r="J4335" s="19"/>
      <c r="K4335" s="19"/>
      <c r="L4335" s="19"/>
      <c r="R4335" s="19"/>
    </row>
    <row r="4336" spans="7:18" x14ac:dyDescent="0.25">
      <c r="G4336" s="19"/>
      <c r="J4336" s="19"/>
      <c r="K4336" s="19"/>
      <c r="L4336" s="19"/>
      <c r="R4336" s="19"/>
    </row>
    <row r="4337" spans="7:18" x14ac:dyDescent="0.25">
      <c r="G4337" s="19"/>
      <c r="J4337" s="19"/>
      <c r="K4337" s="19"/>
      <c r="L4337" s="19"/>
      <c r="R4337" s="19"/>
    </row>
    <row r="4338" spans="7:18" x14ac:dyDescent="0.25">
      <c r="G4338" s="19"/>
      <c r="J4338" s="19"/>
      <c r="K4338" s="19"/>
      <c r="L4338" s="19"/>
      <c r="R4338" s="19"/>
    </row>
    <row r="4339" spans="7:18" x14ac:dyDescent="0.25">
      <c r="G4339" s="19"/>
      <c r="J4339" s="19"/>
      <c r="K4339" s="19"/>
      <c r="L4339" s="19"/>
      <c r="R4339" s="19"/>
    </row>
    <row r="4340" spans="7:18" x14ac:dyDescent="0.25">
      <c r="G4340" s="19"/>
      <c r="J4340" s="19"/>
      <c r="K4340" s="19"/>
      <c r="L4340" s="19"/>
      <c r="R4340" s="19"/>
    </row>
    <row r="4341" spans="7:18" x14ac:dyDescent="0.25">
      <c r="G4341" s="19"/>
      <c r="J4341" s="19"/>
      <c r="K4341" s="19"/>
      <c r="L4341" s="19"/>
      <c r="R4341" s="19"/>
    </row>
    <row r="4342" spans="7:18" x14ac:dyDescent="0.25">
      <c r="G4342" s="19"/>
      <c r="J4342" s="19"/>
      <c r="K4342" s="19"/>
      <c r="L4342" s="19"/>
      <c r="R4342" s="19"/>
    </row>
    <row r="4343" spans="7:18" x14ac:dyDescent="0.25">
      <c r="G4343" s="19"/>
      <c r="J4343" s="19"/>
      <c r="K4343" s="19"/>
      <c r="L4343" s="19"/>
      <c r="R4343" s="19"/>
    </row>
    <row r="4344" spans="7:18" x14ac:dyDescent="0.25">
      <c r="G4344" s="19"/>
      <c r="J4344" s="19"/>
      <c r="K4344" s="19"/>
      <c r="L4344" s="19"/>
      <c r="R4344" s="19"/>
    </row>
    <row r="4345" spans="7:18" x14ac:dyDescent="0.25">
      <c r="G4345" s="19"/>
      <c r="J4345" s="19"/>
      <c r="K4345" s="19"/>
      <c r="L4345" s="19"/>
      <c r="R4345" s="19"/>
    </row>
    <row r="4346" spans="7:18" x14ac:dyDescent="0.25">
      <c r="G4346" s="19"/>
      <c r="J4346" s="19"/>
      <c r="K4346" s="19"/>
      <c r="L4346" s="19"/>
      <c r="R4346" s="19"/>
    </row>
    <row r="4347" spans="7:18" x14ac:dyDescent="0.25">
      <c r="G4347" s="19"/>
      <c r="J4347" s="19"/>
      <c r="K4347" s="19"/>
      <c r="L4347" s="19"/>
      <c r="R4347" s="19"/>
    </row>
    <row r="4348" spans="7:18" x14ac:dyDescent="0.25">
      <c r="G4348" s="19"/>
      <c r="J4348" s="19"/>
      <c r="K4348" s="19"/>
      <c r="L4348" s="19"/>
      <c r="R4348" s="19"/>
    </row>
    <row r="4349" spans="7:18" x14ac:dyDescent="0.25">
      <c r="G4349" s="19"/>
      <c r="J4349" s="19"/>
      <c r="K4349" s="19"/>
      <c r="L4349" s="19"/>
      <c r="R4349" s="19"/>
    </row>
    <row r="4350" spans="7:18" x14ac:dyDescent="0.25">
      <c r="G4350" s="19"/>
      <c r="J4350" s="19"/>
      <c r="K4350" s="19"/>
      <c r="L4350" s="19"/>
      <c r="R4350" s="19"/>
    </row>
    <row r="4351" spans="7:18" x14ac:dyDescent="0.25">
      <c r="G4351" s="19"/>
      <c r="J4351" s="19"/>
      <c r="K4351" s="19"/>
      <c r="L4351" s="19"/>
      <c r="R4351" s="19"/>
    </row>
    <row r="4352" spans="7:18" x14ac:dyDescent="0.25">
      <c r="G4352" s="19"/>
      <c r="J4352" s="19"/>
      <c r="K4352" s="19"/>
      <c r="L4352" s="19"/>
      <c r="R4352" s="19"/>
    </row>
    <row r="4353" spans="7:18" x14ac:dyDescent="0.25">
      <c r="G4353" s="19"/>
      <c r="J4353" s="19"/>
      <c r="K4353" s="19"/>
      <c r="L4353" s="19"/>
      <c r="R4353" s="19"/>
    </row>
    <row r="4354" spans="7:18" x14ac:dyDescent="0.25">
      <c r="G4354" s="19"/>
      <c r="J4354" s="19"/>
      <c r="K4354" s="19"/>
      <c r="L4354" s="19"/>
      <c r="R4354" s="19"/>
    </row>
    <row r="4355" spans="7:18" x14ac:dyDescent="0.25">
      <c r="G4355" s="19"/>
      <c r="J4355" s="19"/>
      <c r="K4355" s="19"/>
      <c r="L4355" s="19"/>
      <c r="R4355" s="19"/>
    </row>
    <row r="4356" spans="7:18" x14ac:dyDescent="0.25">
      <c r="G4356" s="19"/>
      <c r="J4356" s="19"/>
      <c r="K4356" s="19"/>
      <c r="L4356" s="19"/>
      <c r="R4356" s="19"/>
    </row>
    <row r="4357" spans="7:18" x14ac:dyDescent="0.25">
      <c r="G4357" s="19"/>
      <c r="J4357" s="19"/>
      <c r="K4357" s="19"/>
      <c r="L4357" s="19"/>
      <c r="R4357" s="19"/>
    </row>
    <row r="4358" spans="7:18" x14ac:dyDescent="0.25">
      <c r="G4358" s="19"/>
      <c r="J4358" s="19"/>
      <c r="K4358" s="19"/>
      <c r="L4358" s="19"/>
      <c r="R4358" s="19"/>
    </row>
    <row r="4359" spans="7:18" x14ac:dyDescent="0.25">
      <c r="G4359" s="19"/>
      <c r="J4359" s="19"/>
      <c r="K4359" s="19"/>
      <c r="L4359" s="19"/>
      <c r="R4359" s="19"/>
    </row>
    <row r="4360" spans="7:18" x14ac:dyDescent="0.25">
      <c r="G4360" s="19"/>
      <c r="J4360" s="19"/>
      <c r="K4360" s="19"/>
      <c r="L4360" s="19"/>
      <c r="R4360" s="19"/>
    </row>
    <row r="4361" spans="7:18" x14ac:dyDescent="0.25">
      <c r="G4361" s="19"/>
      <c r="J4361" s="19"/>
      <c r="K4361" s="19"/>
      <c r="L4361" s="19"/>
      <c r="R4361" s="19"/>
    </row>
    <row r="4362" spans="7:18" x14ac:dyDescent="0.25">
      <c r="G4362" s="19"/>
      <c r="J4362" s="19"/>
      <c r="K4362" s="19"/>
      <c r="L4362" s="19"/>
      <c r="R4362" s="19"/>
    </row>
    <row r="4363" spans="7:18" x14ac:dyDescent="0.25">
      <c r="G4363" s="19"/>
      <c r="J4363" s="19"/>
      <c r="K4363" s="19"/>
      <c r="L4363" s="19"/>
      <c r="R4363" s="19"/>
    </row>
    <row r="4364" spans="7:18" x14ac:dyDescent="0.25">
      <c r="G4364" s="19"/>
      <c r="J4364" s="19"/>
      <c r="K4364" s="19"/>
      <c r="L4364" s="19"/>
      <c r="R4364" s="19"/>
    </row>
    <row r="4365" spans="7:18" x14ac:dyDescent="0.25">
      <c r="G4365" s="19"/>
      <c r="J4365" s="19"/>
      <c r="K4365" s="19"/>
      <c r="L4365" s="19"/>
      <c r="R4365" s="19"/>
    </row>
    <row r="4366" spans="7:18" x14ac:dyDescent="0.25">
      <c r="G4366" s="19"/>
      <c r="J4366" s="19"/>
      <c r="K4366" s="19"/>
      <c r="L4366" s="19"/>
      <c r="R4366" s="19"/>
    </row>
    <row r="4367" spans="7:18" x14ac:dyDescent="0.25">
      <c r="G4367" s="19"/>
      <c r="J4367" s="19"/>
      <c r="K4367" s="19"/>
      <c r="L4367" s="19"/>
      <c r="R4367" s="19"/>
    </row>
    <row r="4368" spans="7:18" x14ac:dyDescent="0.25">
      <c r="G4368" s="19"/>
      <c r="J4368" s="19"/>
      <c r="K4368" s="19"/>
      <c r="L4368" s="19"/>
      <c r="R4368" s="19"/>
    </row>
    <row r="4369" spans="7:18" x14ac:dyDescent="0.25">
      <c r="G4369" s="19"/>
      <c r="J4369" s="19"/>
      <c r="K4369" s="19"/>
      <c r="L4369" s="19"/>
      <c r="R4369" s="19"/>
    </row>
    <row r="4370" spans="7:18" x14ac:dyDescent="0.25">
      <c r="G4370" s="19"/>
      <c r="J4370" s="19"/>
      <c r="K4370" s="19"/>
      <c r="L4370" s="19"/>
      <c r="R4370" s="19"/>
    </row>
    <row r="4371" spans="7:18" x14ac:dyDescent="0.25">
      <c r="G4371" s="19"/>
      <c r="J4371" s="19"/>
      <c r="K4371" s="19"/>
      <c r="L4371" s="19"/>
      <c r="R4371" s="19"/>
    </row>
    <row r="4372" spans="7:18" x14ac:dyDescent="0.25">
      <c r="G4372" s="19"/>
      <c r="J4372" s="19"/>
      <c r="K4372" s="19"/>
      <c r="L4372" s="19"/>
      <c r="R4372" s="19"/>
    </row>
    <row r="4373" spans="7:18" x14ac:dyDescent="0.25">
      <c r="G4373" s="19"/>
      <c r="J4373" s="19"/>
      <c r="K4373" s="19"/>
      <c r="L4373" s="19"/>
      <c r="R4373" s="19"/>
    </row>
    <row r="4374" spans="7:18" x14ac:dyDescent="0.25">
      <c r="G4374" s="19"/>
      <c r="J4374" s="19"/>
      <c r="K4374" s="19"/>
      <c r="L4374" s="19"/>
      <c r="R4374" s="19"/>
    </row>
    <row r="4375" spans="7:18" x14ac:dyDescent="0.25">
      <c r="G4375" s="19"/>
      <c r="J4375" s="19"/>
      <c r="K4375" s="19"/>
      <c r="L4375" s="19"/>
      <c r="R4375" s="19"/>
    </row>
    <row r="4376" spans="7:18" x14ac:dyDescent="0.25">
      <c r="G4376" s="19"/>
      <c r="J4376" s="19"/>
      <c r="K4376" s="19"/>
      <c r="L4376" s="19"/>
      <c r="R4376" s="19"/>
    </row>
    <row r="4377" spans="7:18" x14ac:dyDescent="0.25">
      <c r="G4377" s="19"/>
      <c r="J4377" s="19"/>
      <c r="K4377" s="19"/>
      <c r="L4377" s="19"/>
      <c r="R4377" s="19"/>
    </row>
    <row r="4378" spans="7:18" x14ac:dyDescent="0.25">
      <c r="G4378" s="19"/>
      <c r="J4378" s="19"/>
      <c r="K4378" s="19"/>
      <c r="L4378" s="19"/>
      <c r="R4378" s="19"/>
    </row>
    <row r="4379" spans="7:18" x14ac:dyDescent="0.25">
      <c r="G4379" s="19"/>
      <c r="J4379" s="19"/>
      <c r="K4379" s="19"/>
      <c r="L4379" s="19"/>
      <c r="R4379" s="19"/>
    </row>
    <row r="4380" spans="7:18" x14ac:dyDescent="0.25">
      <c r="G4380" s="19"/>
      <c r="J4380" s="19"/>
      <c r="K4380" s="19"/>
      <c r="L4380" s="19"/>
      <c r="R4380" s="19"/>
    </row>
    <row r="4381" spans="7:18" x14ac:dyDescent="0.25">
      <c r="G4381" s="19"/>
      <c r="J4381" s="19"/>
      <c r="K4381" s="19"/>
      <c r="L4381" s="19"/>
      <c r="R4381" s="19"/>
    </row>
    <row r="4382" spans="7:18" x14ac:dyDescent="0.25">
      <c r="G4382" s="19"/>
      <c r="J4382" s="19"/>
      <c r="K4382" s="19"/>
      <c r="L4382" s="19"/>
      <c r="R4382" s="19"/>
    </row>
    <row r="4383" spans="7:18" x14ac:dyDescent="0.25">
      <c r="G4383" s="19"/>
      <c r="J4383" s="19"/>
      <c r="K4383" s="19"/>
      <c r="L4383" s="19"/>
      <c r="R4383" s="19"/>
    </row>
    <row r="4384" spans="7:18" x14ac:dyDescent="0.25">
      <c r="G4384" s="19"/>
      <c r="J4384" s="19"/>
      <c r="K4384" s="19"/>
      <c r="L4384" s="19"/>
      <c r="R4384" s="19"/>
    </row>
    <row r="4385" spans="7:18" x14ac:dyDescent="0.25">
      <c r="G4385" s="19"/>
      <c r="J4385" s="19"/>
      <c r="K4385" s="19"/>
      <c r="L4385" s="19"/>
      <c r="R4385" s="19"/>
    </row>
    <row r="4386" spans="7:18" x14ac:dyDescent="0.25">
      <c r="G4386" s="19"/>
      <c r="J4386" s="19"/>
      <c r="K4386" s="19"/>
      <c r="L4386" s="19"/>
      <c r="R4386" s="19"/>
    </row>
    <row r="4387" spans="7:18" x14ac:dyDescent="0.25">
      <c r="G4387" s="19"/>
      <c r="J4387" s="19"/>
      <c r="K4387" s="19"/>
      <c r="L4387" s="19"/>
      <c r="R4387" s="19"/>
    </row>
    <row r="4388" spans="7:18" x14ac:dyDescent="0.25">
      <c r="G4388" s="19"/>
      <c r="J4388" s="19"/>
      <c r="K4388" s="19"/>
      <c r="L4388" s="19"/>
      <c r="R4388" s="19"/>
    </row>
    <row r="4389" spans="7:18" x14ac:dyDescent="0.25">
      <c r="G4389" s="19"/>
      <c r="J4389" s="19"/>
      <c r="K4389" s="19"/>
      <c r="L4389" s="19"/>
      <c r="R4389" s="19"/>
    </row>
    <row r="4390" spans="7:18" x14ac:dyDescent="0.25">
      <c r="G4390" s="19"/>
      <c r="J4390" s="19"/>
      <c r="K4390" s="19"/>
      <c r="L4390" s="19"/>
      <c r="R4390" s="19"/>
    </row>
    <row r="4391" spans="7:18" x14ac:dyDescent="0.25">
      <c r="G4391" s="19"/>
      <c r="J4391" s="19"/>
      <c r="K4391" s="19"/>
      <c r="L4391" s="19"/>
      <c r="R4391" s="19"/>
    </row>
    <row r="4392" spans="7:18" x14ac:dyDescent="0.25">
      <c r="G4392" s="19"/>
      <c r="J4392" s="19"/>
      <c r="K4392" s="19"/>
      <c r="L4392" s="19"/>
      <c r="R4392" s="19"/>
    </row>
    <row r="4393" spans="7:18" x14ac:dyDescent="0.25">
      <c r="G4393" s="19"/>
      <c r="J4393" s="19"/>
      <c r="K4393" s="19"/>
      <c r="L4393" s="19"/>
      <c r="R4393" s="19"/>
    </row>
    <row r="4394" spans="7:18" x14ac:dyDescent="0.25">
      <c r="G4394" s="19"/>
      <c r="J4394" s="19"/>
      <c r="K4394" s="19"/>
      <c r="L4394" s="19"/>
      <c r="R4394" s="19"/>
    </row>
    <row r="4395" spans="7:18" x14ac:dyDescent="0.25">
      <c r="G4395" s="19"/>
      <c r="J4395" s="19"/>
      <c r="K4395" s="19"/>
      <c r="L4395" s="19"/>
      <c r="R4395" s="19"/>
    </row>
    <row r="4396" spans="7:18" x14ac:dyDescent="0.25">
      <c r="G4396" s="19"/>
      <c r="J4396" s="19"/>
      <c r="K4396" s="19"/>
      <c r="L4396" s="19"/>
      <c r="R4396" s="19"/>
    </row>
    <row r="4397" spans="7:18" x14ac:dyDescent="0.25">
      <c r="G4397" s="19"/>
      <c r="J4397" s="19"/>
      <c r="K4397" s="19"/>
      <c r="L4397" s="19"/>
      <c r="R4397" s="19"/>
    </row>
    <row r="4398" spans="7:18" x14ac:dyDescent="0.25">
      <c r="G4398" s="19"/>
      <c r="J4398" s="19"/>
      <c r="K4398" s="19"/>
      <c r="L4398" s="19"/>
      <c r="R4398" s="19"/>
    </row>
    <row r="4399" spans="7:18" x14ac:dyDescent="0.25">
      <c r="G4399" s="19"/>
      <c r="J4399" s="19"/>
      <c r="K4399" s="19"/>
      <c r="L4399" s="19"/>
      <c r="R4399" s="19"/>
    </row>
    <row r="4400" spans="7:18" x14ac:dyDescent="0.25">
      <c r="G4400" s="19"/>
      <c r="J4400" s="19"/>
      <c r="K4400" s="19"/>
      <c r="L4400" s="19"/>
      <c r="R4400" s="19"/>
    </row>
    <row r="4401" spans="7:18" x14ac:dyDescent="0.25">
      <c r="G4401" s="19"/>
      <c r="J4401" s="19"/>
      <c r="K4401" s="19"/>
      <c r="L4401" s="19"/>
      <c r="R4401" s="19"/>
    </row>
    <row r="4402" spans="7:18" x14ac:dyDescent="0.25">
      <c r="G4402" s="19"/>
      <c r="J4402" s="19"/>
      <c r="K4402" s="19"/>
      <c r="L4402" s="19"/>
      <c r="R4402" s="19"/>
    </row>
    <row r="4403" spans="7:18" x14ac:dyDescent="0.25">
      <c r="G4403" s="19"/>
      <c r="J4403" s="19"/>
      <c r="K4403" s="19"/>
      <c r="L4403" s="19"/>
      <c r="R4403" s="19"/>
    </row>
    <row r="4404" spans="7:18" x14ac:dyDescent="0.25">
      <c r="G4404" s="19"/>
      <c r="J4404" s="19"/>
      <c r="K4404" s="19"/>
      <c r="L4404" s="19"/>
      <c r="R4404" s="19"/>
    </row>
    <row r="4405" spans="7:18" x14ac:dyDescent="0.25">
      <c r="G4405" s="19"/>
      <c r="J4405" s="19"/>
      <c r="K4405" s="19"/>
      <c r="L4405" s="19"/>
      <c r="R4405" s="19"/>
    </row>
    <row r="4406" spans="7:18" x14ac:dyDescent="0.25">
      <c r="G4406" s="19"/>
      <c r="J4406" s="19"/>
      <c r="K4406" s="19"/>
      <c r="L4406" s="19"/>
      <c r="R4406" s="19"/>
    </row>
    <row r="4407" spans="7:18" x14ac:dyDescent="0.25">
      <c r="G4407" s="19"/>
      <c r="J4407" s="19"/>
      <c r="K4407" s="19"/>
      <c r="L4407" s="19"/>
      <c r="R4407" s="19"/>
    </row>
    <row r="4408" spans="7:18" x14ac:dyDescent="0.25">
      <c r="G4408" s="19"/>
      <c r="J4408" s="19"/>
      <c r="K4408" s="19"/>
      <c r="L4408" s="19"/>
      <c r="R4408" s="19"/>
    </row>
    <row r="4409" spans="7:18" x14ac:dyDescent="0.25">
      <c r="G4409" s="19"/>
      <c r="J4409" s="19"/>
      <c r="K4409" s="19"/>
      <c r="L4409" s="19"/>
      <c r="R4409" s="19"/>
    </row>
    <row r="4410" spans="7:18" x14ac:dyDescent="0.25">
      <c r="G4410" s="19"/>
      <c r="J4410" s="19"/>
      <c r="K4410" s="19"/>
      <c r="L4410" s="19"/>
      <c r="R4410" s="19"/>
    </row>
    <row r="4411" spans="7:18" x14ac:dyDescent="0.25">
      <c r="G4411" s="19"/>
      <c r="J4411" s="19"/>
      <c r="K4411" s="19"/>
      <c r="L4411" s="19"/>
      <c r="R4411" s="19"/>
    </row>
    <row r="4412" spans="7:18" x14ac:dyDescent="0.25">
      <c r="G4412" s="19"/>
      <c r="J4412" s="19"/>
      <c r="K4412" s="19"/>
      <c r="L4412" s="19"/>
      <c r="R4412" s="19"/>
    </row>
    <row r="4413" spans="7:18" x14ac:dyDescent="0.25">
      <c r="G4413" s="19"/>
      <c r="J4413" s="19"/>
      <c r="K4413" s="19"/>
      <c r="L4413" s="19"/>
      <c r="R4413" s="19"/>
    </row>
    <row r="4414" spans="7:18" x14ac:dyDescent="0.25">
      <c r="G4414" s="19"/>
      <c r="J4414" s="19"/>
      <c r="K4414" s="19"/>
      <c r="L4414" s="19"/>
      <c r="R4414" s="19"/>
    </row>
    <row r="4415" spans="7:18" x14ac:dyDescent="0.25">
      <c r="G4415" s="19"/>
      <c r="J4415" s="19"/>
      <c r="K4415" s="19"/>
      <c r="L4415" s="19"/>
      <c r="R4415" s="19"/>
    </row>
    <row r="4416" spans="7:18" x14ac:dyDescent="0.25">
      <c r="G4416" s="19"/>
      <c r="J4416" s="19"/>
      <c r="K4416" s="19"/>
      <c r="L4416" s="19"/>
      <c r="R4416" s="19"/>
    </row>
    <row r="4417" spans="7:18" x14ac:dyDescent="0.25">
      <c r="G4417" s="19"/>
      <c r="J4417" s="19"/>
      <c r="K4417" s="19"/>
      <c r="L4417" s="19"/>
      <c r="R4417" s="19"/>
    </row>
    <row r="4418" spans="7:18" x14ac:dyDescent="0.25">
      <c r="G4418" s="19"/>
      <c r="J4418" s="19"/>
      <c r="K4418" s="19"/>
      <c r="L4418" s="19"/>
      <c r="R4418" s="19"/>
    </row>
    <row r="4419" spans="7:18" x14ac:dyDescent="0.25">
      <c r="G4419" s="19"/>
      <c r="J4419" s="19"/>
      <c r="K4419" s="19"/>
      <c r="L4419" s="19"/>
      <c r="R4419" s="19"/>
    </row>
    <row r="4420" spans="7:18" x14ac:dyDescent="0.25">
      <c r="G4420" s="19"/>
      <c r="J4420" s="19"/>
      <c r="K4420" s="19"/>
      <c r="L4420" s="19"/>
      <c r="R4420" s="19"/>
    </row>
    <row r="4421" spans="7:18" x14ac:dyDescent="0.25">
      <c r="G4421" s="19"/>
      <c r="J4421" s="19"/>
      <c r="K4421" s="19"/>
      <c r="L4421" s="19"/>
      <c r="R4421" s="19"/>
    </row>
    <row r="4422" spans="7:18" x14ac:dyDescent="0.25">
      <c r="G4422" s="19"/>
      <c r="J4422" s="19"/>
      <c r="K4422" s="19"/>
      <c r="L4422" s="19"/>
      <c r="R4422" s="19"/>
    </row>
    <row r="4423" spans="7:18" x14ac:dyDescent="0.25">
      <c r="G4423" s="19"/>
      <c r="J4423" s="19"/>
      <c r="K4423" s="19"/>
      <c r="L4423" s="19"/>
      <c r="R4423" s="19"/>
    </row>
    <row r="4424" spans="7:18" x14ac:dyDescent="0.25">
      <c r="G4424" s="19"/>
      <c r="J4424" s="19"/>
      <c r="K4424" s="19"/>
      <c r="L4424" s="19"/>
      <c r="R4424" s="19"/>
    </row>
    <row r="4425" spans="7:18" x14ac:dyDescent="0.25">
      <c r="G4425" s="19"/>
      <c r="J4425" s="19"/>
      <c r="K4425" s="19"/>
      <c r="L4425" s="19"/>
      <c r="R4425" s="19"/>
    </row>
    <row r="4426" spans="7:18" x14ac:dyDescent="0.25">
      <c r="G4426" s="19"/>
      <c r="J4426" s="19"/>
      <c r="K4426" s="19"/>
      <c r="L4426" s="19"/>
      <c r="R4426" s="19"/>
    </row>
    <row r="4427" spans="7:18" x14ac:dyDescent="0.25">
      <c r="G4427" s="19"/>
      <c r="J4427" s="19"/>
      <c r="K4427" s="19"/>
      <c r="L4427" s="19"/>
      <c r="R4427" s="19"/>
    </row>
    <row r="4428" spans="7:18" x14ac:dyDescent="0.25">
      <c r="G4428" s="19"/>
      <c r="J4428" s="19"/>
      <c r="K4428" s="19"/>
      <c r="L4428" s="19"/>
      <c r="R4428" s="19"/>
    </row>
    <row r="4429" spans="7:18" x14ac:dyDescent="0.25">
      <c r="G4429" s="19"/>
      <c r="J4429" s="19"/>
      <c r="K4429" s="19"/>
      <c r="L4429" s="19"/>
      <c r="R4429" s="19"/>
    </row>
    <row r="4430" spans="7:18" x14ac:dyDescent="0.25">
      <c r="G4430" s="19"/>
      <c r="J4430" s="19"/>
      <c r="K4430" s="19"/>
      <c r="L4430" s="19"/>
      <c r="R4430" s="19"/>
    </row>
    <row r="4431" spans="7:18" x14ac:dyDescent="0.25">
      <c r="G4431" s="19"/>
      <c r="J4431" s="19"/>
      <c r="K4431" s="19"/>
      <c r="L4431" s="19"/>
      <c r="R4431" s="19"/>
    </row>
    <row r="4432" spans="7:18" x14ac:dyDescent="0.25">
      <c r="G4432" s="19"/>
      <c r="J4432" s="19"/>
      <c r="K4432" s="19"/>
      <c r="L4432" s="19"/>
      <c r="R4432" s="19"/>
    </row>
    <row r="4433" spans="7:18" x14ac:dyDescent="0.25">
      <c r="G4433" s="19"/>
      <c r="J4433" s="19"/>
      <c r="K4433" s="19"/>
      <c r="L4433" s="19"/>
      <c r="R4433" s="19"/>
    </row>
    <row r="4434" spans="7:18" x14ac:dyDescent="0.25">
      <c r="G4434" s="19"/>
      <c r="J4434" s="19"/>
      <c r="K4434" s="19"/>
      <c r="L4434" s="19"/>
      <c r="R4434" s="19"/>
    </row>
    <row r="4435" spans="7:18" x14ac:dyDescent="0.25">
      <c r="G4435" s="19"/>
      <c r="J4435" s="19"/>
      <c r="K4435" s="19"/>
      <c r="L4435" s="19"/>
      <c r="R4435" s="19"/>
    </row>
    <row r="4436" spans="7:18" x14ac:dyDescent="0.25">
      <c r="G4436" s="19"/>
      <c r="J4436" s="19"/>
      <c r="K4436" s="19"/>
      <c r="L4436" s="19"/>
      <c r="R4436" s="19"/>
    </row>
    <row r="4437" spans="7:18" x14ac:dyDescent="0.25">
      <c r="G4437" s="19"/>
      <c r="J4437" s="19"/>
      <c r="K4437" s="19"/>
      <c r="L4437" s="19"/>
      <c r="R4437" s="19"/>
    </row>
    <row r="4438" spans="7:18" x14ac:dyDescent="0.25">
      <c r="G4438" s="19"/>
      <c r="J4438" s="19"/>
      <c r="K4438" s="19"/>
      <c r="L4438" s="19"/>
      <c r="R4438" s="19"/>
    </row>
    <row r="4439" spans="7:18" x14ac:dyDescent="0.25">
      <c r="G4439" s="19"/>
      <c r="J4439" s="19"/>
      <c r="K4439" s="19"/>
      <c r="L4439" s="19"/>
      <c r="R4439" s="19"/>
    </row>
    <row r="4440" spans="7:18" x14ac:dyDescent="0.25">
      <c r="G4440" s="19"/>
      <c r="J4440" s="19"/>
      <c r="K4440" s="19"/>
      <c r="L4440" s="19"/>
      <c r="R4440" s="19"/>
    </row>
    <row r="4441" spans="7:18" x14ac:dyDescent="0.25">
      <c r="G4441" s="19"/>
      <c r="J4441" s="19"/>
      <c r="K4441" s="19"/>
      <c r="L4441" s="19"/>
      <c r="R4441" s="19"/>
    </row>
    <row r="4442" spans="7:18" x14ac:dyDescent="0.25">
      <c r="G4442" s="19"/>
      <c r="J4442" s="19"/>
      <c r="K4442" s="19"/>
      <c r="L4442" s="19"/>
      <c r="R4442" s="19"/>
    </row>
    <row r="4443" spans="7:18" x14ac:dyDescent="0.25">
      <c r="G4443" s="19"/>
      <c r="J4443" s="19"/>
      <c r="K4443" s="19"/>
      <c r="L4443" s="19"/>
      <c r="R4443" s="19"/>
    </row>
    <row r="4444" spans="7:18" x14ac:dyDescent="0.25">
      <c r="G4444" s="19"/>
      <c r="J4444" s="19"/>
      <c r="K4444" s="19"/>
      <c r="L4444" s="19"/>
      <c r="R4444" s="19"/>
    </row>
    <row r="4445" spans="7:18" x14ac:dyDescent="0.25">
      <c r="G4445" s="19"/>
      <c r="J4445" s="19"/>
      <c r="K4445" s="19"/>
      <c r="L4445" s="19"/>
      <c r="R4445" s="19"/>
    </row>
    <row r="4446" spans="7:18" x14ac:dyDescent="0.25">
      <c r="G4446" s="19"/>
      <c r="J4446" s="19"/>
      <c r="K4446" s="19"/>
      <c r="L4446" s="19"/>
      <c r="R4446" s="19"/>
    </row>
    <row r="4447" spans="7:18" x14ac:dyDescent="0.25">
      <c r="G4447" s="19"/>
      <c r="J4447" s="19"/>
      <c r="K4447" s="19"/>
      <c r="L4447" s="19"/>
      <c r="R4447" s="19"/>
    </row>
    <row r="4448" spans="7:18" x14ac:dyDescent="0.25">
      <c r="G4448" s="19"/>
      <c r="J4448" s="19"/>
      <c r="K4448" s="19"/>
      <c r="L4448" s="19"/>
      <c r="R4448" s="19"/>
    </row>
    <row r="4449" spans="7:18" x14ac:dyDescent="0.25">
      <c r="G4449" s="19"/>
      <c r="J4449" s="19"/>
      <c r="K4449" s="19"/>
      <c r="L4449" s="19"/>
      <c r="R4449" s="19"/>
    </row>
    <row r="4450" spans="7:18" x14ac:dyDescent="0.25">
      <c r="G4450" s="19"/>
      <c r="J4450" s="19"/>
      <c r="K4450" s="19"/>
      <c r="L4450" s="19"/>
      <c r="R4450" s="19"/>
    </row>
    <row r="4451" spans="7:18" x14ac:dyDescent="0.25">
      <c r="G4451" s="19"/>
      <c r="J4451" s="19"/>
      <c r="K4451" s="19"/>
      <c r="L4451" s="19"/>
      <c r="R4451" s="19"/>
    </row>
    <row r="4452" spans="7:18" x14ac:dyDescent="0.25">
      <c r="G4452" s="19"/>
      <c r="J4452" s="19"/>
      <c r="K4452" s="19"/>
      <c r="L4452" s="19"/>
      <c r="R4452" s="19"/>
    </row>
    <row r="4453" spans="7:18" x14ac:dyDescent="0.25">
      <c r="G4453" s="19"/>
      <c r="J4453" s="19"/>
      <c r="K4453" s="19"/>
      <c r="L4453" s="19"/>
      <c r="R4453" s="19"/>
    </row>
    <row r="4454" spans="7:18" x14ac:dyDescent="0.25">
      <c r="G4454" s="19"/>
      <c r="J4454" s="19"/>
      <c r="K4454" s="19"/>
      <c r="L4454" s="19"/>
      <c r="R4454" s="19"/>
    </row>
    <row r="4455" spans="7:18" x14ac:dyDescent="0.25">
      <c r="G4455" s="19"/>
      <c r="J4455" s="19"/>
      <c r="K4455" s="19"/>
      <c r="L4455" s="19"/>
      <c r="R4455" s="19"/>
    </row>
    <row r="4456" spans="7:18" x14ac:dyDescent="0.25">
      <c r="G4456" s="19"/>
      <c r="J4456" s="19"/>
      <c r="K4456" s="19"/>
      <c r="L4456" s="19"/>
      <c r="R4456" s="19"/>
    </row>
    <row r="4457" spans="7:18" x14ac:dyDescent="0.25">
      <c r="G4457" s="19"/>
      <c r="J4457" s="19"/>
      <c r="K4457" s="19"/>
      <c r="L4457" s="19"/>
      <c r="R4457" s="19"/>
    </row>
    <row r="4458" spans="7:18" x14ac:dyDescent="0.25">
      <c r="G4458" s="19"/>
      <c r="J4458" s="19"/>
      <c r="K4458" s="19"/>
      <c r="L4458" s="19"/>
      <c r="R4458" s="19"/>
    </row>
    <row r="4459" spans="7:18" x14ac:dyDescent="0.25">
      <c r="G4459" s="19"/>
      <c r="J4459" s="19"/>
      <c r="K4459" s="19"/>
      <c r="L4459" s="19"/>
      <c r="R4459" s="19"/>
    </row>
    <row r="4460" spans="7:18" x14ac:dyDescent="0.25">
      <c r="G4460" s="19"/>
      <c r="J4460" s="19"/>
      <c r="K4460" s="19"/>
      <c r="L4460" s="19"/>
      <c r="R4460" s="19"/>
    </row>
    <row r="4461" spans="7:18" x14ac:dyDescent="0.25">
      <c r="G4461" s="19"/>
      <c r="J4461" s="19"/>
      <c r="K4461" s="19"/>
      <c r="L4461" s="19"/>
      <c r="R4461" s="19"/>
    </row>
    <row r="4462" spans="7:18" x14ac:dyDescent="0.25">
      <c r="G4462" s="19"/>
      <c r="J4462" s="19"/>
      <c r="K4462" s="19"/>
      <c r="L4462" s="19"/>
      <c r="R4462" s="19"/>
    </row>
    <row r="4463" spans="7:18" x14ac:dyDescent="0.25">
      <c r="G4463" s="19"/>
      <c r="J4463" s="19"/>
      <c r="K4463" s="19"/>
      <c r="L4463" s="19"/>
      <c r="R4463" s="19"/>
    </row>
    <row r="4464" spans="7:18" x14ac:dyDescent="0.25">
      <c r="G4464" s="19"/>
      <c r="J4464" s="19"/>
      <c r="K4464" s="19"/>
      <c r="L4464" s="19"/>
      <c r="R4464" s="19"/>
    </row>
    <row r="4465" spans="7:18" x14ac:dyDescent="0.25">
      <c r="G4465" s="19"/>
      <c r="J4465" s="19"/>
      <c r="K4465" s="19"/>
      <c r="L4465" s="19"/>
      <c r="R4465" s="19"/>
    </row>
    <row r="4466" spans="7:18" x14ac:dyDescent="0.25">
      <c r="G4466" s="19"/>
      <c r="J4466" s="19"/>
      <c r="K4466" s="19"/>
      <c r="L4466" s="19"/>
      <c r="R4466" s="19"/>
    </row>
    <row r="4467" spans="7:18" x14ac:dyDescent="0.25">
      <c r="G4467" s="19"/>
      <c r="J4467" s="19"/>
      <c r="K4467" s="19"/>
      <c r="L4467" s="19"/>
      <c r="R4467" s="19"/>
    </row>
    <row r="4468" spans="7:18" x14ac:dyDescent="0.25">
      <c r="G4468" s="19"/>
      <c r="J4468" s="19"/>
      <c r="K4468" s="19"/>
      <c r="L4468" s="19"/>
      <c r="R4468" s="19"/>
    </row>
    <row r="4469" spans="7:18" x14ac:dyDescent="0.25">
      <c r="G4469" s="19"/>
      <c r="J4469" s="19"/>
      <c r="K4469" s="19"/>
      <c r="L4469" s="19"/>
      <c r="R4469" s="19"/>
    </row>
    <row r="4470" spans="7:18" x14ac:dyDescent="0.25">
      <c r="G4470" s="19"/>
      <c r="J4470" s="19"/>
      <c r="K4470" s="19"/>
      <c r="L4470" s="19"/>
      <c r="R4470" s="19"/>
    </row>
    <row r="4471" spans="7:18" x14ac:dyDescent="0.25">
      <c r="G4471" s="19"/>
      <c r="J4471" s="19"/>
      <c r="K4471" s="19"/>
      <c r="L4471" s="19"/>
      <c r="R4471" s="19"/>
    </row>
    <row r="4472" spans="7:18" x14ac:dyDescent="0.25">
      <c r="G4472" s="19"/>
      <c r="J4472" s="19"/>
      <c r="K4472" s="19"/>
      <c r="L4472" s="19"/>
      <c r="R4472" s="19"/>
    </row>
    <row r="4473" spans="7:18" x14ac:dyDescent="0.25">
      <c r="G4473" s="19"/>
      <c r="J4473" s="19"/>
      <c r="K4473" s="19"/>
      <c r="L4473" s="19"/>
      <c r="R4473" s="19"/>
    </row>
    <row r="4474" spans="7:18" x14ac:dyDescent="0.25">
      <c r="G4474" s="19"/>
      <c r="J4474" s="19"/>
      <c r="K4474" s="19"/>
      <c r="L4474" s="19"/>
      <c r="R4474" s="19"/>
    </row>
    <row r="4475" spans="7:18" x14ac:dyDescent="0.25">
      <c r="G4475" s="19"/>
      <c r="J4475" s="19"/>
      <c r="K4475" s="19"/>
      <c r="L4475" s="19"/>
      <c r="R4475" s="19"/>
    </row>
    <row r="4476" spans="7:18" x14ac:dyDescent="0.25">
      <c r="G4476" s="19"/>
      <c r="J4476" s="19"/>
      <c r="K4476" s="19"/>
      <c r="L4476" s="19"/>
      <c r="R4476" s="19"/>
    </row>
    <row r="4477" spans="7:18" x14ac:dyDescent="0.25">
      <c r="G4477" s="19"/>
      <c r="J4477" s="19"/>
      <c r="K4477" s="19"/>
      <c r="L4477" s="19"/>
      <c r="R4477" s="19"/>
    </row>
    <row r="4478" spans="7:18" x14ac:dyDescent="0.25">
      <c r="G4478" s="19"/>
      <c r="J4478" s="19"/>
      <c r="K4478" s="19"/>
      <c r="L4478" s="19"/>
      <c r="R4478" s="19"/>
    </row>
    <row r="4479" spans="7:18" x14ac:dyDescent="0.25">
      <c r="G4479" s="19"/>
      <c r="J4479" s="19"/>
      <c r="K4479" s="19"/>
      <c r="L4479" s="19"/>
      <c r="R4479" s="19"/>
    </row>
    <row r="4480" spans="7:18" x14ac:dyDescent="0.25">
      <c r="G4480" s="19"/>
      <c r="J4480" s="19"/>
      <c r="K4480" s="19"/>
      <c r="L4480" s="19"/>
      <c r="R4480" s="19"/>
    </row>
    <row r="4481" spans="7:18" x14ac:dyDescent="0.25">
      <c r="G4481" s="19"/>
      <c r="J4481" s="19"/>
      <c r="K4481" s="19"/>
      <c r="L4481" s="19"/>
      <c r="R4481" s="19"/>
    </row>
    <row r="4482" spans="7:18" x14ac:dyDescent="0.25">
      <c r="G4482" s="19"/>
      <c r="J4482" s="19"/>
      <c r="K4482" s="19"/>
      <c r="L4482" s="19"/>
      <c r="R4482" s="19"/>
    </row>
    <row r="4483" spans="7:18" x14ac:dyDescent="0.25">
      <c r="G4483" s="19"/>
      <c r="J4483" s="19"/>
      <c r="K4483" s="19"/>
      <c r="L4483" s="19"/>
      <c r="R4483" s="19"/>
    </row>
    <row r="4484" spans="7:18" x14ac:dyDescent="0.25">
      <c r="G4484" s="19"/>
      <c r="J4484" s="19"/>
      <c r="K4484" s="19"/>
      <c r="L4484" s="19"/>
      <c r="R4484" s="19"/>
    </row>
    <row r="4485" spans="7:18" x14ac:dyDescent="0.25">
      <c r="G4485" s="19"/>
      <c r="J4485" s="19"/>
      <c r="K4485" s="19"/>
      <c r="L4485" s="19"/>
      <c r="R4485" s="19"/>
    </row>
    <row r="4486" spans="7:18" x14ac:dyDescent="0.25">
      <c r="G4486" s="19"/>
      <c r="J4486" s="19"/>
      <c r="K4486" s="19"/>
      <c r="L4486" s="19"/>
      <c r="R4486" s="19"/>
    </row>
    <row r="4487" spans="7:18" x14ac:dyDescent="0.25">
      <c r="G4487" s="19"/>
      <c r="J4487" s="19"/>
      <c r="K4487" s="19"/>
      <c r="L4487" s="19"/>
      <c r="R4487" s="19"/>
    </row>
    <row r="4488" spans="7:18" x14ac:dyDescent="0.25">
      <c r="G4488" s="19"/>
      <c r="J4488" s="19"/>
      <c r="K4488" s="19"/>
      <c r="L4488" s="19"/>
      <c r="R4488" s="19"/>
    </row>
    <row r="4489" spans="7:18" x14ac:dyDescent="0.25">
      <c r="G4489" s="19"/>
      <c r="J4489" s="19"/>
      <c r="K4489" s="19"/>
      <c r="L4489" s="19"/>
      <c r="R4489" s="19"/>
    </row>
    <row r="4490" spans="7:18" x14ac:dyDescent="0.25">
      <c r="G4490" s="19"/>
      <c r="J4490" s="19"/>
      <c r="K4490" s="19"/>
      <c r="L4490" s="19"/>
      <c r="R4490" s="19"/>
    </row>
    <row r="4491" spans="7:18" x14ac:dyDescent="0.25">
      <c r="G4491" s="19"/>
      <c r="J4491" s="19"/>
      <c r="K4491" s="19"/>
      <c r="L4491" s="19"/>
      <c r="R4491" s="19"/>
    </row>
    <row r="4492" spans="7:18" x14ac:dyDescent="0.25">
      <c r="G4492" s="19"/>
      <c r="J4492" s="19"/>
      <c r="K4492" s="19"/>
      <c r="L4492" s="19"/>
      <c r="R4492" s="19"/>
    </row>
    <row r="4493" spans="7:18" x14ac:dyDescent="0.25">
      <c r="G4493" s="19"/>
      <c r="J4493" s="19"/>
      <c r="K4493" s="19"/>
      <c r="L4493" s="19"/>
      <c r="R4493" s="19"/>
    </row>
    <row r="4494" spans="7:18" x14ac:dyDescent="0.25">
      <c r="G4494" s="19"/>
      <c r="J4494" s="19"/>
      <c r="K4494" s="19"/>
      <c r="L4494" s="19"/>
      <c r="R4494" s="19"/>
    </row>
    <row r="4495" spans="7:18" x14ac:dyDescent="0.25">
      <c r="G4495" s="19"/>
      <c r="J4495" s="19"/>
      <c r="K4495" s="19"/>
      <c r="L4495" s="19"/>
      <c r="R4495" s="19"/>
    </row>
    <row r="4496" spans="7:18" x14ac:dyDescent="0.25">
      <c r="G4496" s="19"/>
      <c r="J4496" s="19"/>
      <c r="K4496" s="19"/>
      <c r="L4496" s="19"/>
      <c r="R4496" s="19"/>
    </row>
    <row r="4497" spans="7:18" x14ac:dyDescent="0.25">
      <c r="G4497" s="19"/>
      <c r="J4497" s="19"/>
      <c r="K4497" s="19"/>
      <c r="L4497" s="19"/>
      <c r="R4497" s="19"/>
    </row>
    <row r="4498" spans="7:18" x14ac:dyDescent="0.25">
      <c r="G4498" s="19"/>
      <c r="J4498" s="19"/>
      <c r="K4498" s="19"/>
      <c r="L4498" s="19"/>
      <c r="R4498" s="19"/>
    </row>
    <row r="4499" spans="7:18" x14ac:dyDescent="0.25">
      <c r="G4499" s="19"/>
      <c r="J4499" s="19"/>
      <c r="K4499" s="19"/>
      <c r="L4499" s="19"/>
      <c r="R4499" s="19"/>
    </row>
    <row r="4500" spans="7:18" x14ac:dyDescent="0.25">
      <c r="G4500" s="19"/>
      <c r="J4500" s="19"/>
      <c r="K4500" s="19"/>
      <c r="L4500" s="19"/>
      <c r="R4500" s="19"/>
    </row>
    <row r="4502" spans="7:18" x14ac:dyDescent="0.25">
      <c r="G4502" s="19"/>
      <c r="J4502" s="19"/>
      <c r="K4502" s="19"/>
      <c r="L4502" s="19"/>
      <c r="R4502" s="19"/>
    </row>
    <row r="4503" spans="7:18" x14ac:dyDescent="0.25">
      <c r="G4503" s="19"/>
      <c r="J4503" s="19"/>
      <c r="K4503" s="19"/>
      <c r="L4503" s="19"/>
      <c r="R4503" s="19"/>
    </row>
    <row r="4504" spans="7:18" x14ac:dyDescent="0.25">
      <c r="G4504" s="19"/>
      <c r="J4504" s="19"/>
      <c r="K4504" s="19"/>
      <c r="L4504" s="19"/>
      <c r="R4504" s="19"/>
    </row>
    <row r="4505" spans="7:18" x14ac:dyDescent="0.25">
      <c r="G4505" s="19"/>
      <c r="J4505" s="19"/>
      <c r="K4505" s="19"/>
      <c r="L4505" s="19"/>
      <c r="R4505" s="19"/>
    </row>
    <row r="4506" spans="7:18" x14ac:dyDescent="0.25">
      <c r="G4506" s="19"/>
      <c r="J4506" s="19"/>
      <c r="K4506" s="19"/>
      <c r="L4506" s="19"/>
      <c r="R4506" s="19"/>
    </row>
    <row r="4507" spans="7:18" x14ac:dyDescent="0.25">
      <c r="G4507" s="19"/>
      <c r="J4507" s="19"/>
      <c r="K4507" s="19"/>
      <c r="L4507" s="19"/>
      <c r="R4507" s="19"/>
    </row>
    <row r="4508" spans="7:18" x14ac:dyDescent="0.25">
      <c r="G4508" s="19"/>
      <c r="J4508" s="19"/>
      <c r="K4508" s="19"/>
      <c r="L4508" s="19"/>
      <c r="R4508" s="19"/>
    </row>
    <row r="4509" spans="7:18" x14ac:dyDescent="0.25">
      <c r="G4509" s="19"/>
      <c r="J4509" s="19"/>
      <c r="K4509" s="19"/>
      <c r="L4509" s="19"/>
      <c r="R4509" s="19"/>
    </row>
    <row r="4510" spans="7:18" x14ac:dyDescent="0.25">
      <c r="G4510" s="19"/>
      <c r="J4510" s="19"/>
      <c r="K4510" s="19"/>
      <c r="L4510" s="19"/>
      <c r="R4510" s="19"/>
    </row>
    <row r="4511" spans="7:18" x14ac:dyDescent="0.25">
      <c r="G4511" s="19"/>
      <c r="J4511" s="19"/>
      <c r="K4511" s="19"/>
      <c r="L4511" s="19"/>
      <c r="R4511" s="19"/>
    </row>
    <row r="4512" spans="7:18" x14ac:dyDescent="0.25">
      <c r="G4512" s="19"/>
      <c r="J4512" s="19"/>
      <c r="K4512" s="19"/>
      <c r="L4512" s="19"/>
      <c r="R4512" s="19"/>
    </row>
    <row r="4513" spans="7:18" x14ac:dyDescent="0.25">
      <c r="G4513" s="19"/>
      <c r="J4513" s="19"/>
      <c r="K4513" s="19"/>
      <c r="L4513" s="19"/>
      <c r="R4513" s="19"/>
    </row>
    <row r="4514" spans="7:18" x14ac:dyDescent="0.25">
      <c r="G4514" s="19"/>
      <c r="J4514" s="19"/>
      <c r="K4514" s="19"/>
      <c r="L4514" s="19"/>
      <c r="R4514" s="19"/>
    </row>
    <row r="4515" spans="7:18" x14ac:dyDescent="0.25">
      <c r="G4515" s="19"/>
      <c r="J4515" s="19"/>
      <c r="K4515" s="19"/>
      <c r="L4515" s="19"/>
      <c r="R4515" s="19"/>
    </row>
    <row r="4516" spans="7:18" x14ac:dyDescent="0.25">
      <c r="G4516" s="19"/>
      <c r="J4516" s="19"/>
      <c r="K4516" s="19"/>
      <c r="L4516" s="19"/>
      <c r="R4516" s="19"/>
    </row>
    <row r="4517" spans="7:18" x14ac:dyDescent="0.25">
      <c r="G4517" s="19"/>
      <c r="J4517" s="19"/>
      <c r="K4517" s="19"/>
      <c r="L4517" s="19"/>
      <c r="R4517" s="19"/>
    </row>
    <row r="4518" spans="7:18" x14ac:dyDescent="0.25">
      <c r="G4518" s="19"/>
      <c r="J4518" s="19"/>
      <c r="K4518" s="19"/>
      <c r="L4518" s="19"/>
      <c r="R4518" s="19"/>
    </row>
    <row r="4519" spans="7:18" x14ac:dyDescent="0.25">
      <c r="G4519" s="19"/>
      <c r="J4519" s="19"/>
      <c r="K4519" s="19"/>
      <c r="L4519" s="19"/>
      <c r="R4519" s="19"/>
    </row>
    <row r="4520" spans="7:18" x14ac:dyDescent="0.25">
      <c r="G4520" s="19"/>
      <c r="J4520" s="19"/>
      <c r="K4520" s="19"/>
      <c r="L4520" s="19"/>
      <c r="R4520" s="19"/>
    </row>
    <row r="4521" spans="7:18" x14ac:dyDescent="0.25">
      <c r="G4521" s="19"/>
      <c r="J4521" s="19"/>
      <c r="K4521" s="19"/>
      <c r="L4521" s="19"/>
      <c r="R4521" s="19"/>
    </row>
    <row r="4522" spans="7:18" x14ac:dyDescent="0.25">
      <c r="G4522" s="19"/>
      <c r="J4522" s="19"/>
      <c r="K4522" s="19"/>
      <c r="L4522" s="19"/>
      <c r="R4522" s="19"/>
    </row>
    <row r="4523" spans="7:18" x14ac:dyDescent="0.25">
      <c r="G4523" s="19"/>
      <c r="J4523" s="19"/>
      <c r="K4523" s="19"/>
      <c r="L4523" s="19"/>
      <c r="R4523" s="19"/>
    </row>
    <row r="4524" spans="7:18" x14ac:dyDescent="0.25">
      <c r="G4524" s="19"/>
      <c r="J4524" s="19"/>
      <c r="K4524" s="19"/>
      <c r="L4524" s="19"/>
      <c r="R4524" s="19"/>
    </row>
    <row r="4525" spans="7:18" x14ac:dyDescent="0.25">
      <c r="G4525" s="19"/>
      <c r="J4525" s="19"/>
      <c r="K4525" s="19"/>
      <c r="L4525" s="19"/>
      <c r="R4525" s="19"/>
    </row>
    <row r="4526" spans="7:18" x14ac:dyDescent="0.25">
      <c r="G4526" s="19"/>
      <c r="J4526" s="19"/>
      <c r="K4526" s="19"/>
      <c r="L4526" s="19"/>
      <c r="R4526" s="19"/>
    </row>
    <row r="4527" spans="7:18" x14ac:dyDescent="0.25">
      <c r="G4527" s="19"/>
      <c r="J4527" s="19"/>
      <c r="K4527" s="19"/>
      <c r="L4527" s="19"/>
      <c r="R4527" s="19"/>
    </row>
    <row r="4528" spans="7:18" x14ac:dyDescent="0.25">
      <c r="G4528" s="19"/>
      <c r="J4528" s="19"/>
      <c r="K4528" s="19"/>
      <c r="L4528" s="19"/>
      <c r="R4528" s="19"/>
    </row>
    <row r="4529" spans="7:18" x14ac:dyDescent="0.25">
      <c r="G4529" s="19"/>
      <c r="J4529" s="19"/>
      <c r="K4529" s="19"/>
      <c r="L4529" s="19"/>
      <c r="R4529" s="19"/>
    </row>
    <row r="4530" spans="7:18" x14ac:dyDescent="0.25">
      <c r="G4530" s="19"/>
      <c r="J4530" s="19"/>
      <c r="K4530" s="19"/>
      <c r="L4530" s="19"/>
      <c r="R4530" s="19"/>
    </row>
    <row r="4531" spans="7:18" x14ac:dyDescent="0.25">
      <c r="G4531" s="19"/>
      <c r="J4531" s="19"/>
      <c r="K4531" s="19"/>
      <c r="L4531" s="19"/>
      <c r="R4531" s="19"/>
    </row>
    <row r="4532" spans="7:18" x14ac:dyDescent="0.25">
      <c r="G4532" s="19"/>
      <c r="J4532" s="19"/>
      <c r="K4532" s="19"/>
      <c r="L4532" s="19"/>
      <c r="R4532" s="19"/>
    </row>
    <row r="4533" spans="7:18" x14ac:dyDescent="0.25">
      <c r="G4533" s="19"/>
      <c r="J4533" s="19"/>
      <c r="K4533" s="19"/>
      <c r="L4533" s="19"/>
      <c r="R4533" s="19"/>
    </row>
    <row r="4534" spans="7:18" x14ac:dyDescent="0.25">
      <c r="G4534" s="19"/>
      <c r="J4534" s="19"/>
      <c r="K4534" s="19"/>
      <c r="L4534" s="19"/>
      <c r="R4534" s="19"/>
    </row>
    <row r="4535" spans="7:18" x14ac:dyDescent="0.25">
      <c r="G4535" s="19"/>
      <c r="J4535" s="19"/>
      <c r="K4535" s="19"/>
      <c r="L4535" s="19"/>
      <c r="R4535" s="19"/>
    </row>
    <row r="4536" spans="7:18" x14ac:dyDescent="0.25">
      <c r="G4536" s="19"/>
      <c r="J4536" s="19"/>
      <c r="K4536" s="19"/>
      <c r="L4536" s="19"/>
      <c r="R4536" s="19"/>
    </row>
    <row r="4537" spans="7:18" x14ac:dyDescent="0.25">
      <c r="G4537" s="19"/>
      <c r="J4537" s="19"/>
      <c r="K4537" s="19"/>
      <c r="L4537" s="19"/>
      <c r="R4537" s="19"/>
    </row>
    <row r="4538" spans="7:18" x14ac:dyDescent="0.25">
      <c r="G4538" s="19"/>
      <c r="J4538" s="19"/>
      <c r="K4538" s="19"/>
      <c r="L4538" s="19"/>
      <c r="R4538" s="19"/>
    </row>
    <row r="4539" spans="7:18" x14ac:dyDescent="0.25">
      <c r="G4539" s="19"/>
      <c r="J4539" s="19"/>
      <c r="K4539" s="19"/>
      <c r="L4539" s="19"/>
      <c r="R4539" s="19"/>
    </row>
    <row r="4540" spans="7:18" x14ac:dyDescent="0.25">
      <c r="G4540" s="19"/>
      <c r="J4540" s="19"/>
      <c r="K4540" s="19"/>
      <c r="L4540" s="19"/>
      <c r="R4540" s="19"/>
    </row>
    <row r="4541" spans="7:18" x14ac:dyDescent="0.25">
      <c r="G4541" s="19"/>
      <c r="J4541" s="19"/>
      <c r="K4541" s="19"/>
      <c r="L4541" s="19"/>
      <c r="R4541" s="19"/>
    </row>
    <row r="4542" spans="7:18" x14ac:dyDescent="0.25">
      <c r="G4542" s="19"/>
      <c r="J4542" s="19"/>
      <c r="K4542" s="19"/>
      <c r="L4542" s="19"/>
      <c r="R4542" s="19"/>
    </row>
    <row r="4543" spans="7:18" x14ac:dyDescent="0.25">
      <c r="G4543" s="19"/>
      <c r="J4543" s="19"/>
      <c r="K4543" s="19"/>
      <c r="L4543" s="19"/>
      <c r="R4543" s="19"/>
    </row>
    <row r="4544" spans="7:18" x14ac:dyDescent="0.25">
      <c r="G4544" s="19"/>
      <c r="J4544" s="19"/>
      <c r="K4544" s="19"/>
      <c r="L4544" s="19"/>
      <c r="R4544" s="19"/>
    </row>
    <row r="4545" spans="7:18" x14ac:dyDescent="0.25">
      <c r="G4545" s="19"/>
      <c r="J4545" s="19"/>
      <c r="K4545" s="19"/>
      <c r="L4545" s="19"/>
      <c r="R4545" s="19"/>
    </row>
    <row r="4546" spans="7:18" x14ac:dyDescent="0.25">
      <c r="G4546" s="19"/>
      <c r="J4546" s="19"/>
      <c r="K4546" s="19"/>
      <c r="L4546" s="19"/>
      <c r="R4546" s="19"/>
    </row>
    <row r="4547" spans="7:18" x14ac:dyDescent="0.25">
      <c r="G4547" s="19"/>
      <c r="J4547" s="19"/>
      <c r="K4547" s="19"/>
      <c r="L4547" s="19"/>
      <c r="R4547" s="19"/>
    </row>
    <row r="4548" spans="7:18" x14ac:dyDescent="0.25">
      <c r="G4548" s="19"/>
      <c r="J4548" s="19"/>
      <c r="K4548" s="19"/>
      <c r="L4548" s="19"/>
      <c r="R4548" s="19"/>
    </row>
    <row r="4549" spans="7:18" x14ac:dyDescent="0.25">
      <c r="G4549" s="19"/>
      <c r="J4549" s="19"/>
      <c r="K4549" s="19"/>
      <c r="L4549" s="19"/>
      <c r="R4549" s="19"/>
    </row>
    <row r="4550" spans="7:18" x14ac:dyDescent="0.25">
      <c r="G4550" s="19"/>
      <c r="J4550" s="19"/>
      <c r="K4550" s="19"/>
      <c r="L4550" s="19"/>
      <c r="R4550" s="19"/>
    </row>
    <row r="4551" spans="7:18" x14ac:dyDescent="0.25">
      <c r="G4551" s="19"/>
      <c r="J4551" s="19"/>
      <c r="K4551" s="19"/>
      <c r="L4551" s="19"/>
      <c r="R4551" s="19"/>
    </row>
    <row r="4552" spans="7:18" x14ac:dyDescent="0.25">
      <c r="G4552" s="19"/>
      <c r="J4552" s="19"/>
      <c r="K4552" s="19"/>
      <c r="L4552" s="19"/>
      <c r="R4552" s="19"/>
    </row>
    <row r="4553" spans="7:18" x14ac:dyDescent="0.25">
      <c r="G4553" s="19"/>
      <c r="J4553" s="19"/>
      <c r="K4553" s="19"/>
      <c r="L4553" s="19"/>
      <c r="R4553" s="19"/>
    </row>
    <row r="4554" spans="7:18" x14ac:dyDescent="0.25">
      <c r="G4554" s="19"/>
      <c r="J4554" s="19"/>
      <c r="K4554" s="19"/>
      <c r="L4554" s="19"/>
      <c r="R4554" s="19"/>
    </row>
    <row r="4555" spans="7:18" x14ac:dyDescent="0.25">
      <c r="G4555" s="19"/>
      <c r="J4555" s="19"/>
      <c r="K4555" s="19"/>
      <c r="L4555" s="19"/>
      <c r="R4555" s="19"/>
    </row>
    <row r="4556" spans="7:18" x14ac:dyDescent="0.25">
      <c r="G4556" s="19"/>
      <c r="J4556" s="19"/>
      <c r="K4556" s="19"/>
      <c r="L4556" s="19"/>
      <c r="R4556" s="19"/>
    </row>
    <row r="4557" spans="7:18" x14ac:dyDescent="0.25">
      <c r="G4557" s="19"/>
      <c r="J4557" s="19"/>
      <c r="K4557" s="19"/>
      <c r="L4557" s="19"/>
      <c r="R4557" s="19"/>
    </row>
    <row r="4558" spans="7:18" x14ac:dyDescent="0.25">
      <c r="G4558" s="19"/>
      <c r="J4558" s="19"/>
      <c r="K4558" s="19"/>
      <c r="L4558" s="19"/>
      <c r="R4558" s="19"/>
    </row>
    <row r="4559" spans="7:18" x14ac:dyDescent="0.25">
      <c r="G4559" s="19"/>
      <c r="J4559" s="19"/>
      <c r="K4559" s="19"/>
      <c r="L4559" s="19"/>
      <c r="R4559" s="19"/>
    </row>
    <row r="4560" spans="7:18" x14ac:dyDescent="0.25">
      <c r="G4560" s="19"/>
      <c r="J4560" s="19"/>
      <c r="K4560" s="19"/>
      <c r="L4560" s="19"/>
      <c r="R4560" s="19"/>
    </row>
    <row r="4561" spans="7:18" x14ac:dyDescent="0.25">
      <c r="G4561" s="19"/>
      <c r="J4561" s="19"/>
      <c r="K4561" s="19"/>
      <c r="L4561" s="19"/>
      <c r="R4561" s="19"/>
    </row>
    <row r="4562" spans="7:18" x14ac:dyDescent="0.25">
      <c r="G4562" s="19"/>
      <c r="J4562" s="19"/>
      <c r="K4562" s="19"/>
      <c r="L4562" s="19"/>
      <c r="R4562" s="19"/>
    </row>
    <row r="4563" spans="7:18" x14ac:dyDescent="0.25">
      <c r="G4563" s="19"/>
      <c r="J4563" s="19"/>
      <c r="K4563" s="19"/>
      <c r="L4563" s="19"/>
      <c r="R4563" s="19"/>
    </row>
    <row r="4564" spans="7:18" x14ac:dyDescent="0.25">
      <c r="G4564" s="19"/>
      <c r="J4564" s="19"/>
      <c r="K4564" s="19"/>
      <c r="L4564" s="19"/>
      <c r="R4564" s="19"/>
    </row>
    <row r="4565" spans="7:18" x14ac:dyDescent="0.25">
      <c r="G4565" s="19"/>
      <c r="J4565" s="19"/>
      <c r="K4565" s="19"/>
      <c r="L4565" s="19"/>
      <c r="R4565" s="19"/>
    </row>
    <row r="4566" spans="7:18" x14ac:dyDescent="0.25">
      <c r="G4566" s="19"/>
      <c r="J4566" s="19"/>
      <c r="K4566" s="19"/>
      <c r="L4566" s="19"/>
      <c r="R4566" s="19"/>
    </row>
    <row r="4567" spans="7:18" x14ac:dyDescent="0.25">
      <c r="G4567" s="19"/>
      <c r="J4567" s="19"/>
      <c r="K4567" s="19"/>
      <c r="L4567" s="19"/>
      <c r="R4567" s="19"/>
    </row>
    <row r="4568" spans="7:18" x14ac:dyDescent="0.25">
      <c r="G4568" s="19"/>
      <c r="J4568" s="19"/>
      <c r="K4568" s="19"/>
      <c r="L4568" s="19"/>
      <c r="R4568" s="19"/>
    </row>
    <row r="4569" spans="7:18" x14ac:dyDescent="0.25">
      <c r="G4569" s="19"/>
      <c r="J4569" s="19"/>
      <c r="K4569" s="19"/>
      <c r="L4569" s="19"/>
      <c r="R4569" s="19"/>
    </row>
    <row r="4570" spans="7:18" x14ac:dyDescent="0.25">
      <c r="G4570" s="19"/>
      <c r="J4570" s="19"/>
      <c r="K4570" s="19"/>
      <c r="L4570" s="19"/>
      <c r="R4570" s="19"/>
    </row>
    <row r="4571" spans="7:18" x14ac:dyDescent="0.25">
      <c r="G4571" s="19"/>
      <c r="J4571" s="19"/>
      <c r="K4571" s="19"/>
      <c r="L4571" s="19"/>
      <c r="R4571" s="19"/>
    </row>
    <row r="4572" spans="7:18" x14ac:dyDescent="0.25">
      <c r="G4572" s="19"/>
      <c r="J4572" s="19"/>
      <c r="K4572" s="19"/>
      <c r="L4572" s="19"/>
      <c r="R4572" s="19"/>
    </row>
    <row r="4573" spans="7:18" x14ac:dyDescent="0.25">
      <c r="G4573" s="19"/>
      <c r="J4573" s="19"/>
      <c r="K4573" s="19"/>
      <c r="L4573" s="19"/>
      <c r="R4573" s="19"/>
    </row>
    <row r="4574" spans="7:18" x14ac:dyDescent="0.25">
      <c r="G4574" s="19"/>
      <c r="J4574" s="19"/>
      <c r="K4574" s="19"/>
      <c r="L4574" s="19"/>
      <c r="R4574" s="19"/>
    </row>
    <row r="4575" spans="7:18" x14ac:dyDescent="0.25">
      <c r="G4575" s="19"/>
      <c r="J4575" s="19"/>
      <c r="K4575" s="19"/>
      <c r="L4575" s="19"/>
      <c r="R4575" s="19"/>
    </row>
    <row r="4576" spans="7:18" x14ac:dyDescent="0.25">
      <c r="G4576" s="19"/>
      <c r="J4576" s="19"/>
      <c r="K4576" s="19"/>
      <c r="L4576" s="19"/>
      <c r="R4576" s="19"/>
    </row>
    <row r="4577" spans="7:18" x14ac:dyDescent="0.25">
      <c r="G4577" s="19"/>
      <c r="J4577" s="19"/>
      <c r="K4577" s="19"/>
      <c r="L4577" s="19"/>
      <c r="R4577" s="19"/>
    </row>
    <row r="4578" spans="7:18" x14ac:dyDescent="0.25">
      <c r="G4578" s="19"/>
      <c r="J4578" s="19"/>
      <c r="K4578" s="19"/>
      <c r="L4578" s="19"/>
      <c r="R4578" s="19"/>
    </row>
    <row r="4579" spans="7:18" x14ac:dyDescent="0.25">
      <c r="G4579" s="19"/>
      <c r="J4579" s="19"/>
      <c r="K4579" s="19"/>
      <c r="L4579" s="19"/>
      <c r="R4579" s="19"/>
    </row>
    <row r="4580" spans="7:18" x14ac:dyDescent="0.25">
      <c r="G4580" s="19"/>
      <c r="J4580" s="19"/>
      <c r="K4580" s="19"/>
      <c r="L4580" s="19"/>
      <c r="R4580" s="19"/>
    </row>
    <row r="4581" spans="7:18" x14ac:dyDescent="0.25">
      <c r="G4581" s="19"/>
      <c r="J4581" s="19"/>
      <c r="K4581" s="19"/>
      <c r="L4581" s="19"/>
      <c r="R4581" s="19"/>
    </row>
    <row r="4582" spans="7:18" x14ac:dyDescent="0.25">
      <c r="G4582" s="19"/>
      <c r="J4582" s="19"/>
      <c r="K4582" s="19"/>
      <c r="L4582" s="19"/>
      <c r="R4582" s="19"/>
    </row>
    <row r="4583" spans="7:18" x14ac:dyDescent="0.25">
      <c r="G4583" s="19"/>
      <c r="J4583" s="19"/>
      <c r="K4583" s="19"/>
      <c r="L4583" s="19"/>
      <c r="R4583" s="19"/>
    </row>
    <row r="4584" spans="7:18" x14ac:dyDescent="0.25">
      <c r="G4584" s="19"/>
      <c r="J4584" s="19"/>
      <c r="K4584" s="19"/>
      <c r="L4584" s="19"/>
      <c r="R4584" s="19"/>
    </row>
    <row r="4585" spans="7:18" x14ac:dyDescent="0.25">
      <c r="G4585" s="19"/>
      <c r="J4585" s="19"/>
      <c r="K4585" s="19"/>
      <c r="L4585" s="19"/>
      <c r="R4585" s="19"/>
    </row>
    <row r="4586" spans="7:18" x14ac:dyDescent="0.25">
      <c r="G4586" s="19"/>
      <c r="J4586" s="19"/>
      <c r="K4586" s="19"/>
      <c r="L4586" s="19"/>
      <c r="R4586" s="19"/>
    </row>
    <row r="4587" spans="7:18" x14ac:dyDescent="0.25">
      <c r="G4587" s="19"/>
      <c r="J4587" s="19"/>
      <c r="K4587" s="19"/>
      <c r="L4587" s="19"/>
      <c r="R4587" s="19"/>
    </row>
    <row r="4588" spans="7:18" x14ac:dyDescent="0.25">
      <c r="G4588" s="19"/>
      <c r="J4588" s="19"/>
      <c r="K4588" s="19"/>
      <c r="L4588" s="19"/>
      <c r="R4588" s="19"/>
    </row>
    <row r="4589" spans="7:18" x14ac:dyDescent="0.25">
      <c r="G4589" s="19"/>
      <c r="J4589" s="19"/>
      <c r="K4589" s="19"/>
      <c r="L4589" s="19"/>
      <c r="R4589" s="19"/>
    </row>
    <row r="4590" spans="7:18" x14ac:dyDescent="0.25">
      <c r="G4590" s="19"/>
      <c r="J4590" s="19"/>
      <c r="K4590" s="19"/>
      <c r="L4590" s="19"/>
      <c r="R4590" s="19"/>
    </row>
    <row r="4591" spans="7:18" x14ac:dyDescent="0.25">
      <c r="G4591" s="19"/>
      <c r="J4591" s="19"/>
      <c r="K4591" s="19"/>
      <c r="L4591" s="19"/>
      <c r="R4591" s="19"/>
    </row>
    <row r="4592" spans="7:18" x14ac:dyDescent="0.25">
      <c r="G4592" s="19"/>
      <c r="J4592" s="19"/>
      <c r="K4592" s="19"/>
      <c r="L4592" s="19"/>
      <c r="R4592" s="19"/>
    </row>
    <row r="4593" spans="7:18" x14ac:dyDescent="0.25">
      <c r="G4593" s="19"/>
      <c r="J4593" s="19"/>
      <c r="K4593" s="19"/>
      <c r="L4593" s="19"/>
      <c r="R4593" s="19"/>
    </row>
    <row r="4594" spans="7:18" x14ac:dyDescent="0.25">
      <c r="G4594" s="19"/>
      <c r="J4594" s="19"/>
      <c r="K4594" s="19"/>
      <c r="L4594" s="19"/>
      <c r="R4594" s="19"/>
    </row>
    <row r="4595" spans="7:18" x14ac:dyDescent="0.25">
      <c r="G4595" s="19"/>
      <c r="J4595" s="19"/>
      <c r="K4595" s="19"/>
      <c r="L4595" s="19"/>
      <c r="R4595" s="19"/>
    </row>
    <row r="4596" spans="7:18" x14ac:dyDescent="0.25">
      <c r="G4596" s="19"/>
      <c r="J4596" s="19"/>
      <c r="K4596" s="19"/>
      <c r="L4596" s="19"/>
      <c r="R4596" s="19"/>
    </row>
    <row r="4597" spans="7:18" x14ac:dyDescent="0.25">
      <c r="G4597" s="19"/>
      <c r="J4597" s="19"/>
      <c r="K4597" s="19"/>
      <c r="L4597" s="19"/>
      <c r="R4597" s="19"/>
    </row>
    <row r="4598" spans="7:18" x14ac:dyDescent="0.25">
      <c r="G4598" s="19"/>
      <c r="J4598" s="19"/>
      <c r="K4598" s="19"/>
      <c r="L4598" s="19"/>
      <c r="R4598" s="19"/>
    </row>
    <row r="4599" spans="7:18" x14ac:dyDescent="0.25">
      <c r="G4599" s="19"/>
      <c r="J4599" s="19"/>
      <c r="K4599" s="19"/>
      <c r="L4599" s="19"/>
      <c r="R4599" s="19"/>
    </row>
    <row r="4600" spans="7:18" x14ac:dyDescent="0.25">
      <c r="G4600" s="19"/>
      <c r="J4600" s="19"/>
      <c r="K4600" s="19"/>
      <c r="L4600" s="19"/>
      <c r="R4600" s="19"/>
    </row>
    <row r="4601" spans="7:18" x14ac:dyDescent="0.25">
      <c r="G4601" s="19"/>
      <c r="J4601" s="19"/>
      <c r="K4601" s="19"/>
      <c r="L4601" s="19"/>
      <c r="R4601" s="19"/>
    </row>
    <row r="4602" spans="7:18" x14ac:dyDescent="0.25">
      <c r="G4602" s="19"/>
      <c r="J4602" s="19"/>
      <c r="K4602" s="19"/>
      <c r="L4602" s="19"/>
      <c r="R4602" s="19"/>
    </row>
    <row r="4603" spans="7:18" x14ac:dyDescent="0.25">
      <c r="G4603" s="19"/>
      <c r="J4603" s="19"/>
      <c r="K4603" s="19"/>
      <c r="L4603" s="19"/>
      <c r="R4603" s="19"/>
    </row>
    <row r="4604" spans="7:18" x14ac:dyDescent="0.25">
      <c r="G4604" s="19"/>
      <c r="J4604" s="19"/>
      <c r="K4604" s="19"/>
      <c r="L4604" s="19"/>
      <c r="R4604" s="19"/>
    </row>
    <row r="4605" spans="7:18" x14ac:dyDescent="0.25">
      <c r="G4605" s="19"/>
      <c r="J4605" s="19"/>
      <c r="K4605" s="19"/>
      <c r="L4605" s="19"/>
      <c r="R4605" s="19"/>
    </row>
    <row r="4606" spans="7:18" x14ac:dyDescent="0.25">
      <c r="G4606" s="19"/>
      <c r="J4606" s="19"/>
      <c r="K4606" s="19"/>
      <c r="L4606" s="19"/>
      <c r="R4606" s="19"/>
    </row>
    <row r="4607" spans="7:18" x14ac:dyDescent="0.25">
      <c r="G4607" s="19"/>
      <c r="J4607" s="19"/>
      <c r="K4607" s="19"/>
      <c r="L4607" s="19"/>
      <c r="R4607" s="19"/>
    </row>
    <row r="4608" spans="7:18" x14ac:dyDescent="0.25">
      <c r="G4608" s="19"/>
      <c r="J4608" s="19"/>
      <c r="K4608" s="19"/>
      <c r="L4608" s="19"/>
      <c r="R4608" s="19"/>
    </row>
    <row r="4609" spans="7:18" x14ac:dyDescent="0.25">
      <c r="G4609" s="19"/>
      <c r="J4609" s="19"/>
      <c r="K4609" s="19"/>
      <c r="L4609" s="19"/>
      <c r="R4609" s="19"/>
    </row>
    <row r="4610" spans="7:18" x14ac:dyDescent="0.25">
      <c r="G4610" s="19"/>
      <c r="J4610" s="19"/>
      <c r="K4610" s="19"/>
      <c r="L4610" s="19"/>
      <c r="R4610" s="19"/>
    </row>
    <row r="4611" spans="7:18" x14ac:dyDescent="0.25">
      <c r="G4611" s="19"/>
      <c r="J4611" s="19"/>
      <c r="K4611" s="19"/>
      <c r="L4611" s="19"/>
      <c r="R4611" s="19"/>
    </row>
    <row r="4612" spans="7:18" x14ac:dyDescent="0.25">
      <c r="G4612" s="19"/>
      <c r="J4612" s="19"/>
      <c r="K4612" s="19"/>
      <c r="L4612" s="19"/>
      <c r="R4612" s="19"/>
    </row>
    <row r="4613" spans="7:18" x14ac:dyDescent="0.25">
      <c r="G4613" s="19"/>
      <c r="J4613" s="19"/>
      <c r="K4613" s="19"/>
      <c r="L4613" s="19"/>
      <c r="R4613" s="19"/>
    </row>
    <row r="4614" spans="7:18" x14ac:dyDescent="0.25">
      <c r="G4614" s="19"/>
      <c r="J4614" s="19"/>
      <c r="K4614" s="19"/>
      <c r="L4614" s="19"/>
      <c r="R4614" s="19"/>
    </row>
    <row r="4615" spans="7:18" x14ac:dyDescent="0.25">
      <c r="G4615" s="19"/>
      <c r="J4615" s="19"/>
      <c r="K4615" s="19"/>
      <c r="L4615" s="19"/>
      <c r="R4615" s="19"/>
    </row>
    <row r="4616" spans="7:18" x14ac:dyDescent="0.25">
      <c r="G4616" s="19"/>
      <c r="J4616" s="19"/>
      <c r="K4616" s="19"/>
      <c r="L4616" s="19"/>
      <c r="R4616" s="19"/>
    </row>
    <row r="4617" spans="7:18" x14ac:dyDescent="0.25">
      <c r="G4617" s="19"/>
      <c r="J4617" s="19"/>
      <c r="K4617" s="19"/>
      <c r="L4617" s="19"/>
      <c r="R4617" s="19"/>
    </row>
    <row r="4618" spans="7:18" x14ac:dyDescent="0.25">
      <c r="G4618" s="19"/>
      <c r="J4618" s="19"/>
      <c r="K4618" s="19"/>
      <c r="L4618" s="19"/>
      <c r="R4618" s="19"/>
    </row>
    <row r="4619" spans="7:18" x14ac:dyDescent="0.25">
      <c r="G4619" s="19"/>
      <c r="J4619" s="19"/>
      <c r="K4619" s="19"/>
      <c r="L4619" s="19"/>
      <c r="R4619" s="19"/>
    </row>
    <row r="4620" spans="7:18" x14ac:dyDescent="0.25">
      <c r="G4620" s="19"/>
      <c r="J4620" s="19"/>
      <c r="K4620" s="19"/>
      <c r="L4620" s="19"/>
      <c r="R4620" s="19"/>
    </row>
    <row r="4621" spans="7:18" x14ac:dyDescent="0.25">
      <c r="G4621" s="19"/>
      <c r="J4621" s="19"/>
      <c r="K4621" s="19"/>
      <c r="L4621" s="19"/>
      <c r="R4621" s="19"/>
    </row>
    <row r="4622" spans="7:18" x14ac:dyDescent="0.25">
      <c r="G4622" s="19"/>
      <c r="J4622" s="19"/>
      <c r="K4622" s="19"/>
      <c r="L4622" s="19"/>
      <c r="R4622" s="19"/>
    </row>
    <row r="4623" spans="7:18" x14ac:dyDescent="0.25">
      <c r="G4623" s="19"/>
      <c r="J4623" s="19"/>
      <c r="K4623" s="19"/>
      <c r="L4623" s="19"/>
      <c r="R4623" s="19"/>
    </row>
    <row r="4624" spans="7:18" x14ac:dyDescent="0.25">
      <c r="G4624" s="19"/>
      <c r="J4624" s="19"/>
      <c r="K4624" s="19"/>
      <c r="L4624" s="19"/>
      <c r="R4624" s="19"/>
    </row>
    <row r="4625" spans="7:18" x14ac:dyDescent="0.25">
      <c r="G4625" s="19"/>
      <c r="J4625" s="19"/>
      <c r="K4625" s="19"/>
      <c r="L4625" s="19"/>
      <c r="R4625" s="19"/>
    </row>
    <row r="4626" spans="7:18" x14ac:dyDescent="0.25">
      <c r="G4626" s="19"/>
      <c r="J4626" s="19"/>
      <c r="K4626" s="19"/>
      <c r="L4626" s="19"/>
      <c r="R4626" s="19"/>
    </row>
    <row r="4627" spans="7:18" x14ac:dyDescent="0.25">
      <c r="G4627" s="19"/>
      <c r="J4627" s="19"/>
      <c r="K4627" s="19"/>
      <c r="L4627" s="19"/>
      <c r="R4627" s="19"/>
    </row>
    <row r="4628" spans="7:18" x14ac:dyDescent="0.25">
      <c r="G4628" s="19"/>
      <c r="J4628" s="19"/>
      <c r="K4628" s="19"/>
      <c r="L4628" s="19"/>
      <c r="R4628" s="19"/>
    </row>
    <row r="4629" spans="7:18" x14ac:dyDescent="0.25">
      <c r="G4629" s="19"/>
      <c r="J4629" s="19"/>
      <c r="K4629" s="19"/>
      <c r="L4629" s="19"/>
      <c r="R4629" s="19"/>
    </row>
    <row r="4630" spans="7:18" x14ac:dyDescent="0.25">
      <c r="G4630" s="19"/>
      <c r="J4630" s="19"/>
      <c r="K4630" s="19"/>
      <c r="L4630" s="19"/>
      <c r="R4630" s="19"/>
    </row>
    <row r="4631" spans="7:18" x14ac:dyDescent="0.25">
      <c r="G4631" s="19"/>
      <c r="J4631" s="19"/>
      <c r="K4631" s="19"/>
      <c r="L4631" s="19"/>
      <c r="R4631" s="19"/>
    </row>
    <row r="4632" spans="7:18" x14ac:dyDescent="0.25">
      <c r="G4632" s="19"/>
      <c r="J4632" s="19"/>
      <c r="K4632" s="19"/>
      <c r="L4632" s="19"/>
      <c r="R4632" s="19"/>
    </row>
    <row r="4633" spans="7:18" x14ac:dyDescent="0.25">
      <c r="G4633" s="19"/>
      <c r="J4633" s="19"/>
      <c r="K4633" s="19"/>
      <c r="L4633" s="19"/>
      <c r="R4633" s="19"/>
    </row>
    <row r="4634" spans="7:18" x14ac:dyDescent="0.25">
      <c r="G4634" s="19"/>
      <c r="J4634" s="19"/>
      <c r="K4634" s="19"/>
      <c r="L4634" s="19"/>
      <c r="R4634" s="19"/>
    </row>
    <row r="4635" spans="7:18" x14ac:dyDescent="0.25">
      <c r="G4635" s="19"/>
      <c r="J4635" s="19"/>
      <c r="K4635" s="19"/>
      <c r="L4635" s="19"/>
      <c r="R4635" s="19"/>
    </row>
    <row r="4636" spans="7:18" x14ac:dyDescent="0.25">
      <c r="G4636" s="19"/>
      <c r="J4636" s="19"/>
      <c r="K4636" s="19"/>
      <c r="L4636" s="19"/>
      <c r="R4636" s="19"/>
    </row>
    <row r="4637" spans="7:18" x14ac:dyDescent="0.25">
      <c r="G4637" s="19"/>
      <c r="J4637" s="19"/>
      <c r="K4637" s="19"/>
      <c r="L4637" s="19"/>
      <c r="R4637" s="19"/>
    </row>
    <row r="4638" spans="7:18" x14ac:dyDescent="0.25">
      <c r="G4638" s="19"/>
      <c r="J4638" s="19"/>
      <c r="K4638" s="19"/>
      <c r="L4638" s="19"/>
      <c r="R4638" s="19"/>
    </row>
    <row r="4639" spans="7:18" x14ac:dyDescent="0.25">
      <c r="G4639" s="19"/>
      <c r="J4639" s="19"/>
      <c r="K4639" s="19"/>
      <c r="L4639" s="19"/>
      <c r="R4639" s="19"/>
    </row>
    <row r="4640" spans="7:18" x14ac:dyDescent="0.25">
      <c r="G4640" s="19"/>
      <c r="J4640" s="19"/>
      <c r="K4640" s="19"/>
      <c r="L4640" s="19"/>
      <c r="R4640" s="19"/>
    </row>
    <row r="4641" spans="7:18" x14ac:dyDescent="0.25">
      <c r="G4641" s="19"/>
      <c r="J4641" s="19"/>
      <c r="K4641" s="19"/>
      <c r="L4641" s="19"/>
      <c r="R4641" s="19"/>
    </row>
    <row r="4642" spans="7:18" x14ac:dyDescent="0.25">
      <c r="G4642" s="19"/>
      <c r="J4642" s="19"/>
      <c r="K4642" s="19"/>
      <c r="L4642" s="19"/>
      <c r="R4642" s="19"/>
    </row>
    <row r="4643" spans="7:18" x14ac:dyDescent="0.25">
      <c r="G4643" s="19"/>
      <c r="J4643" s="19"/>
      <c r="K4643" s="19"/>
      <c r="L4643" s="19"/>
      <c r="R4643" s="19"/>
    </row>
    <row r="4644" spans="7:18" x14ac:dyDescent="0.25">
      <c r="G4644" s="19"/>
      <c r="J4644" s="19"/>
      <c r="K4644" s="19"/>
      <c r="L4644" s="19"/>
      <c r="R4644" s="19"/>
    </row>
    <row r="4645" spans="7:18" x14ac:dyDescent="0.25">
      <c r="G4645" s="19"/>
      <c r="J4645" s="19"/>
      <c r="K4645" s="19"/>
      <c r="L4645" s="19"/>
      <c r="R4645" s="19"/>
    </row>
    <row r="4646" spans="7:18" x14ac:dyDescent="0.25">
      <c r="G4646" s="19"/>
      <c r="J4646" s="19"/>
      <c r="K4646" s="19"/>
      <c r="L4646" s="19"/>
      <c r="R4646" s="19"/>
    </row>
    <row r="4647" spans="7:18" x14ac:dyDescent="0.25">
      <c r="G4647" s="19"/>
      <c r="J4647" s="19"/>
      <c r="K4647" s="19"/>
      <c r="L4647" s="19"/>
      <c r="R4647" s="19"/>
    </row>
    <row r="4648" spans="7:18" x14ac:dyDescent="0.25">
      <c r="G4648" s="19"/>
      <c r="J4648" s="19"/>
      <c r="K4648" s="19"/>
      <c r="L4648" s="19"/>
      <c r="R4648" s="19"/>
    </row>
    <row r="4649" spans="7:18" x14ac:dyDescent="0.25">
      <c r="G4649" s="19"/>
      <c r="J4649" s="19"/>
      <c r="K4649" s="19"/>
      <c r="L4649" s="19"/>
      <c r="R4649" s="19"/>
    </row>
    <row r="4650" spans="7:18" x14ac:dyDescent="0.25">
      <c r="G4650" s="19"/>
      <c r="J4650" s="19"/>
      <c r="K4650" s="19"/>
      <c r="L4650" s="19"/>
      <c r="R4650" s="19"/>
    </row>
    <row r="4651" spans="7:18" x14ac:dyDescent="0.25">
      <c r="G4651" s="19"/>
      <c r="J4651" s="19"/>
      <c r="K4651" s="19"/>
      <c r="L4651" s="19"/>
      <c r="R4651" s="19"/>
    </row>
    <row r="4652" spans="7:18" x14ac:dyDescent="0.25">
      <c r="G4652" s="19"/>
      <c r="J4652" s="19"/>
      <c r="K4652" s="19"/>
      <c r="L4652" s="19"/>
      <c r="R4652" s="19"/>
    </row>
    <row r="4653" spans="7:18" x14ac:dyDescent="0.25">
      <c r="G4653" s="19"/>
      <c r="J4653" s="19"/>
      <c r="K4653" s="19"/>
      <c r="L4653" s="19"/>
      <c r="R4653" s="19"/>
    </row>
    <row r="4654" spans="7:18" x14ac:dyDescent="0.25">
      <c r="G4654" s="19"/>
      <c r="J4654" s="19"/>
      <c r="K4654" s="19"/>
      <c r="L4654" s="19"/>
      <c r="R4654" s="19"/>
    </row>
    <row r="4655" spans="7:18" x14ac:dyDescent="0.25">
      <c r="G4655" s="19"/>
      <c r="J4655" s="19"/>
      <c r="K4655" s="19"/>
      <c r="L4655" s="19"/>
      <c r="R4655" s="19"/>
    </row>
    <row r="4656" spans="7:18" x14ac:dyDescent="0.25">
      <c r="G4656" s="19"/>
      <c r="J4656" s="19"/>
      <c r="K4656" s="19"/>
      <c r="L4656" s="19"/>
      <c r="R4656" s="19"/>
    </row>
    <row r="4657" spans="7:18" x14ac:dyDescent="0.25">
      <c r="G4657" s="19"/>
      <c r="J4657" s="19"/>
      <c r="K4657" s="19"/>
      <c r="L4657" s="19"/>
      <c r="R4657" s="19"/>
    </row>
    <row r="4658" spans="7:18" x14ac:dyDescent="0.25">
      <c r="G4658" s="19"/>
      <c r="J4658" s="19"/>
      <c r="K4658" s="19"/>
      <c r="L4658" s="19"/>
      <c r="R4658" s="19"/>
    </row>
    <row r="4659" spans="7:18" x14ac:dyDescent="0.25">
      <c r="G4659" s="19"/>
      <c r="J4659" s="19"/>
      <c r="K4659" s="19"/>
      <c r="L4659" s="19"/>
      <c r="R4659" s="19"/>
    </row>
    <row r="4660" spans="7:18" x14ac:dyDescent="0.25">
      <c r="G4660" s="19"/>
      <c r="J4660" s="19"/>
      <c r="K4660" s="19"/>
      <c r="L4660" s="19"/>
      <c r="R4660" s="19"/>
    </row>
    <row r="4661" spans="7:18" x14ac:dyDescent="0.25">
      <c r="G4661" s="19"/>
      <c r="J4661" s="19"/>
      <c r="K4661" s="19"/>
      <c r="L4661" s="19"/>
      <c r="R4661" s="19"/>
    </row>
    <row r="4662" spans="7:18" x14ac:dyDescent="0.25">
      <c r="G4662" s="19"/>
      <c r="J4662" s="19"/>
      <c r="K4662" s="19"/>
      <c r="L4662" s="19"/>
      <c r="R4662" s="19"/>
    </row>
    <row r="4663" spans="7:18" x14ac:dyDescent="0.25">
      <c r="G4663" s="19"/>
      <c r="J4663" s="19"/>
      <c r="K4663" s="19"/>
      <c r="L4663" s="19"/>
      <c r="R4663" s="19"/>
    </row>
    <row r="4664" spans="7:18" x14ac:dyDescent="0.25">
      <c r="G4664" s="19"/>
      <c r="J4664" s="19"/>
      <c r="K4664" s="19"/>
      <c r="L4664" s="19"/>
      <c r="R4664" s="19"/>
    </row>
    <row r="4665" spans="7:18" x14ac:dyDescent="0.25">
      <c r="G4665" s="19"/>
      <c r="J4665" s="19"/>
      <c r="K4665" s="19"/>
      <c r="L4665" s="19"/>
      <c r="R4665" s="19"/>
    </row>
    <row r="4666" spans="7:18" x14ac:dyDescent="0.25">
      <c r="G4666" s="19"/>
      <c r="J4666" s="19"/>
      <c r="K4666" s="19"/>
      <c r="L4666" s="19"/>
      <c r="R4666" s="19"/>
    </row>
    <row r="4667" spans="7:18" x14ac:dyDescent="0.25">
      <c r="G4667" s="19"/>
      <c r="J4667" s="19"/>
      <c r="K4667" s="19"/>
      <c r="L4667" s="19"/>
      <c r="R4667" s="19"/>
    </row>
    <row r="4668" spans="7:18" x14ac:dyDescent="0.25">
      <c r="G4668" s="19"/>
      <c r="J4668" s="19"/>
      <c r="K4668" s="19"/>
      <c r="L4668" s="19"/>
      <c r="R4668" s="19"/>
    </row>
    <row r="4669" spans="7:18" x14ac:dyDescent="0.25">
      <c r="G4669" s="19"/>
      <c r="J4669" s="19"/>
      <c r="K4669" s="19"/>
      <c r="L4669" s="19"/>
      <c r="R4669" s="19"/>
    </row>
    <row r="4670" spans="7:18" x14ac:dyDescent="0.25">
      <c r="G4670" s="19"/>
      <c r="J4670" s="19"/>
      <c r="K4670" s="19"/>
      <c r="L4670" s="19"/>
      <c r="R4670" s="19"/>
    </row>
    <row r="4671" spans="7:18" x14ac:dyDescent="0.25">
      <c r="G4671" s="19"/>
      <c r="J4671" s="19"/>
      <c r="K4671" s="19"/>
      <c r="L4671" s="19"/>
      <c r="R4671" s="19"/>
    </row>
    <row r="4672" spans="7:18" x14ac:dyDescent="0.25">
      <c r="G4672" s="19"/>
      <c r="J4672" s="19"/>
      <c r="K4672" s="19"/>
      <c r="L4672" s="19"/>
      <c r="R4672" s="19"/>
    </row>
    <row r="4673" spans="7:18" x14ac:dyDescent="0.25">
      <c r="G4673" s="19"/>
      <c r="J4673" s="19"/>
      <c r="K4673" s="19"/>
      <c r="L4673" s="19"/>
      <c r="R4673" s="19"/>
    </row>
    <row r="4674" spans="7:18" x14ac:dyDescent="0.25">
      <c r="G4674" s="19"/>
      <c r="J4674" s="19"/>
      <c r="K4674" s="19"/>
      <c r="L4674" s="19"/>
      <c r="R4674" s="19"/>
    </row>
    <row r="4675" spans="7:18" x14ac:dyDescent="0.25">
      <c r="G4675" s="19"/>
      <c r="J4675" s="19"/>
      <c r="K4675" s="19"/>
      <c r="L4675" s="19"/>
      <c r="R4675" s="19"/>
    </row>
    <row r="4676" spans="7:18" x14ac:dyDescent="0.25">
      <c r="G4676" s="19"/>
      <c r="J4676" s="19"/>
      <c r="K4676" s="19"/>
      <c r="L4676" s="19"/>
      <c r="R4676" s="19"/>
    </row>
    <row r="4677" spans="7:18" x14ac:dyDescent="0.25">
      <c r="G4677" s="19"/>
      <c r="J4677" s="19"/>
      <c r="K4677" s="19"/>
      <c r="L4677" s="19"/>
      <c r="R4677" s="19"/>
    </row>
    <row r="4678" spans="7:18" x14ac:dyDescent="0.25">
      <c r="G4678" s="19"/>
      <c r="J4678" s="19"/>
      <c r="K4678" s="19"/>
      <c r="L4678" s="19"/>
      <c r="R4678" s="19"/>
    </row>
    <row r="4679" spans="7:18" x14ac:dyDescent="0.25">
      <c r="G4679" s="19"/>
      <c r="J4679" s="19"/>
      <c r="K4679" s="19"/>
      <c r="L4679" s="19"/>
      <c r="R4679" s="19"/>
    </row>
    <row r="4680" spans="7:18" x14ac:dyDescent="0.25">
      <c r="G4680" s="19"/>
      <c r="J4680" s="19"/>
      <c r="K4680" s="19"/>
      <c r="L4680" s="19"/>
      <c r="R4680" s="19"/>
    </row>
    <row r="4681" spans="7:18" x14ac:dyDescent="0.25">
      <c r="G4681" s="19"/>
      <c r="J4681" s="19"/>
      <c r="K4681" s="19"/>
      <c r="L4681" s="19"/>
      <c r="R4681" s="19"/>
    </row>
    <row r="4682" spans="7:18" x14ac:dyDescent="0.25">
      <c r="G4682" s="19"/>
      <c r="J4682" s="19"/>
      <c r="K4682" s="19"/>
      <c r="L4682" s="19"/>
      <c r="R4682" s="19"/>
    </row>
    <row r="4683" spans="7:18" x14ac:dyDescent="0.25">
      <c r="G4683" s="19"/>
      <c r="J4683" s="19"/>
      <c r="K4683" s="19"/>
      <c r="L4683" s="19"/>
      <c r="R4683" s="19"/>
    </row>
    <row r="4684" spans="7:18" x14ac:dyDescent="0.25">
      <c r="G4684" s="19"/>
      <c r="J4684" s="19"/>
      <c r="K4684" s="19"/>
      <c r="L4684" s="19"/>
      <c r="R4684" s="19"/>
    </row>
    <row r="4685" spans="7:18" x14ac:dyDescent="0.25">
      <c r="G4685" s="19"/>
      <c r="J4685" s="19"/>
      <c r="K4685" s="19"/>
      <c r="L4685" s="19"/>
      <c r="R4685" s="19"/>
    </row>
    <row r="4686" spans="7:18" x14ac:dyDescent="0.25">
      <c r="G4686" s="19"/>
      <c r="J4686" s="19"/>
      <c r="K4686" s="19"/>
      <c r="L4686" s="19"/>
      <c r="R4686" s="19"/>
    </row>
    <row r="4687" spans="7:18" x14ac:dyDescent="0.25">
      <c r="G4687" s="19"/>
      <c r="J4687" s="19"/>
      <c r="K4687" s="19"/>
      <c r="L4687" s="19"/>
      <c r="R4687" s="19"/>
    </row>
    <row r="4688" spans="7:18" x14ac:dyDescent="0.25">
      <c r="G4688" s="19"/>
      <c r="J4688" s="19"/>
      <c r="K4688" s="19"/>
      <c r="L4688" s="19"/>
      <c r="R4688" s="19"/>
    </row>
    <row r="4689" spans="7:18" x14ac:dyDescent="0.25">
      <c r="G4689" s="19"/>
      <c r="J4689" s="19"/>
      <c r="K4689" s="19"/>
      <c r="L4689" s="19"/>
      <c r="R4689" s="19"/>
    </row>
    <row r="4690" spans="7:18" x14ac:dyDescent="0.25">
      <c r="G4690" s="19"/>
      <c r="J4690" s="19"/>
      <c r="K4690" s="19"/>
      <c r="L4690" s="19"/>
      <c r="R4690" s="19"/>
    </row>
    <row r="4691" spans="7:18" x14ac:dyDescent="0.25">
      <c r="G4691" s="19"/>
      <c r="J4691" s="19"/>
      <c r="K4691" s="19"/>
      <c r="L4691" s="19"/>
      <c r="R4691" s="19"/>
    </row>
    <row r="4692" spans="7:18" x14ac:dyDescent="0.25">
      <c r="G4692" s="19"/>
      <c r="J4692" s="19"/>
      <c r="K4692" s="19"/>
      <c r="L4692" s="19"/>
      <c r="R4692" s="19"/>
    </row>
    <row r="4693" spans="7:18" x14ac:dyDescent="0.25">
      <c r="G4693" s="19"/>
      <c r="J4693" s="19"/>
      <c r="K4693" s="19"/>
      <c r="L4693" s="19"/>
      <c r="R4693" s="19"/>
    </row>
    <row r="4694" spans="7:18" x14ac:dyDescent="0.25">
      <c r="G4694" s="19"/>
      <c r="J4694" s="19"/>
      <c r="K4694" s="19"/>
      <c r="L4694" s="19"/>
      <c r="R4694" s="19"/>
    </row>
    <row r="4695" spans="7:18" x14ac:dyDescent="0.25">
      <c r="G4695" s="19"/>
      <c r="J4695" s="19"/>
      <c r="K4695" s="19"/>
      <c r="L4695" s="19"/>
      <c r="R4695" s="19"/>
    </row>
    <row r="4696" spans="7:18" x14ac:dyDescent="0.25">
      <c r="G4696" s="19"/>
      <c r="J4696" s="19"/>
      <c r="K4696" s="19"/>
      <c r="L4696" s="19"/>
      <c r="R4696" s="19"/>
    </row>
    <row r="4697" spans="7:18" x14ac:dyDescent="0.25">
      <c r="G4697" s="19"/>
      <c r="J4697" s="19"/>
      <c r="K4697" s="19"/>
      <c r="L4697" s="19"/>
      <c r="R4697" s="19"/>
    </row>
    <row r="4698" spans="7:18" x14ac:dyDescent="0.25">
      <c r="G4698" s="19"/>
      <c r="J4698" s="19"/>
      <c r="K4698" s="19"/>
      <c r="L4698" s="19"/>
      <c r="R4698" s="19"/>
    </row>
    <row r="4699" spans="7:18" x14ac:dyDescent="0.25">
      <c r="G4699" s="19"/>
      <c r="J4699" s="19"/>
      <c r="K4699" s="19"/>
      <c r="L4699" s="19"/>
      <c r="R4699" s="19"/>
    </row>
    <row r="4700" spans="7:18" x14ac:dyDescent="0.25">
      <c r="G4700" s="19"/>
      <c r="J4700" s="19"/>
      <c r="K4700" s="19"/>
      <c r="L4700" s="19"/>
      <c r="R4700" s="19"/>
    </row>
    <row r="4701" spans="7:18" x14ac:dyDescent="0.25">
      <c r="G4701" s="19"/>
      <c r="J4701" s="19"/>
      <c r="K4701" s="19"/>
      <c r="L4701" s="19"/>
      <c r="R4701" s="19"/>
    </row>
    <row r="4702" spans="7:18" x14ac:dyDescent="0.25">
      <c r="G4702" s="19"/>
      <c r="J4702" s="19"/>
      <c r="K4702" s="19"/>
      <c r="L4702" s="19"/>
      <c r="R4702" s="19"/>
    </row>
    <row r="4703" spans="7:18" x14ac:dyDescent="0.25">
      <c r="G4703" s="19"/>
      <c r="J4703" s="19"/>
      <c r="K4703" s="19"/>
      <c r="L4703" s="19"/>
      <c r="R4703" s="19"/>
    </row>
    <row r="4704" spans="7:18" x14ac:dyDescent="0.25">
      <c r="G4704" s="19"/>
      <c r="J4704" s="19"/>
      <c r="K4704" s="19"/>
      <c r="L4704" s="19"/>
      <c r="R4704" s="19"/>
    </row>
    <row r="4705" spans="7:18" x14ac:dyDescent="0.25">
      <c r="G4705" s="19"/>
      <c r="J4705" s="19"/>
      <c r="K4705" s="19"/>
      <c r="L4705" s="19"/>
      <c r="R4705" s="19"/>
    </row>
    <row r="4706" spans="7:18" x14ac:dyDescent="0.25">
      <c r="G4706" s="19"/>
      <c r="J4706" s="19"/>
      <c r="K4706" s="19"/>
      <c r="L4706" s="19"/>
      <c r="R4706" s="19"/>
    </row>
    <row r="4707" spans="7:18" x14ac:dyDescent="0.25">
      <c r="G4707" s="19"/>
      <c r="J4707" s="19"/>
      <c r="K4707" s="19"/>
      <c r="L4707" s="19"/>
      <c r="R4707" s="19"/>
    </row>
    <row r="4708" spans="7:18" x14ac:dyDescent="0.25">
      <c r="G4708" s="19"/>
      <c r="J4708" s="19"/>
      <c r="K4708" s="19"/>
      <c r="L4708" s="19"/>
      <c r="R4708" s="19"/>
    </row>
    <row r="4709" spans="7:18" x14ac:dyDescent="0.25">
      <c r="G4709" s="19"/>
      <c r="J4709" s="19"/>
      <c r="K4709" s="19"/>
      <c r="L4709" s="19"/>
      <c r="R4709" s="19"/>
    </row>
    <row r="4710" spans="7:18" x14ac:dyDescent="0.25">
      <c r="G4710" s="19"/>
      <c r="J4710" s="19"/>
      <c r="K4710" s="19"/>
      <c r="L4710" s="19"/>
      <c r="R4710" s="19"/>
    </row>
    <row r="4711" spans="7:18" x14ac:dyDescent="0.25">
      <c r="G4711" s="19"/>
      <c r="J4711" s="19"/>
      <c r="K4711" s="19"/>
      <c r="L4711" s="19"/>
      <c r="R4711" s="19"/>
    </row>
    <row r="4712" spans="7:18" x14ac:dyDescent="0.25">
      <c r="G4712" s="19"/>
      <c r="J4712" s="19"/>
      <c r="K4712" s="19"/>
      <c r="L4712" s="19"/>
      <c r="R4712" s="19"/>
    </row>
    <row r="4713" spans="7:18" x14ac:dyDescent="0.25">
      <c r="G4713" s="19"/>
      <c r="J4713" s="19"/>
      <c r="K4713" s="19"/>
      <c r="L4713" s="19"/>
      <c r="R4713" s="19"/>
    </row>
    <row r="4714" spans="7:18" x14ac:dyDescent="0.25">
      <c r="G4714" s="19"/>
      <c r="J4714" s="19"/>
      <c r="K4714" s="19"/>
      <c r="L4714" s="19"/>
      <c r="R4714" s="19"/>
    </row>
    <row r="4715" spans="7:18" x14ac:dyDescent="0.25">
      <c r="G4715" s="19"/>
      <c r="J4715" s="19"/>
      <c r="K4715" s="19"/>
      <c r="L4715" s="19"/>
      <c r="R4715" s="19"/>
    </row>
    <row r="4716" spans="7:18" x14ac:dyDescent="0.25">
      <c r="G4716" s="19"/>
      <c r="J4716" s="19"/>
      <c r="K4716" s="19"/>
      <c r="L4716" s="19"/>
      <c r="R4716" s="19"/>
    </row>
    <row r="4717" spans="7:18" x14ac:dyDescent="0.25">
      <c r="G4717" s="19"/>
      <c r="J4717" s="19"/>
      <c r="K4717" s="19"/>
      <c r="L4717" s="19"/>
      <c r="R4717" s="19"/>
    </row>
    <row r="4718" spans="7:18" x14ac:dyDescent="0.25">
      <c r="G4718" s="19"/>
      <c r="J4718" s="19"/>
      <c r="K4718" s="19"/>
      <c r="L4718" s="19"/>
      <c r="R4718" s="19"/>
    </row>
    <row r="4719" spans="7:18" x14ac:dyDescent="0.25">
      <c r="G4719" s="19"/>
      <c r="J4719" s="19"/>
      <c r="K4719" s="19"/>
      <c r="L4719" s="19"/>
      <c r="R4719" s="19"/>
    </row>
    <row r="4720" spans="7:18" x14ac:dyDescent="0.25">
      <c r="G4720" s="19"/>
      <c r="J4720" s="19"/>
      <c r="K4720" s="19"/>
      <c r="L4720" s="19"/>
      <c r="R4720" s="19"/>
    </row>
    <row r="4721" spans="7:18" x14ac:dyDescent="0.25">
      <c r="G4721" s="19"/>
      <c r="J4721" s="19"/>
      <c r="K4721" s="19"/>
      <c r="L4721" s="19"/>
      <c r="R4721" s="19"/>
    </row>
    <row r="4722" spans="7:18" x14ac:dyDescent="0.25">
      <c r="G4722" s="19"/>
      <c r="J4722" s="19"/>
      <c r="K4722" s="19"/>
      <c r="L4722" s="19"/>
      <c r="R4722" s="19"/>
    </row>
    <row r="4723" spans="7:18" x14ac:dyDescent="0.25">
      <c r="G4723" s="19"/>
      <c r="J4723" s="19"/>
      <c r="K4723" s="19"/>
      <c r="L4723" s="19"/>
      <c r="R4723" s="19"/>
    </row>
    <row r="4724" spans="7:18" x14ac:dyDescent="0.25">
      <c r="G4724" s="19"/>
      <c r="J4724" s="19"/>
      <c r="K4724" s="19"/>
      <c r="L4724" s="19"/>
      <c r="R4724" s="19"/>
    </row>
    <row r="4725" spans="7:18" x14ac:dyDescent="0.25">
      <c r="G4725" s="19"/>
      <c r="J4725" s="19"/>
      <c r="K4725" s="19"/>
      <c r="L4725" s="19"/>
      <c r="R4725" s="19"/>
    </row>
    <row r="4726" spans="7:18" x14ac:dyDescent="0.25">
      <c r="G4726" s="19"/>
      <c r="J4726" s="19"/>
      <c r="K4726" s="19"/>
      <c r="L4726" s="19"/>
      <c r="R4726" s="19"/>
    </row>
    <row r="4727" spans="7:18" x14ac:dyDescent="0.25">
      <c r="G4727" s="19"/>
      <c r="J4727" s="19"/>
      <c r="K4727" s="19"/>
      <c r="L4727" s="19"/>
      <c r="R4727" s="19"/>
    </row>
    <row r="4728" spans="7:18" x14ac:dyDescent="0.25">
      <c r="G4728" s="19"/>
      <c r="J4728" s="19"/>
      <c r="K4728" s="19"/>
      <c r="L4728" s="19"/>
      <c r="R4728" s="19"/>
    </row>
    <row r="4729" spans="7:18" x14ac:dyDescent="0.25">
      <c r="G4729" s="19"/>
      <c r="J4729" s="19"/>
      <c r="K4729" s="19"/>
      <c r="L4729" s="19"/>
      <c r="R4729" s="19"/>
    </row>
    <row r="4730" spans="7:18" x14ac:dyDescent="0.25">
      <c r="G4730" s="19"/>
      <c r="J4730" s="19"/>
      <c r="K4730" s="19"/>
      <c r="L4730" s="19"/>
      <c r="R4730" s="19"/>
    </row>
    <row r="4731" spans="7:18" x14ac:dyDescent="0.25">
      <c r="G4731" s="19"/>
      <c r="J4731" s="19"/>
      <c r="K4731" s="19"/>
      <c r="L4731" s="19"/>
      <c r="R4731" s="19"/>
    </row>
    <row r="4732" spans="7:18" x14ac:dyDescent="0.25">
      <c r="G4732" s="19"/>
      <c r="J4732" s="19"/>
      <c r="K4732" s="19"/>
      <c r="L4732" s="19"/>
      <c r="R4732" s="19"/>
    </row>
    <row r="4733" spans="7:18" x14ac:dyDescent="0.25">
      <c r="G4733" s="19"/>
      <c r="J4733" s="19"/>
      <c r="K4733" s="19"/>
      <c r="L4733" s="19"/>
      <c r="R4733" s="19"/>
    </row>
    <row r="4734" spans="7:18" x14ac:dyDescent="0.25">
      <c r="G4734" s="19"/>
      <c r="J4734" s="19"/>
      <c r="K4734" s="19"/>
      <c r="L4734" s="19"/>
      <c r="R4734" s="19"/>
    </row>
    <row r="4735" spans="7:18" x14ac:dyDescent="0.25">
      <c r="G4735" s="19"/>
      <c r="J4735" s="19"/>
      <c r="K4735" s="19"/>
      <c r="L4735" s="19"/>
      <c r="R4735" s="19"/>
    </row>
    <row r="4736" spans="7:18" x14ac:dyDescent="0.25">
      <c r="G4736" s="19"/>
      <c r="J4736" s="19"/>
      <c r="K4736" s="19"/>
      <c r="L4736" s="19"/>
      <c r="R4736" s="19"/>
    </row>
    <row r="4737" spans="7:18" x14ac:dyDescent="0.25">
      <c r="G4737" s="19"/>
      <c r="J4737" s="19"/>
      <c r="K4737" s="19"/>
      <c r="L4737" s="19"/>
      <c r="R4737" s="19"/>
    </row>
    <row r="4738" spans="7:18" x14ac:dyDescent="0.25">
      <c r="G4738" s="19"/>
      <c r="J4738" s="19"/>
      <c r="K4738" s="19"/>
      <c r="L4738" s="19"/>
      <c r="R4738" s="19"/>
    </row>
    <row r="4739" spans="7:18" x14ac:dyDescent="0.25">
      <c r="G4739" s="19"/>
      <c r="J4739" s="19"/>
      <c r="K4739" s="19"/>
      <c r="L4739" s="19"/>
      <c r="R4739" s="19"/>
    </row>
    <row r="4740" spans="7:18" x14ac:dyDescent="0.25">
      <c r="G4740" s="19"/>
      <c r="J4740" s="19"/>
      <c r="K4740" s="19"/>
      <c r="L4740" s="19"/>
      <c r="R4740" s="19"/>
    </row>
    <row r="4741" spans="7:18" x14ac:dyDescent="0.25">
      <c r="G4741" s="19"/>
      <c r="J4741" s="19"/>
      <c r="K4741" s="19"/>
      <c r="L4741" s="19"/>
      <c r="R4741" s="19"/>
    </row>
    <row r="4742" spans="7:18" x14ac:dyDescent="0.25">
      <c r="G4742" s="19"/>
      <c r="J4742" s="19"/>
      <c r="K4742" s="19"/>
      <c r="L4742" s="19"/>
      <c r="R4742" s="19"/>
    </row>
    <row r="4743" spans="7:18" x14ac:dyDescent="0.25">
      <c r="G4743" s="19"/>
      <c r="J4743" s="19"/>
      <c r="K4743" s="19"/>
      <c r="L4743" s="19"/>
      <c r="R4743" s="19"/>
    </row>
    <row r="4744" spans="7:18" x14ac:dyDescent="0.25">
      <c r="G4744" s="19"/>
      <c r="J4744" s="19"/>
      <c r="K4744" s="19"/>
      <c r="L4744" s="19"/>
      <c r="R4744" s="19"/>
    </row>
    <row r="4745" spans="7:18" x14ac:dyDescent="0.25">
      <c r="G4745" s="19"/>
      <c r="J4745" s="19"/>
      <c r="K4745" s="19"/>
      <c r="L4745" s="19"/>
      <c r="R4745" s="19"/>
    </row>
    <row r="4746" spans="7:18" x14ac:dyDescent="0.25">
      <c r="G4746" s="19"/>
      <c r="J4746" s="19"/>
      <c r="K4746" s="19"/>
      <c r="L4746" s="19"/>
      <c r="R4746" s="19"/>
    </row>
    <row r="4747" spans="7:18" x14ac:dyDescent="0.25">
      <c r="G4747" s="19"/>
      <c r="J4747" s="19"/>
      <c r="K4747" s="19"/>
      <c r="L4747" s="19"/>
      <c r="R4747" s="19"/>
    </row>
    <row r="4748" spans="7:18" x14ac:dyDescent="0.25">
      <c r="G4748" s="19"/>
      <c r="J4748" s="19"/>
      <c r="K4748" s="19"/>
      <c r="L4748" s="19"/>
      <c r="R4748" s="19"/>
    </row>
    <row r="4749" spans="7:18" x14ac:dyDescent="0.25">
      <c r="G4749" s="19"/>
      <c r="J4749" s="19"/>
      <c r="K4749" s="19"/>
      <c r="L4749" s="19"/>
      <c r="R4749" s="19"/>
    </row>
    <row r="4750" spans="7:18" x14ac:dyDescent="0.25">
      <c r="G4750" s="19"/>
      <c r="J4750" s="19"/>
      <c r="K4750" s="19"/>
      <c r="L4750" s="19"/>
      <c r="R4750" s="19"/>
    </row>
    <row r="4752" spans="7:18" x14ac:dyDescent="0.25">
      <c r="G4752" s="19"/>
      <c r="J4752" s="19"/>
      <c r="K4752" s="19"/>
      <c r="L4752" s="19"/>
      <c r="R4752" s="19"/>
    </row>
    <row r="4753" spans="7:18" x14ac:dyDescent="0.25">
      <c r="G4753" s="19"/>
      <c r="J4753" s="19"/>
      <c r="K4753" s="19"/>
      <c r="L4753" s="19"/>
      <c r="R4753" s="19"/>
    </row>
    <row r="4754" spans="7:18" x14ac:dyDescent="0.25">
      <c r="G4754" s="19"/>
      <c r="J4754" s="19"/>
      <c r="K4754" s="19"/>
      <c r="L4754" s="19"/>
      <c r="R4754" s="19"/>
    </row>
    <row r="4755" spans="7:18" x14ac:dyDescent="0.25">
      <c r="G4755" s="19"/>
      <c r="J4755" s="19"/>
      <c r="K4755" s="19"/>
      <c r="L4755" s="19"/>
      <c r="R4755" s="19"/>
    </row>
    <row r="4756" spans="7:18" x14ac:dyDescent="0.25">
      <c r="G4756" s="19"/>
      <c r="J4756" s="19"/>
      <c r="K4756" s="19"/>
      <c r="L4756" s="19"/>
      <c r="R4756" s="19"/>
    </row>
    <row r="4757" spans="7:18" x14ac:dyDescent="0.25">
      <c r="G4757" s="19"/>
      <c r="J4757" s="19"/>
      <c r="K4757" s="19"/>
      <c r="L4757" s="19"/>
      <c r="R4757" s="19"/>
    </row>
    <row r="4758" spans="7:18" x14ac:dyDescent="0.25">
      <c r="G4758" s="19"/>
      <c r="J4758" s="19"/>
      <c r="K4758" s="19"/>
      <c r="L4758" s="19"/>
      <c r="R4758" s="19"/>
    </row>
    <row r="4759" spans="7:18" x14ac:dyDescent="0.25">
      <c r="G4759" s="19"/>
      <c r="J4759" s="19"/>
      <c r="K4759" s="19"/>
      <c r="L4759" s="19"/>
      <c r="R4759" s="19"/>
    </row>
    <row r="4760" spans="7:18" x14ac:dyDescent="0.25">
      <c r="G4760" s="19"/>
      <c r="J4760" s="19"/>
      <c r="K4760" s="19"/>
      <c r="L4760" s="19"/>
      <c r="R4760" s="19"/>
    </row>
    <row r="4761" spans="7:18" x14ac:dyDescent="0.25">
      <c r="G4761" s="19"/>
      <c r="J4761" s="19"/>
      <c r="K4761" s="19"/>
      <c r="L4761" s="19"/>
      <c r="R4761" s="19"/>
    </row>
    <row r="4762" spans="7:18" x14ac:dyDescent="0.25">
      <c r="G4762" s="19"/>
      <c r="J4762" s="19"/>
      <c r="K4762" s="19"/>
      <c r="L4762" s="19"/>
      <c r="R4762" s="19"/>
    </row>
    <row r="4763" spans="7:18" x14ac:dyDescent="0.25">
      <c r="G4763" s="19"/>
      <c r="J4763" s="19"/>
      <c r="K4763" s="19"/>
      <c r="L4763" s="19"/>
      <c r="R4763" s="19"/>
    </row>
    <row r="4764" spans="7:18" x14ac:dyDescent="0.25">
      <c r="G4764" s="19"/>
      <c r="J4764" s="19"/>
      <c r="K4764" s="19"/>
      <c r="L4764" s="19"/>
      <c r="R4764" s="19"/>
    </row>
    <row r="4765" spans="7:18" x14ac:dyDescent="0.25">
      <c r="G4765" s="19"/>
      <c r="J4765" s="19"/>
      <c r="K4765" s="19"/>
      <c r="L4765" s="19"/>
      <c r="R4765" s="19"/>
    </row>
    <row r="4766" spans="7:18" x14ac:dyDescent="0.25">
      <c r="G4766" s="19"/>
      <c r="J4766" s="19"/>
      <c r="K4766" s="19"/>
      <c r="L4766" s="19"/>
      <c r="R4766" s="19"/>
    </row>
    <row r="4767" spans="7:18" x14ac:dyDescent="0.25">
      <c r="G4767" s="19"/>
      <c r="J4767" s="19"/>
      <c r="K4767" s="19"/>
      <c r="L4767" s="19"/>
      <c r="R4767" s="19"/>
    </row>
    <row r="4768" spans="7:18" x14ac:dyDescent="0.25">
      <c r="G4768" s="19"/>
      <c r="J4768" s="19"/>
      <c r="K4768" s="19"/>
      <c r="L4768" s="19"/>
      <c r="R4768" s="19"/>
    </row>
    <row r="4769" spans="7:18" x14ac:dyDescent="0.25">
      <c r="G4769" s="19"/>
      <c r="J4769" s="19"/>
      <c r="K4769" s="19"/>
      <c r="L4769" s="19"/>
      <c r="R4769" s="19"/>
    </row>
    <row r="4770" spans="7:18" x14ac:dyDescent="0.25">
      <c r="G4770" s="19"/>
      <c r="J4770" s="19"/>
      <c r="K4770" s="19"/>
      <c r="L4770" s="19"/>
      <c r="R4770" s="19"/>
    </row>
    <row r="4771" spans="7:18" x14ac:dyDescent="0.25">
      <c r="G4771" s="19"/>
      <c r="J4771" s="19"/>
      <c r="K4771" s="19"/>
      <c r="L4771" s="19"/>
      <c r="R4771" s="19"/>
    </row>
    <row r="4772" spans="7:18" x14ac:dyDescent="0.25">
      <c r="G4772" s="19"/>
      <c r="J4772" s="19"/>
      <c r="K4772" s="19"/>
      <c r="L4772" s="19"/>
      <c r="R4772" s="19"/>
    </row>
    <row r="4773" spans="7:18" x14ac:dyDescent="0.25">
      <c r="G4773" s="19"/>
      <c r="J4773" s="19"/>
      <c r="K4773" s="19"/>
      <c r="L4773" s="19"/>
      <c r="R4773" s="19"/>
    </row>
    <row r="4774" spans="7:18" x14ac:dyDescent="0.25">
      <c r="G4774" s="19"/>
      <c r="J4774" s="19"/>
      <c r="K4774" s="19"/>
      <c r="L4774" s="19"/>
      <c r="R4774" s="19"/>
    </row>
    <row r="4775" spans="7:18" x14ac:dyDescent="0.25">
      <c r="G4775" s="19"/>
      <c r="J4775" s="19"/>
      <c r="K4775" s="19"/>
      <c r="L4775" s="19"/>
      <c r="R4775" s="19"/>
    </row>
    <row r="4776" spans="7:18" x14ac:dyDescent="0.25">
      <c r="G4776" s="19"/>
      <c r="J4776" s="19"/>
      <c r="K4776" s="19"/>
      <c r="L4776" s="19"/>
      <c r="R4776" s="19"/>
    </row>
    <row r="4777" spans="7:18" x14ac:dyDescent="0.25">
      <c r="G4777" s="19"/>
      <c r="J4777" s="19"/>
      <c r="K4777" s="19"/>
      <c r="L4777" s="19"/>
      <c r="R4777" s="19"/>
    </row>
    <row r="4778" spans="7:18" x14ac:dyDescent="0.25">
      <c r="G4778" s="19"/>
      <c r="J4778" s="19"/>
      <c r="K4778" s="19"/>
      <c r="L4778" s="19"/>
      <c r="R4778" s="19"/>
    </row>
    <row r="4779" spans="7:18" x14ac:dyDescent="0.25">
      <c r="G4779" s="19"/>
      <c r="J4779" s="19"/>
      <c r="K4779" s="19"/>
      <c r="L4779" s="19"/>
      <c r="R4779" s="19"/>
    </row>
    <row r="4780" spans="7:18" x14ac:dyDescent="0.25">
      <c r="G4780" s="19"/>
      <c r="J4780" s="19"/>
      <c r="K4780" s="19"/>
      <c r="L4780" s="19"/>
      <c r="R4780" s="19"/>
    </row>
    <row r="4781" spans="7:18" x14ac:dyDescent="0.25">
      <c r="G4781" s="19"/>
      <c r="J4781" s="19"/>
      <c r="K4781" s="19"/>
      <c r="L4781" s="19"/>
      <c r="R4781" s="19"/>
    </row>
    <row r="4782" spans="7:18" x14ac:dyDescent="0.25">
      <c r="G4782" s="19"/>
      <c r="J4782" s="19"/>
      <c r="K4782" s="19"/>
      <c r="L4782" s="19"/>
      <c r="R4782" s="19"/>
    </row>
    <row r="4783" spans="7:18" x14ac:dyDescent="0.25">
      <c r="G4783" s="19"/>
      <c r="J4783" s="19"/>
      <c r="K4783" s="19"/>
      <c r="L4783" s="19"/>
      <c r="R4783" s="19"/>
    </row>
    <row r="4784" spans="7:18" x14ac:dyDescent="0.25">
      <c r="G4784" s="19"/>
      <c r="J4784" s="19"/>
      <c r="K4784" s="19"/>
      <c r="L4784" s="19"/>
      <c r="R4784" s="19"/>
    </row>
    <row r="4785" spans="7:18" x14ac:dyDescent="0.25">
      <c r="G4785" s="19"/>
      <c r="J4785" s="19"/>
      <c r="K4785" s="19"/>
      <c r="L4785" s="19"/>
      <c r="R4785" s="19"/>
    </row>
    <row r="4786" spans="7:18" x14ac:dyDescent="0.25">
      <c r="G4786" s="19"/>
      <c r="J4786" s="19"/>
      <c r="K4786" s="19"/>
      <c r="L4786" s="19"/>
      <c r="R4786" s="19"/>
    </row>
    <row r="4787" spans="7:18" x14ac:dyDescent="0.25">
      <c r="G4787" s="19"/>
      <c r="J4787" s="19"/>
      <c r="K4787" s="19"/>
      <c r="L4787" s="19"/>
      <c r="R4787" s="19"/>
    </row>
    <row r="4788" spans="7:18" x14ac:dyDescent="0.25">
      <c r="G4788" s="19"/>
      <c r="J4788" s="19"/>
      <c r="K4788" s="19"/>
      <c r="L4788" s="19"/>
      <c r="R4788" s="19"/>
    </row>
    <row r="4789" spans="7:18" x14ac:dyDescent="0.25">
      <c r="G4789" s="19"/>
      <c r="J4789" s="19"/>
      <c r="K4789" s="19"/>
      <c r="L4789" s="19"/>
      <c r="R4789" s="19"/>
    </row>
    <row r="4790" spans="7:18" x14ac:dyDescent="0.25">
      <c r="G4790" s="19"/>
      <c r="J4790" s="19"/>
      <c r="K4790" s="19"/>
      <c r="L4790" s="19"/>
      <c r="R4790" s="19"/>
    </row>
    <row r="4791" spans="7:18" x14ac:dyDescent="0.25">
      <c r="G4791" s="19"/>
      <c r="J4791" s="19"/>
      <c r="K4791" s="19"/>
      <c r="L4791" s="19"/>
      <c r="R4791" s="19"/>
    </row>
    <row r="4792" spans="7:18" x14ac:dyDescent="0.25">
      <c r="G4792" s="19"/>
      <c r="J4792" s="19"/>
      <c r="K4792" s="19"/>
      <c r="L4792" s="19"/>
      <c r="R4792" s="19"/>
    </row>
    <row r="4793" spans="7:18" x14ac:dyDescent="0.25">
      <c r="G4793" s="19"/>
      <c r="J4793" s="19"/>
      <c r="K4793" s="19"/>
      <c r="L4793" s="19"/>
      <c r="R4793" s="19"/>
    </row>
    <row r="4794" spans="7:18" x14ac:dyDescent="0.25">
      <c r="G4794" s="19"/>
      <c r="J4794" s="19"/>
      <c r="K4794" s="19"/>
      <c r="L4794" s="19"/>
      <c r="R4794" s="19"/>
    </row>
    <row r="4795" spans="7:18" x14ac:dyDescent="0.25">
      <c r="G4795" s="19"/>
      <c r="J4795" s="19"/>
      <c r="K4795" s="19"/>
      <c r="L4795" s="19"/>
      <c r="R4795" s="19"/>
    </row>
    <row r="4796" spans="7:18" x14ac:dyDescent="0.25">
      <c r="G4796" s="19"/>
      <c r="J4796" s="19"/>
      <c r="K4796" s="19"/>
      <c r="L4796" s="19"/>
      <c r="R4796" s="19"/>
    </row>
    <row r="4797" spans="7:18" x14ac:dyDescent="0.25">
      <c r="G4797" s="19"/>
      <c r="J4797" s="19"/>
      <c r="K4797" s="19"/>
      <c r="L4797" s="19"/>
      <c r="R4797" s="19"/>
    </row>
    <row r="4798" spans="7:18" x14ac:dyDescent="0.25">
      <c r="G4798" s="19"/>
      <c r="J4798" s="19"/>
      <c r="K4798" s="19"/>
      <c r="L4798" s="19"/>
      <c r="R4798" s="19"/>
    </row>
    <row r="4799" spans="7:18" x14ac:dyDescent="0.25">
      <c r="G4799" s="19"/>
      <c r="J4799" s="19"/>
      <c r="K4799" s="19"/>
      <c r="L4799" s="19"/>
      <c r="R4799" s="19"/>
    </row>
    <row r="4800" spans="7:18" x14ac:dyDescent="0.25">
      <c r="G4800" s="19"/>
      <c r="J4800" s="19"/>
      <c r="K4800" s="19"/>
      <c r="L4800" s="19"/>
      <c r="R4800" s="19"/>
    </row>
    <row r="4801" spans="7:18" x14ac:dyDescent="0.25">
      <c r="G4801" s="19"/>
      <c r="J4801" s="19"/>
      <c r="K4801" s="19"/>
      <c r="L4801" s="19"/>
      <c r="R4801" s="19"/>
    </row>
    <row r="4802" spans="7:18" x14ac:dyDescent="0.25">
      <c r="G4802" s="19"/>
      <c r="J4802" s="19"/>
      <c r="K4802" s="19"/>
      <c r="L4802" s="19"/>
      <c r="R4802" s="19"/>
    </row>
    <row r="4803" spans="7:18" x14ac:dyDescent="0.25">
      <c r="G4803" s="19"/>
      <c r="J4803" s="19"/>
      <c r="K4803" s="19"/>
      <c r="L4803" s="19"/>
      <c r="R4803" s="19"/>
    </row>
    <row r="4804" spans="7:18" x14ac:dyDescent="0.25">
      <c r="G4804" s="19"/>
      <c r="J4804" s="19"/>
      <c r="K4804" s="19"/>
      <c r="L4804" s="19"/>
      <c r="R4804" s="19"/>
    </row>
    <row r="4805" spans="7:18" x14ac:dyDescent="0.25">
      <c r="G4805" s="19"/>
      <c r="J4805" s="19"/>
      <c r="K4805" s="19"/>
      <c r="L4805" s="19"/>
      <c r="R4805" s="19"/>
    </row>
    <row r="4806" spans="7:18" x14ac:dyDescent="0.25">
      <c r="G4806" s="19"/>
      <c r="J4806" s="19"/>
      <c r="K4806" s="19"/>
      <c r="L4806" s="19"/>
      <c r="R4806" s="19"/>
    </row>
    <row r="4807" spans="7:18" x14ac:dyDescent="0.25">
      <c r="G4807" s="19"/>
      <c r="J4807" s="19"/>
      <c r="K4807" s="19"/>
      <c r="L4807" s="19"/>
      <c r="R4807" s="19"/>
    </row>
    <row r="4808" spans="7:18" x14ac:dyDescent="0.25">
      <c r="G4808" s="19"/>
      <c r="J4808" s="19"/>
      <c r="K4808" s="19"/>
      <c r="L4808" s="19"/>
      <c r="R4808" s="19"/>
    </row>
    <row r="4809" spans="7:18" x14ac:dyDescent="0.25">
      <c r="G4809" s="19"/>
      <c r="J4809" s="19"/>
      <c r="K4809" s="19"/>
      <c r="L4809" s="19"/>
      <c r="R4809" s="19"/>
    </row>
    <row r="4810" spans="7:18" x14ac:dyDescent="0.25">
      <c r="G4810" s="19"/>
      <c r="J4810" s="19"/>
      <c r="K4810" s="19"/>
      <c r="L4810" s="19"/>
      <c r="R4810" s="19"/>
    </row>
    <row r="4811" spans="7:18" x14ac:dyDescent="0.25">
      <c r="G4811" s="19"/>
      <c r="J4811" s="19"/>
      <c r="K4811" s="19"/>
      <c r="L4811" s="19"/>
      <c r="R4811" s="19"/>
    </row>
    <row r="4812" spans="7:18" x14ac:dyDescent="0.25">
      <c r="G4812" s="19"/>
      <c r="J4812" s="19"/>
      <c r="K4812" s="19"/>
      <c r="L4812" s="19"/>
      <c r="R4812" s="19"/>
    </row>
    <row r="4813" spans="7:18" x14ac:dyDescent="0.25">
      <c r="G4813" s="19"/>
      <c r="J4813" s="19"/>
      <c r="K4813" s="19"/>
      <c r="L4813" s="19"/>
      <c r="R4813" s="19"/>
    </row>
    <row r="4814" spans="7:18" x14ac:dyDescent="0.25">
      <c r="G4814" s="19"/>
      <c r="J4814" s="19"/>
      <c r="K4814" s="19"/>
      <c r="L4814" s="19"/>
      <c r="R4814" s="19"/>
    </row>
    <row r="4815" spans="7:18" x14ac:dyDescent="0.25">
      <c r="G4815" s="19"/>
      <c r="J4815" s="19"/>
      <c r="K4815" s="19"/>
      <c r="L4815" s="19"/>
      <c r="R4815" s="19"/>
    </row>
    <row r="4816" spans="7:18" x14ac:dyDescent="0.25">
      <c r="G4816" s="19"/>
      <c r="J4816" s="19"/>
      <c r="K4816" s="19"/>
      <c r="L4816" s="19"/>
      <c r="R4816" s="19"/>
    </row>
    <row r="4817" spans="7:18" x14ac:dyDescent="0.25">
      <c r="G4817" s="19"/>
      <c r="J4817" s="19"/>
      <c r="K4817" s="19"/>
      <c r="L4817" s="19"/>
      <c r="R4817" s="19"/>
    </row>
    <row r="4818" spans="7:18" x14ac:dyDescent="0.25">
      <c r="G4818" s="19"/>
      <c r="J4818" s="19"/>
      <c r="K4818" s="19"/>
      <c r="L4818" s="19"/>
      <c r="R4818" s="19"/>
    </row>
    <row r="4819" spans="7:18" x14ac:dyDescent="0.25">
      <c r="G4819" s="19"/>
      <c r="J4819" s="19"/>
      <c r="K4819" s="19"/>
      <c r="L4819" s="19"/>
      <c r="R4819" s="19"/>
    </row>
    <row r="4820" spans="7:18" x14ac:dyDescent="0.25">
      <c r="G4820" s="19"/>
      <c r="J4820" s="19"/>
      <c r="K4820" s="19"/>
      <c r="L4820" s="19"/>
      <c r="R4820" s="19"/>
    </row>
    <row r="4821" spans="7:18" x14ac:dyDescent="0.25">
      <c r="G4821" s="19"/>
      <c r="J4821" s="19"/>
      <c r="K4821" s="19"/>
      <c r="L4821" s="19"/>
      <c r="R4821" s="19"/>
    </row>
    <row r="4822" spans="7:18" x14ac:dyDescent="0.25">
      <c r="G4822" s="19"/>
      <c r="J4822" s="19"/>
      <c r="K4822" s="19"/>
      <c r="L4822" s="19"/>
      <c r="R4822" s="19"/>
    </row>
    <row r="4823" spans="7:18" x14ac:dyDescent="0.25">
      <c r="G4823" s="19"/>
      <c r="J4823" s="19"/>
      <c r="K4823" s="19"/>
      <c r="L4823" s="19"/>
      <c r="R4823" s="19"/>
    </row>
    <row r="4824" spans="7:18" x14ac:dyDescent="0.25">
      <c r="G4824" s="19"/>
      <c r="J4824" s="19"/>
      <c r="K4824" s="19"/>
      <c r="L4824" s="19"/>
      <c r="R4824" s="19"/>
    </row>
    <row r="4825" spans="7:18" x14ac:dyDescent="0.25">
      <c r="G4825" s="19"/>
      <c r="J4825" s="19"/>
      <c r="K4825" s="19"/>
      <c r="L4825" s="19"/>
      <c r="R4825" s="19"/>
    </row>
    <row r="4826" spans="7:18" x14ac:dyDescent="0.25">
      <c r="G4826" s="19"/>
      <c r="J4826" s="19"/>
      <c r="K4826" s="19"/>
      <c r="L4826" s="19"/>
      <c r="R4826" s="19"/>
    </row>
    <row r="4827" spans="7:18" x14ac:dyDescent="0.25">
      <c r="G4827" s="19"/>
      <c r="J4827" s="19"/>
      <c r="K4827" s="19"/>
      <c r="L4827" s="19"/>
      <c r="R4827" s="19"/>
    </row>
    <row r="4828" spans="7:18" x14ac:dyDescent="0.25">
      <c r="G4828" s="19"/>
      <c r="J4828" s="19"/>
      <c r="K4828" s="19"/>
      <c r="L4828" s="19"/>
      <c r="R4828" s="19"/>
    </row>
    <row r="4829" spans="7:18" x14ac:dyDescent="0.25">
      <c r="G4829" s="19"/>
      <c r="J4829" s="19"/>
      <c r="K4829" s="19"/>
      <c r="L4829" s="19"/>
      <c r="R4829" s="19"/>
    </row>
    <row r="4830" spans="7:18" x14ac:dyDescent="0.25">
      <c r="G4830" s="19"/>
      <c r="J4830" s="19"/>
      <c r="K4830" s="19"/>
      <c r="L4830" s="19"/>
      <c r="R4830" s="19"/>
    </row>
    <row r="4831" spans="7:18" x14ac:dyDescent="0.25">
      <c r="G4831" s="19"/>
      <c r="J4831" s="19"/>
      <c r="K4831" s="19"/>
      <c r="L4831" s="19"/>
      <c r="R4831" s="19"/>
    </row>
    <row r="4832" spans="7:18" x14ac:dyDescent="0.25">
      <c r="G4832" s="19"/>
      <c r="J4832" s="19"/>
      <c r="K4832" s="19"/>
      <c r="L4832" s="19"/>
      <c r="R4832" s="19"/>
    </row>
    <row r="4833" spans="7:18" x14ac:dyDescent="0.25">
      <c r="G4833" s="19"/>
      <c r="J4833" s="19"/>
      <c r="K4833" s="19"/>
      <c r="L4833" s="19"/>
      <c r="R4833" s="19"/>
    </row>
    <row r="4834" spans="7:18" x14ac:dyDescent="0.25">
      <c r="G4834" s="19"/>
      <c r="J4834" s="19"/>
      <c r="K4834" s="19"/>
      <c r="L4834" s="19"/>
      <c r="R4834" s="19"/>
    </row>
    <row r="4835" spans="7:18" x14ac:dyDescent="0.25">
      <c r="G4835" s="19"/>
      <c r="J4835" s="19"/>
      <c r="K4835" s="19"/>
      <c r="L4835" s="19"/>
      <c r="R4835" s="19"/>
    </row>
    <row r="4836" spans="7:18" x14ac:dyDescent="0.25">
      <c r="G4836" s="19"/>
      <c r="J4836" s="19"/>
      <c r="K4836" s="19"/>
      <c r="L4836" s="19"/>
      <c r="R4836" s="19"/>
    </row>
    <row r="4837" spans="7:18" x14ac:dyDescent="0.25">
      <c r="G4837" s="19"/>
      <c r="J4837" s="19"/>
      <c r="K4837" s="19"/>
      <c r="L4837" s="19"/>
      <c r="R4837" s="19"/>
    </row>
    <row r="4838" spans="7:18" x14ac:dyDescent="0.25">
      <c r="G4838" s="19"/>
      <c r="J4838" s="19"/>
      <c r="K4838" s="19"/>
      <c r="L4838" s="19"/>
      <c r="R4838" s="19"/>
    </row>
    <row r="4839" spans="7:18" x14ac:dyDescent="0.25">
      <c r="G4839" s="19"/>
      <c r="J4839" s="19"/>
      <c r="K4839" s="19"/>
      <c r="L4839" s="19"/>
      <c r="R4839" s="19"/>
    </row>
    <row r="4840" spans="7:18" x14ac:dyDescent="0.25">
      <c r="G4840" s="19"/>
      <c r="J4840" s="19"/>
      <c r="K4840" s="19"/>
      <c r="L4840" s="19"/>
      <c r="R4840" s="19"/>
    </row>
    <row r="4841" spans="7:18" x14ac:dyDescent="0.25">
      <c r="G4841" s="19"/>
      <c r="J4841" s="19"/>
      <c r="K4841" s="19"/>
      <c r="L4841" s="19"/>
      <c r="R4841" s="19"/>
    </row>
    <row r="4842" spans="7:18" x14ac:dyDescent="0.25">
      <c r="G4842" s="19"/>
      <c r="J4842" s="19"/>
      <c r="K4842" s="19"/>
      <c r="L4842" s="19"/>
      <c r="R4842" s="19"/>
    </row>
    <row r="4843" spans="7:18" x14ac:dyDescent="0.25">
      <c r="G4843" s="19"/>
      <c r="J4843" s="19"/>
      <c r="K4843" s="19"/>
      <c r="L4843" s="19"/>
      <c r="R4843" s="19"/>
    </row>
    <row r="4844" spans="7:18" x14ac:dyDescent="0.25">
      <c r="G4844" s="19"/>
      <c r="J4844" s="19"/>
      <c r="K4844" s="19"/>
      <c r="L4844" s="19"/>
      <c r="R4844" s="19"/>
    </row>
    <row r="4845" spans="7:18" x14ac:dyDescent="0.25">
      <c r="G4845" s="19"/>
      <c r="J4845" s="19"/>
      <c r="K4845" s="19"/>
      <c r="L4845" s="19"/>
      <c r="R4845" s="19"/>
    </row>
    <row r="4846" spans="7:18" x14ac:dyDescent="0.25">
      <c r="G4846" s="19"/>
      <c r="J4846" s="19"/>
      <c r="K4846" s="19"/>
      <c r="L4846" s="19"/>
      <c r="R4846" s="19"/>
    </row>
    <row r="4847" spans="7:18" x14ac:dyDescent="0.25">
      <c r="G4847" s="19"/>
      <c r="J4847" s="19"/>
      <c r="K4847" s="19"/>
      <c r="L4847" s="19"/>
      <c r="R4847" s="19"/>
    </row>
    <row r="4848" spans="7:18" x14ac:dyDescent="0.25">
      <c r="G4848" s="19"/>
      <c r="J4848" s="19"/>
      <c r="K4848" s="19"/>
      <c r="L4848" s="19"/>
      <c r="R4848" s="19"/>
    </row>
    <row r="4849" spans="7:18" x14ac:dyDescent="0.25">
      <c r="G4849" s="19"/>
      <c r="J4849" s="19"/>
      <c r="K4849" s="19"/>
      <c r="L4849" s="19"/>
      <c r="R4849" s="19"/>
    </row>
    <row r="4850" spans="7:18" x14ac:dyDescent="0.25">
      <c r="G4850" s="19"/>
      <c r="J4850" s="19"/>
      <c r="K4850" s="19"/>
      <c r="L4850" s="19"/>
      <c r="R4850" s="19"/>
    </row>
    <row r="4851" spans="7:18" x14ac:dyDescent="0.25">
      <c r="G4851" s="19"/>
      <c r="J4851" s="19"/>
      <c r="K4851" s="19"/>
      <c r="L4851" s="19"/>
      <c r="R4851" s="19"/>
    </row>
    <row r="4852" spans="7:18" x14ac:dyDescent="0.25">
      <c r="G4852" s="19"/>
      <c r="J4852" s="19"/>
      <c r="K4852" s="19"/>
      <c r="L4852" s="19"/>
      <c r="R4852" s="19"/>
    </row>
    <row r="4853" spans="7:18" x14ac:dyDescent="0.25">
      <c r="G4853" s="19"/>
      <c r="J4853" s="19"/>
      <c r="K4853" s="19"/>
      <c r="L4853" s="19"/>
      <c r="R4853" s="19"/>
    </row>
    <row r="4854" spans="7:18" x14ac:dyDescent="0.25">
      <c r="G4854" s="19"/>
      <c r="J4854" s="19"/>
      <c r="K4854" s="19"/>
      <c r="L4854" s="19"/>
      <c r="R4854" s="19"/>
    </row>
    <row r="4855" spans="7:18" x14ac:dyDescent="0.25">
      <c r="G4855" s="19"/>
      <c r="J4855" s="19"/>
      <c r="K4855" s="19"/>
      <c r="L4855" s="19"/>
      <c r="R4855" s="19"/>
    </row>
    <row r="4856" spans="7:18" x14ac:dyDescent="0.25">
      <c r="G4856" s="19"/>
      <c r="J4856" s="19"/>
      <c r="K4856" s="19"/>
      <c r="L4856" s="19"/>
      <c r="R4856" s="19"/>
    </row>
    <row r="4857" spans="7:18" x14ac:dyDescent="0.25">
      <c r="G4857" s="19"/>
      <c r="J4857" s="19"/>
      <c r="K4857" s="19"/>
      <c r="L4857" s="19"/>
      <c r="R4857" s="19"/>
    </row>
    <row r="4858" spans="7:18" x14ac:dyDescent="0.25">
      <c r="G4858" s="19"/>
      <c r="J4858" s="19"/>
      <c r="K4858" s="19"/>
      <c r="L4858" s="19"/>
      <c r="R4858" s="19"/>
    </row>
    <row r="4859" spans="7:18" x14ac:dyDescent="0.25">
      <c r="G4859" s="19"/>
      <c r="J4859" s="19"/>
      <c r="K4859" s="19"/>
      <c r="L4859" s="19"/>
      <c r="R4859" s="19"/>
    </row>
    <row r="4860" spans="7:18" x14ac:dyDescent="0.25">
      <c r="G4860" s="19"/>
      <c r="J4860" s="19"/>
      <c r="K4860" s="19"/>
      <c r="L4860" s="19"/>
      <c r="R4860" s="19"/>
    </row>
    <row r="4861" spans="7:18" x14ac:dyDescent="0.25">
      <c r="G4861" s="19"/>
      <c r="J4861" s="19"/>
      <c r="K4861" s="19"/>
      <c r="L4861" s="19"/>
      <c r="R4861" s="19"/>
    </row>
    <row r="4862" spans="7:18" x14ac:dyDescent="0.25">
      <c r="G4862" s="19"/>
      <c r="J4862" s="19"/>
      <c r="K4862" s="19"/>
      <c r="L4862" s="19"/>
      <c r="R4862" s="19"/>
    </row>
    <row r="4863" spans="7:18" x14ac:dyDescent="0.25">
      <c r="G4863" s="19"/>
      <c r="J4863" s="19"/>
      <c r="K4863" s="19"/>
      <c r="L4863" s="19"/>
      <c r="R4863" s="19"/>
    </row>
    <row r="4864" spans="7:18" x14ac:dyDescent="0.25">
      <c r="G4864" s="19"/>
      <c r="J4864" s="19"/>
      <c r="K4864" s="19"/>
      <c r="L4864" s="19"/>
      <c r="R4864" s="19"/>
    </row>
    <row r="4865" spans="7:18" x14ac:dyDescent="0.25">
      <c r="G4865" s="19"/>
      <c r="J4865" s="19"/>
      <c r="K4865" s="19"/>
      <c r="L4865" s="19"/>
      <c r="R4865" s="19"/>
    </row>
    <row r="4866" spans="7:18" x14ac:dyDescent="0.25">
      <c r="G4866" s="19"/>
      <c r="J4866" s="19"/>
      <c r="K4866" s="19"/>
      <c r="L4866" s="19"/>
      <c r="R4866" s="19"/>
    </row>
    <row r="4867" spans="7:18" x14ac:dyDescent="0.25">
      <c r="G4867" s="19"/>
      <c r="J4867" s="19"/>
      <c r="K4867" s="19"/>
      <c r="L4867" s="19"/>
      <c r="R4867" s="19"/>
    </row>
    <row r="4868" spans="7:18" x14ac:dyDescent="0.25">
      <c r="G4868" s="19"/>
      <c r="J4868" s="19"/>
      <c r="K4868" s="19"/>
      <c r="L4868" s="19"/>
      <c r="R4868" s="19"/>
    </row>
    <row r="4869" spans="7:18" x14ac:dyDescent="0.25">
      <c r="G4869" s="19"/>
      <c r="J4869" s="19"/>
      <c r="K4869" s="19"/>
      <c r="L4869" s="19"/>
      <c r="R4869" s="19"/>
    </row>
    <row r="4870" spans="7:18" x14ac:dyDescent="0.25">
      <c r="G4870" s="19"/>
      <c r="J4870" s="19"/>
      <c r="K4870" s="19"/>
      <c r="L4870" s="19"/>
      <c r="R4870" s="19"/>
    </row>
    <row r="4871" spans="7:18" x14ac:dyDescent="0.25">
      <c r="G4871" s="19"/>
      <c r="J4871" s="19"/>
      <c r="K4871" s="19"/>
      <c r="L4871" s="19"/>
      <c r="R4871" s="19"/>
    </row>
    <row r="4872" spans="7:18" x14ac:dyDescent="0.25">
      <c r="G4872" s="19"/>
      <c r="J4872" s="19"/>
      <c r="K4872" s="19"/>
      <c r="L4872" s="19"/>
      <c r="R4872" s="19"/>
    </row>
    <row r="4873" spans="7:18" x14ac:dyDescent="0.25">
      <c r="G4873" s="19"/>
      <c r="J4873" s="19"/>
      <c r="K4873" s="19"/>
      <c r="L4873" s="19"/>
      <c r="R4873" s="19"/>
    </row>
    <row r="4874" spans="7:18" x14ac:dyDescent="0.25">
      <c r="G4874" s="19"/>
      <c r="J4874" s="19"/>
      <c r="K4874" s="19"/>
      <c r="L4874" s="19"/>
      <c r="R4874" s="19"/>
    </row>
    <row r="4875" spans="7:18" x14ac:dyDescent="0.25">
      <c r="G4875" s="19"/>
      <c r="J4875" s="19"/>
      <c r="K4875" s="19"/>
      <c r="L4875" s="19"/>
      <c r="R4875" s="19"/>
    </row>
    <row r="4876" spans="7:18" x14ac:dyDescent="0.25">
      <c r="G4876" s="19"/>
      <c r="J4876" s="19"/>
      <c r="K4876" s="19"/>
      <c r="L4876" s="19"/>
      <c r="R4876" s="19"/>
    </row>
    <row r="4877" spans="7:18" x14ac:dyDescent="0.25">
      <c r="G4877" s="19"/>
      <c r="J4877" s="19"/>
      <c r="K4877" s="19"/>
      <c r="L4877" s="19"/>
      <c r="R4877" s="19"/>
    </row>
    <row r="4878" spans="7:18" x14ac:dyDescent="0.25">
      <c r="G4878" s="19"/>
      <c r="J4878" s="19"/>
      <c r="K4878" s="19"/>
      <c r="L4878" s="19"/>
      <c r="R4878" s="19"/>
    </row>
    <row r="4879" spans="7:18" x14ac:dyDescent="0.25">
      <c r="G4879" s="19"/>
      <c r="J4879" s="19"/>
      <c r="K4879" s="19"/>
      <c r="L4879" s="19"/>
      <c r="R4879" s="19"/>
    </row>
    <row r="4880" spans="7:18" x14ac:dyDescent="0.25">
      <c r="G4880" s="19"/>
      <c r="J4880" s="19"/>
      <c r="K4880" s="19"/>
      <c r="L4880" s="19"/>
      <c r="R4880" s="19"/>
    </row>
    <row r="4881" spans="7:18" x14ac:dyDescent="0.25">
      <c r="G4881" s="19"/>
      <c r="J4881" s="19"/>
      <c r="K4881" s="19"/>
      <c r="L4881" s="19"/>
      <c r="R4881" s="19"/>
    </row>
    <row r="4882" spans="7:18" x14ac:dyDescent="0.25">
      <c r="G4882" s="19"/>
      <c r="J4882" s="19"/>
      <c r="K4882" s="19"/>
      <c r="L4882" s="19"/>
      <c r="R4882" s="19"/>
    </row>
    <row r="4883" spans="7:18" x14ac:dyDescent="0.25">
      <c r="G4883" s="19"/>
      <c r="J4883" s="19"/>
      <c r="K4883" s="19"/>
      <c r="L4883" s="19"/>
      <c r="R4883" s="19"/>
    </row>
    <row r="4884" spans="7:18" x14ac:dyDescent="0.25">
      <c r="G4884" s="19"/>
      <c r="J4884" s="19"/>
      <c r="K4884" s="19"/>
      <c r="L4884" s="19"/>
      <c r="R4884" s="19"/>
    </row>
    <row r="4885" spans="7:18" x14ac:dyDescent="0.25">
      <c r="G4885" s="19"/>
      <c r="J4885" s="19"/>
      <c r="K4885" s="19"/>
      <c r="L4885" s="19"/>
      <c r="R4885" s="19"/>
    </row>
    <row r="4886" spans="7:18" x14ac:dyDescent="0.25">
      <c r="G4886" s="19"/>
      <c r="J4886" s="19"/>
      <c r="K4886" s="19"/>
      <c r="L4886" s="19"/>
      <c r="R4886" s="19"/>
    </row>
    <row r="4887" spans="7:18" x14ac:dyDescent="0.25">
      <c r="G4887" s="19"/>
      <c r="J4887" s="19"/>
      <c r="K4887" s="19"/>
      <c r="L4887" s="19"/>
      <c r="R4887" s="19"/>
    </row>
    <row r="4888" spans="7:18" x14ac:dyDescent="0.25">
      <c r="G4888" s="19"/>
      <c r="J4888" s="19"/>
      <c r="K4888" s="19"/>
      <c r="L4888" s="19"/>
      <c r="R4888" s="19"/>
    </row>
    <row r="4889" spans="7:18" x14ac:dyDescent="0.25">
      <c r="G4889" s="19"/>
      <c r="J4889" s="19"/>
      <c r="K4889" s="19"/>
      <c r="L4889" s="19"/>
      <c r="R4889" s="19"/>
    </row>
    <row r="4890" spans="7:18" x14ac:dyDescent="0.25">
      <c r="G4890" s="19"/>
      <c r="J4890" s="19"/>
      <c r="K4890" s="19"/>
      <c r="L4890" s="19"/>
      <c r="R4890" s="19"/>
    </row>
    <row r="4891" spans="7:18" x14ac:dyDescent="0.25">
      <c r="G4891" s="19"/>
      <c r="J4891" s="19"/>
      <c r="K4891" s="19"/>
      <c r="L4891" s="19"/>
      <c r="R4891" s="19"/>
    </row>
    <row r="4892" spans="7:18" x14ac:dyDescent="0.25">
      <c r="G4892" s="19"/>
      <c r="J4892" s="19"/>
      <c r="K4892" s="19"/>
      <c r="L4892" s="19"/>
      <c r="R4892" s="19"/>
    </row>
    <row r="4893" spans="7:18" x14ac:dyDescent="0.25">
      <c r="G4893" s="19"/>
      <c r="J4893" s="19"/>
      <c r="K4893" s="19"/>
      <c r="L4893" s="19"/>
      <c r="R4893" s="19"/>
    </row>
    <row r="4894" spans="7:18" x14ac:dyDescent="0.25">
      <c r="G4894" s="19"/>
      <c r="J4894" s="19"/>
      <c r="K4894" s="19"/>
      <c r="L4894" s="19"/>
      <c r="R4894" s="19"/>
    </row>
    <row r="4895" spans="7:18" x14ac:dyDescent="0.25">
      <c r="G4895" s="19"/>
      <c r="J4895" s="19"/>
      <c r="K4895" s="19"/>
      <c r="L4895" s="19"/>
      <c r="R4895" s="19"/>
    </row>
    <row r="4896" spans="7:18" x14ac:dyDescent="0.25">
      <c r="G4896" s="19"/>
      <c r="J4896" s="19"/>
      <c r="K4896" s="19"/>
      <c r="L4896" s="19"/>
      <c r="R4896" s="19"/>
    </row>
    <row r="4897" spans="7:18" x14ac:dyDescent="0.25">
      <c r="G4897" s="19"/>
      <c r="J4897" s="19"/>
      <c r="K4897" s="19"/>
      <c r="L4897" s="19"/>
      <c r="R4897" s="19"/>
    </row>
    <row r="4898" spans="7:18" x14ac:dyDescent="0.25">
      <c r="G4898" s="19"/>
      <c r="J4898" s="19"/>
      <c r="K4898" s="19"/>
      <c r="L4898" s="19"/>
      <c r="R4898" s="19"/>
    </row>
    <row r="4899" spans="7:18" x14ac:dyDescent="0.25">
      <c r="G4899" s="19"/>
      <c r="J4899" s="19"/>
      <c r="K4899" s="19"/>
      <c r="L4899" s="19"/>
      <c r="R4899" s="19"/>
    </row>
    <row r="4900" spans="7:18" x14ac:dyDescent="0.25">
      <c r="G4900" s="19"/>
      <c r="J4900" s="19"/>
      <c r="K4900" s="19"/>
      <c r="L4900" s="19"/>
      <c r="R4900" s="19"/>
    </row>
    <row r="4901" spans="7:18" x14ac:dyDescent="0.25">
      <c r="G4901" s="19"/>
      <c r="J4901" s="19"/>
      <c r="K4901" s="19"/>
      <c r="L4901" s="19"/>
      <c r="R4901" s="19"/>
    </row>
    <row r="4902" spans="7:18" x14ac:dyDescent="0.25">
      <c r="G4902" s="19"/>
      <c r="J4902" s="19"/>
      <c r="K4902" s="19"/>
      <c r="L4902" s="19"/>
      <c r="R4902" s="19"/>
    </row>
    <row r="4903" spans="7:18" x14ac:dyDescent="0.25">
      <c r="G4903" s="19"/>
      <c r="J4903" s="19"/>
      <c r="K4903" s="19"/>
      <c r="L4903" s="19"/>
      <c r="R4903" s="19"/>
    </row>
    <row r="4904" spans="7:18" x14ac:dyDescent="0.25">
      <c r="G4904" s="19"/>
      <c r="J4904" s="19"/>
      <c r="K4904" s="19"/>
      <c r="L4904" s="19"/>
      <c r="R4904" s="19"/>
    </row>
    <row r="4905" spans="7:18" x14ac:dyDescent="0.25">
      <c r="G4905" s="19"/>
      <c r="J4905" s="19"/>
      <c r="K4905" s="19"/>
      <c r="L4905" s="19"/>
      <c r="R4905" s="19"/>
    </row>
    <row r="4906" spans="7:18" x14ac:dyDescent="0.25">
      <c r="G4906" s="19"/>
      <c r="J4906" s="19"/>
      <c r="K4906" s="19"/>
      <c r="L4906" s="19"/>
      <c r="R4906" s="19"/>
    </row>
    <row r="4907" spans="7:18" x14ac:dyDescent="0.25">
      <c r="G4907" s="19"/>
      <c r="J4907" s="19"/>
      <c r="K4907" s="19"/>
      <c r="L4907" s="19"/>
      <c r="R4907" s="19"/>
    </row>
    <row r="4908" spans="7:18" x14ac:dyDescent="0.25">
      <c r="G4908" s="19"/>
      <c r="J4908" s="19"/>
      <c r="K4908" s="19"/>
      <c r="L4908" s="19"/>
      <c r="R4908" s="19"/>
    </row>
    <row r="4909" spans="7:18" x14ac:dyDescent="0.25">
      <c r="G4909" s="19"/>
      <c r="J4909" s="19"/>
      <c r="K4909" s="19"/>
      <c r="L4909" s="19"/>
      <c r="R4909" s="19"/>
    </row>
    <row r="4910" spans="7:18" x14ac:dyDescent="0.25">
      <c r="G4910" s="19"/>
      <c r="J4910" s="19"/>
      <c r="K4910" s="19"/>
      <c r="L4910" s="19"/>
      <c r="R4910" s="19"/>
    </row>
    <row r="4911" spans="7:18" x14ac:dyDescent="0.25">
      <c r="G4911" s="19"/>
      <c r="J4911" s="19"/>
      <c r="K4911" s="19"/>
      <c r="L4911" s="19"/>
      <c r="R4911" s="19"/>
    </row>
    <row r="4912" spans="7:18" x14ac:dyDescent="0.25">
      <c r="G4912" s="19"/>
      <c r="J4912" s="19"/>
      <c r="K4912" s="19"/>
      <c r="L4912" s="19"/>
      <c r="R4912" s="19"/>
    </row>
    <row r="4913" spans="7:18" x14ac:dyDescent="0.25">
      <c r="G4913" s="19"/>
      <c r="J4913" s="19"/>
      <c r="K4913" s="19"/>
      <c r="L4913" s="19"/>
      <c r="R4913" s="19"/>
    </row>
    <row r="4914" spans="7:18" x14ac:dyDescent="0.25">
      <c r="G4914" s="19"/>
      <c r="J4914" s="19"/>
      <c r="K4914" s="19"/>
      <c r="L4914" s="19"/>
      <c r="R4914" s="19"/>
    </row>
    <row r="4915" spans="7:18" x14ac:dyDescent="0.25">
      <c r="G4915" s="19"/>
      <c r="J4915" s="19"/>
      <c r="K4915" s="19"/>
      <c r="L4915" s="19"/>
      <c r="R4915" s="19"/>
    </row>
    <row r="4916" spans="7:18" x14ac:dyDescent="0.25">
      <c r="G4916" s="19"/>
      <c r="J4916" s="19"/>
      <c r="K4916" s="19"/>
      <c r="L4916" s="19"/>
      <c r="R4916" s="19"/>
    </row>
    <row r="4917" spans="7:18" x14ac:dyDescent="0.25">
      <c r="G4917" s="19"/>
      <c r="J4917" s="19"/>
      <c r="K4917" s="19"/>
      <c r="L4917" s="19"/>
      <c r="R4917" s="19"/>
    </row>
    <row r="4918" spans="7:18" x14ac:dyDescent="0.25">
      <c r="G4918" s="19"/>
      <c r="J4918" s="19"/>
      <c r="K4918" s="19"/>
      <c r="L4918" s="19"/>
      <c r="R4918" s="19"/>
    </row>
    <row r="4919" spans="7:18" x14ac:dyDescent="0.25">
      <c r="G4919" s="19"/>
      <c r="J4919" s="19"/>
      <c r="K4919" s="19"/>
      <c r="L4919" s="19"/>
      <c r="R4919" s="19"/>
    </row>
    <row r="4920" spans="7:18" x14ac:dyDescent="0.25">
      <c r="G4920" s="19"/>
      <c r="J4920" s="19"/>
      <c r="K4920" s="19"/>
      <c r="L4920" s="19"/>
      <c r="R4920" s="19"/>
    </row>
    <row r="4921" spans="7:18" x14ac:dyDescent="0.25">
      <c r="G4921" s="19"/>
      <c r="J4921" s="19"/>
      <c r="K4921" s="19"/>
      <c r="L4921" s="19"/>
      <c r="R4921" s="19"/>
    </row>
    <row r="4922" spans="7:18" x14ac:dyDescent="0.25">
      <c r="G4922" s="19"/>
      <c r="J4922" s="19"/>
      <c r="K4922" s="19"/>
      <c r="L4922" s="19"/>
      <c r="R4922" s="19"/>
    </row>
    <row r="4923" spans="7:18" x14ac:dyDescent="0.25">
      <c r="G4923" s="19"/>
      <c r="J4923" s="19"/>
      <c r="K4923" s="19"/>
      <c r="L4923" s="19"/>
      <c r="R4923" s="19"/>
    </row>
    <row r="4924" spans="7:18" x14ac:dyDescent="0.25">
      <c r="G4924" s="19"/>
      <c r="J4924" s="19"/>
      <c r="K4924" s="19"/>
      <c r="L4924" s="19"/>
      <c r="R4924" s="19"/>
    </row>
    <row r="4925" spans="7:18" x14ac:dyDescent="0.25">
      <c r="G4925" s="19"/>
      <c r="J4925" s="19"/>
      <c r="K4925" s="19"/>
      <c r="L4925" s="19"/>
      <c r="R4925" s="19"/>
    </row>
    <row r="4926" spans="7:18" x14ac:dyDescent="0.25">
      <c r="G4926" s="19"/>
      <c r="J4926" s="19"/>
      <c r="K4926" s="19"/>
      <c r="L4926" s="19"/>
      <c r="R4926" s="19"/>
    </row>
    <row r="4927" spans="7:18" x14ac:dyDescent="0.25">
      <c r="G4927" s="19"/>
      <c r="J4927" s="19"/>
      <c r="K4927" s="19"/>
      <c r="L4927" s="19"/>
      <c r="R4927" s="19"/>
    </row>
    <row r="4928" spans="7:18" x14ac:dyDescent="0.25">
      <c r="G4928" s="19"/>
      <c r="J4928" s="19"/>
      <c r="K4928" s="19"/>
      <c r="L4928" s="19"/>
      <c r="R4928" s="19"/>
    </row>
    <row r="4929" spans="7:18" x14ac:dyDescent="0.25">
      <c r="G4929" s="19"/>
      <c r="J4929" s="19"/>
      <c r="K4929" s="19"/>
      <c r="L4929" s="19"/>
      <c r="R4929" s="19"/>
    </row>
    <row r="4930" spans="7:18" x14ac:dyDescent="0.25">
      <c r="G4930" s="19"/>
      <c r="J4930" s="19"/>
      <c r="K4930" s="19"/>
      <c r="L4930" s="19"/>
      <c r="R4930" s="19"/>
    </row>
    <row r="4931" spans="7:18" x14ac:dyDescent="0.25">
      <c r="G4931" s="19"/>
      <c r="J4931" s="19"/>
      <c r="K4931" s="19"/>
      <c r="L4931" s="19"/>
      <c r="R4931" s="19"/>
    </row>
    <row r="4932" spans="7:18" x14ac:dyDescent="0.25">
      <c r="G4932" s="19"/>
      <c r="J4932" s="19"/>
      <c r="K4932" s="19"/>
      <c r="L4932" s="19"/>
      <c r="R4932" s="19"/>
    </row>
    <row r="4933" spans="7:18" x14ac:dyDescent="0.25">
      <c r="G4933" s="19"/>
      <c r="J4933" s="19"/>
      <c r="K4933" s="19"/>
      <c r="L4933" s="19"/>
      <c r="R4933" s="19"/>
    </row>
    <row r="4934" spans="7:18" x14ac:dyDescent="0.25">
      <c r="G4934" s="19"/>
      <c r="J4934" s="19"/>
      <c r="K4934" s="19"/>
      <c r="L4934" s="19"/>
      <c r="R4934" s="19"/>
    </row>
    <row r="4935" spans="7:18" x14ac:dyDescent="0.25">
      <c r="G4935" s="19"/>
      <c r="J4935" s="19"/>
      <c r="K4935" s="19"/>
      <c r="L4935" s="19"/>
      <c r="R4935" s="19"/>
    </row>
    <row r="4936" spans="7:18" x14ac:dyDescent="0.25">
      <c r="G4936" s="19"/>
      <c r="J4936" s="19"/>
      <c r="K4936" s="19"/>
      <c r="L4936" s="19"/>
      <c r="R4936" s="19"/>
    </row>
    <row r="4937" spans="7:18" x14ac:dyDescent="0.25">
      <c r="G4937" s="19"/>
      <c r="J4937" s="19"/>
      <c r="K4937" s="19"/>
      <c r="L4937" s="19"/>
      <c r="R4937" s="19"/>
    </row>
    <row r="4938" spans="7:18" x14ac:dyDescent="0.25">
      <c r="G4938" s="19"/>
      <c r="J4938" s="19"/>
      <c r="K4938" s="19"/>
      <c r="L4938" s="19"/>
      <c r="R4938" s="19"/>
    </row>
    <row r="4939" spans="7:18" x14ac:dyDescent="0.25">
      <c r="G4939" s="19"/>
      <c r="J4939" s="19"/>
      <c r="K4939" s="19"/>
      <c r="L4939" s="19"/>
      <c r="R4939" s="19"/>
    </row>
    <row r="4940" spans="7:18" x14ac:dyDescent="0.25">
      <c r="G4940" s="19"/>
      <c r="J4940" s="19"/>
      <c r="K4940" s="19"/>
      <c r="L4940" s="19"/>
      <c r="R4940" s="19"/>
    </row>
    <row r="4941" spans="7:18" x14ac:dyDescent="0.25">
      <c r="G4941" s="19"/>
      <c r="J4941" s="19"/>
      <c r="K4941" s="19"/>
      <c r="L4941" s="19"/>
      <c r="R4941" s="19"/>
    </row>
    <row r="4942" spans="7:18" x14ac:dyDescent="0.25">
      <c r="G4942" s="19"/>
      <c r="J4942" s="19"/>
      <c r="K4942" s="19"/>
      <c r="L4942" s="19"/>
      <c r="R4942" s="19"/>
    </row>
    <row r="4943" spans="7:18" x14ac:dyDescent="0.25">
      <c r="G4943" s="19"/>
      <c r="J4943" s="19"/>
      <c r="K4943" s="19"/>
      <c r="L4943" s="19"/>
      <c r="R4943" s="19"/>
    </row>
    <row r="4944" spans="7:18" x14ac:dyDescent="0.25">
      <c r="G4944" s="19"/>
      <c r="J4944" s="19"/>
      <c r="K4944" s="19"/>
      <c r="L4944" s="19"/>
      <c r="R4944" s="19"/>
    </row>
    <row r="4945" spans="7:18" x14ac:dyDescent="0.25">
      <c r="G4945" s="19"/>
      <c r="J4945" s="19"/>
      <c r="K4945" s="19"/>
      <c r="L4945" s="19"/>
      <c r="R4945" s="19"/>
    </row>
    <row r="4946" spans="7:18" x14ac:dyDescent="0.25">
      <c r="G4946" s="19"/>
      <c r="J4946" s="19"/>
      <c r="K4946" s="19"/>
      <c r="L4946" s="19"/>
      <c r="R4946" s="19"/>
    </row>
    <row r="4947" spans="7:18" x14ac:dyDescent="0.25">
      <c r="G4947" s="19"/>
      <c r="J4947" s="19"/>
      <c r="K4947" s="19"/>
      <c r="L4947" s="19"/>
      <c r="R4947" s="19"/>
    </row>
    <row r="4948" spans="7:18" x14ac:dyDescent="0.25">
      <c r="G4948" s="19"/>
      <c r="J4948" s="19"/>
      <c r="K4948" s="19"/>
      <c r="L4948" s="19"/>
      <c r="R4948" s="19"/>
    </row>
    <row r="4949" spans="7:18" x14ac:dyDescent="0.25">
      <c r="G4949" s="19"/>
      <c r="J4949" s="19"/>
      <c r="K4949" s="19"/>
      <c r="L4949" s="19"/>
      <c r="R4949" s="19"/>
    </row>
    <row r="4950" spans="7:18" x14ac:dyDescent="0.25">
      <c r="G4950" s="19"/>
      <c r="J4950" s="19"/>
      <c r="K4950" s="19"/>
      <c r="L4950" s="19"/>
      <c r="R4950" s="19"/>
    </row>
    <row r="4951" spans="7:18" x14ac:dyDescent="0.25">
      <c r="G4951" s="19"/>
      <c r="J4951" s="19"/>
      <c r="K4951" s="19"/>
      <c r="L4951" s="19"/>
      <c r="R4951" s="19"/>
    </row>
    <row r="4952" spans="7:18" x14ac:dyDescent="0.25">
      <c r="G4952" s="19"/>
      <c r="J4952" s="19"/>
      <c r="K4952" s="19"/>
      <c r="L4952" s="19"/>
      <c r="R4952" s="19"/>
    </row>
    <row r="4953" spans="7:18" x14ac:dyDescent="0.25">
      <c r="G4953" s="19"/>
      <c r="J4953" s="19"/>
      <c r="K4953" s="19"/>
      <c r="L4953" s="19"/>
      <c r="R4953" s="19"/>
    </row>
    <row r="4954" spans="7:18" x14ac:dyDescent="0.25">
      <c r="G4954" s="19"/>
      <c r="J4954" s="19"/>
      <c r="K4954" s="19"/>
      <c r="L4954" s="19"/>
      <c r="R4954" s="19"/>
    </row>
    <row r="4955" spans="7:18" x14ac:dyDescent="0.25">
      <c r="G4955" s="19"/>
      <c r="J4955" s="19"/>
      <c r="K4955" s="19"/>
      <c r="L4955" s="19"/>
      <c r="R4955" s="19"/>
    </row>
    <row r="4956" spans="7:18" x14ac:dyDescent="0.25">
      <c r="G4956" s="19"/>
      <c r="J4956" s="19"/>
      <c r="K4956" s="19"/>
      <c r="L4956" s="19"/>
      <c r="R4956" s="19"/>
    </row>
    <row r="4957" spans="7:18" x14ac:dyDescent="0.25">
      <c r="G4957" s="19"/>
      <c r="J4957" s="19"/>
      <c r="K4957" s="19"/>
      <c r="L4957" s="19"/>
      <c r="R4957" s="19"/>
    </row>
    <row r="4958" spans="7:18" x14ac:dyDescent="0.25">
      <c r="G4958" s="19"/>
      <c r="J4958" s="19"/>
      <c r="K4958" s="19"/>
      <c r="L4958" s="19"/>
      <c r="R4958" s="19"/>
    </row>
    <row r="4959" spans="7:18" x14ac:dyDescent="0.25">
      <c r="G4959" s="19"/>
      <c r="J4959" s="19"/>
      <c r="K4959" s="19"/>
      <c r="L4959" s="19"/>
      <c r="R4959" s="19"/>
    </row>
    <row r="4960" spans="7:18" x14ac:dyDescent="0.25">
      <c r="G4960" s="19"/>
      <c r="J4960" s="19"/>
      <c r="K4960" s="19"/>
      <c r="L4960" s="19"/>
      <c r="R4960" s="19"/>
    </row>
    <row r="4961" spans="7:18" x14ac:dyDescent="0.25">
      <c r="G4961" s="19"/>
      <c r="J4961" s="19"/>
      <c r="K4961" s="19"/>
      <c r="L4961" s="19"/>
      <c r="R4961" s="19"/>
    </row>
    <row r="4962" spans="7:18" x14ac:dyDescent="0.25">
      <c r="G4962" s="19"/>
      <c r="J4962" s="19"/>
      <c r="K4962" s="19"/>
      <c r="L4962" s="19"/>
      <c r="R4962" s="19"/>
    </row>
    <row r="4963" spans="7:18" x14ac:dyDescent="0.25">
      <c r="G4963" s="19"/>
      <c r="J4963" s="19"/>
      <c r="K4963" s="19"/>
      <c r="L4963" s="19"/>
      <c r="R4963" s="19"/>
    </row>
    <row r="4964" spans="7:18" x14ac:dyDescent="0.25">
      <c r="G4964" s="19"/>
      <c r="J4964" s="19"/>
      <c r="K4964" s="19"/>
      <c r="L4964" s="19"/>
      <c r="R4964" s="19"/>
    </row>
    <row r="4965" spans="7:18" x14ac:dyDescent="0.25">
      <c r="G4965" s="19"/>
      <c r="J4965" s="19"/>
      <c r="K4965" s="19"/>
      <c r="L4965" s="19"/>
      <c r="R4965" s="19"/>
    </row>
    <row r="4966" spans="7:18" x14ac:dyDescent="0.25">
      <c r="G4966" s="19"/>
      <c r="J4966" s="19"/>
      <c r="K4966" s="19"/>
      <c r="L4966" s="19"/>
      <c r="R4966" s="19"/>
    </row>
    <row r="4967" spans="7:18" x14ac:dyDescent="0.25">
      <c r="G4967" s="19"/>
      <c r="J4967" s="19"/>
      <c r="K4967" s="19"/>
      <c r="L4967" s="19"/>
      <c r="R4967" s="19"/>
    </row>
    <row r="4968" spans="7:18" x14ac:dyDescent="0.25">
      <c r="G4968" s="19"/>
      <c r="J4968" s="19"/>
      <c r="K4968" s="19"/>
      <c r="L4968" s="19"/>
      <c r="R4968" s="19"/>
    </row>
    <row r="4969" spans="7:18" x14ac:dyDescent="0.25">
      <c r="G4969" s="19"/>
      <c r="J4969" s="19"/>
      <c r="K4969" s="19"/>
      <c r="L4969" s="19"/>
      <c r="R4969" s="19"/>
    </row>
    <row r="4970" spans="7:18" x14ac:dyDescent="0.25">
      <c r="G4970" s="19"/>
      <c r="J4970" s="19"/>
      <c r="K4970" s="19"/>
      <c r="L4970" s="19"/>
      <c r="R4970" s="19"/>
    </row>
    <row r="4971" spans="7:18" x14ac:dyDescent="0.25">
      <c r="G4971" s="19"/>
      <c r="J4971" s="19"/>
      <c r="K4971" s="19"/>
      <c r="L4971" s="19"/>
      <c r="R4971" s="19"/>
    </row>
    <row r="4972" spans="7:18" x14ac:dyDescent="0.25">
      <c r="G4972" s="19"/>
      <c r="J4972" s="19"/>
      <c r="K4972" s="19"/>
      <c r="L4972" s="19"/>
      <c r="R4972" s="19"/>
    </row>
    <row r="4973" spans="7:18" x14ac:dyDescent="0.25">
      <c r="G4973" s="19"/>
      <c r="J4973" s="19"/>
      <c r="K4973" s="19"/>
      <c r="L4973" s="19"/>
      <c r="R4973" s="19"/>
    </row>
    <row r="4974" spans="7:18" x14ac:dyDescent="0.25">
      <c r="G4974" s="19"/>
      <c r="J4974" s="19"/>
      <c r="K4974" s="19"/>
      <c r="L4974" s="19"/>
      <c r="R4974" s="19"/>
    </row>
    <row r="4975" spans="7:18" x14ac:dyDescent="0.25">
      <c r="G4975" s="19"/>
      <c r="J4975" s="19"/>
      <c r="K4975" s="19"/>
      <c r="L4975" s="19"/>
      <c r="R4975" s="19"/>
    </row>
    <row r="4976" spans="7:18" x14ac:dyDescent="0.25">
      <c r="G4976" s="19"/>
      <c r="J4976" s="19"/>
      <c r="K4976" s="19"/>
      <c r="L4976" s="19"/>
      <c r="R4976" s="19"/>
    </row>
    <row r="4977" spans="7:18" x14ac:dyDescent="0.25">
      <c r="G4977" s="19"/>
      <c r="J4977" s="19"/>
      <c r="K4977" s="19"/>
      <c r="L4977" s="19"/>
      <c r="R4977" s="19"/>
    </row>
    <row r="4978" spans="7:18" x14ac:dyDescent="0.25">
      <c r="G4978" s="19"/>
      <c r="J4978" s="19"/>
      <c r="K4978" s="19"/>
      <c r="L4978" s="19"/>
      <c r="R4978" s="19"/>
    </row>
    <row r="4979" spans="7:18" x14ac:dyDescent="0.25">
      <c r="G4979" s="19"/>
      <c r="J4979" s="19"/>
      <c r="K4979" s="19"/>
      <c r="L4979" s="19"/>
      <c r="R4979" s="19"/>
    </row>
    <row r="4980" spans="7:18" x14ac:dyDescent="0.25">
      <c r="G4980" s="19"/>
      <c r="J4980" s="19"/>
      <c r="K4980" s="19"/>
      <c r="L4980" s="19"/>
      <c r="R4980" s="19"/>
    </row>
    <row r="4981" spans="7:18" x14ac:dyDescent="0.25">
      <c r="G4981" s="19"/>
      <c r="J4981" s="19"/>
      <c r="K4981" s="19"/>
      <c r="L4981" s="19"/>
      <c r="R4981" s="19"/>
    </row>
    <row r="4982" spans="7:18" x14ac:dyDescent="0.25">
      <c r="G4982" s="19"/>
      <c r="J4982" s="19"/>
      <c r="K4982" s="19"/>
      <c r="L4982" s="19"/>
      <c r="R4982" s="19"/>
    </row>
    <row r="4983" spans="7:18" x14ac:dyDescent="0.25">
      <c r="G4983" s="19"/>
      <c r="J4983" s="19"/>
      <c r="K4983" s="19"/>
      <c r="L4983" s="19"/>
      <c r="R4983" s="19"/>
    </row>
    <row r="4984" spans="7:18" x14ac:dyDescent="0.25">
      <c r="G4984" s="19"/>
      <c r="J4984" s="19"/>
      <c r="K4984" s="19"/>
      <c r="L4984" s="19"/>
      <c r="R4984" s="19"/>
    </row>
    <row r="4985" spans="7:18" x14ac:dyDescent="0.25">
      <c r="G4985" s="19"/>
      <c r="J4985" s="19"/>
      <c r="K4985" s="19"/>
      <c r="L4985" s="19"/>
      <c r="R4985" s="19"/>
    </row>
    <row r="4986" spans="7:18" x14ac:dyDescent="0.25">
      <c r="G4986" s="19"/>
      <c r="J4986" s="19"/>
      <c r="K4986" s="19"/>
      <c r="L4986" s="19"/>
      <c r="R4986" s="19"/>
    </row>
    <row r="4987" spans="7:18" x14ac:dyDescent="0.25">
      <c r="G4987" s="19"/>
      <c r="J4987" s="19"/>
      <c r="K4987" s="19"/>
      <c r="L4987" s="19"/>
      <c r="R4987" s="19"/>
    </row>
    <row r="4988" spans="7:18" x14ac:dyDescent="0.25">
      <c r="G4988" s="19"/>
      <c r="J4988" s="19"/>
      <c r="K4988" s="19"/>
      <c r="L4988" s="19"/>
      <c r="R4988" s="19"/>
    </row>
    <row r="4989" spans="7:18" x14ac:dyDescent="0.25">
      <c r="G4989" s="19"/>
      <c r="J4989" s="19"/>
      <c r="K4989" s="19"/>
      <c r="L4989" s="19"/>
      <c r="R4989" s="19"/>
    </row>
    <row r="4990" spans="7:18" x14ac:dyDescent="0.25">
      <c r="G4990" s="19"/>
      <c r="J4990" s="19"/>
      <c r="K4990" s="19"/>
      <c r="L4990" s="19"/>
      <c r="R4990" s="19"/>
    </row>
    <row r="4991" spans="7:18" x14ac:dyDescent="0.25">
      <c r="G4991" s="19"/>
      <c r="J4991" s="19"/>
      <c r="K4991" s="19"/>
      <c r="L4991" s="19"/>
      <c r="R4991" s="19"/>
    </row>
    <row r="4992" spans="7:18" x14ac:dyDescent="0.25">
      <c r="G4992" s="19"/>
      <c r="J4992" s="19"/>
      <c r="K4992" s="19"/>
      <c r="L4992" s="19"/>
      <c r="R4992" s="19"/>
    </row>
    <row r="4993" spans="7:41" x14ac:dyDescent="0.25">
      <c r="G4993" s="19"/>
      <c r="J4993" s="19"/>
      <c r="K4993" s="19"/>
      <c r="L4993" s="19"/>
      <c r="R4993" s="19"/>
    </row>
    <row r="4994" spans="7:41" x14ac:dyDescent="0.25">
      <c r="G4994" s="19"/>
      <c r="J4994" s="19"/>
      <c r="K4994" s="19"/>
      <c r="L4994" s="19"/>
      <c r="R4994" s="19"/>
    </row>
    <row r="4995" spans="7:41" x14ac:dyDescent="0.25">
      <c r="G4995" s="19"/>
      <c r="J4995" s="19"/>
      <c r="K4995" s="19"/>
      <c r="L4995" s="19"/>
      <c r="R4995" s="19"/>
    </row>
    <row r="4996" spans="7:41" x14ac:dyDescent="0.25">
      <c r="G4996" s="19"/>
      <c r="J4996" s="19"/>
      <c r="K4996" s="19"/>
      <c r="L4996" s="19"/>
      <c r="R4996" s="19"/>
    </row>
    <row r="4997" spans="7:41" x14ac:dyDescent="0.25">
      <c r="G4997" s="19"/>
      <c r="J4997" s="19"/>
      <c r="K4997" s="19"/>
      <c r="L4997" s="19"/>
      <c r="R4997" s="19"/>
    </row>
    <row r="4998" spans="7:41" x14ac:dyDescent="0.25">
      <c r="G4998" s="19"/>
      <c r="J4998" s="19"/>
      <c r="K4998" s="19"/>
      <c r="L4998" s="19"/>
      <c r="R4998" s="19"/>
    </row>
    <row r="4999" spans="7:41" x14ac:dyDescent="0.25">
      <c r="G4999" s="19"/>
      <c r="J4999" s="19"/>
      <c r="K4999" s="19"/>
      <c r="L4999" s="19"/>
      <c r="R4999" s="19"/>
    </row>
    <row r="5000" spans="7:41" x14ac:dyDescent="0.25">
      <c r="G5000" s="19"/>
      <c r="J5000" s="19"/>
      <c r="K5000" s="19"/>
      <c r="L5000" s="19"/>
      <c r="R5000" s="19"/>
    </row>
    <row r="5001" spans="7:41" x14ac:dyDescent="0.25">
      <c r="AJ5001" s="17" t="e">
        <f>IF(ISNA(VLOOKUP($I5001&amp;#REF!,$DC$3:$DD$119,2,FALSE)),FALSE,VLOOKUP($I5001&amp;#REF!,$DC$3:$DD$119,2,FALSE))</f>
        <v>#REF!</v>
      </c>
      <c r="AK5001" s="17" t="b">
        <f>IF(ISNA(VLOOKUP($I5001,$DF$3:$DG$45,2,FALSE)),FALSE,VLOOKUP($I5001,$DF$3:$DG$45,2,FALSE))</f>
        <v>0</v>
      </c>
      <c r="AL5001" s="17" t="b">
        <f>IF(ISNA(VLOOKUP($I5001,$DL$3:$DM$45,2,FALSE)),FALSE,VLOOKUP($I5001,$DL$3:$DM$45,2,FALSE))</f>
        <v>0</v>
      </c>
      <c r="AM5001" s="17" t="e">
        <f>IF(ISNA(VLOOKUP($I5001&amp;#REF!,$CW$3:$CX$129,2,FALSE)),FALSE,VLOOKUP($I5001&amp;#REF!,$CW$3:$CX$129,2,FALSE))</f>
        <v>#REF!</v>
      </c>
      <c r="AN5001" s="17" t="e">
        <f>IF(ISNA(VLOOKUP($I5001&amp;#REF!,$CZ$3:$DA$119,2,FALSE)),FALSE,VLOOKUP($I5001&amp;#REF!,$CZ$3:$DA$119,2,FALSE))</f>
        <v>#REF!</v>
      </c>
      <c r="AO5001" s="17" t="b">
        <f>IF(ISNA(VLOOKUP($I5001,$DI$3:$DJ$45,2,FALSE)),FALSE,VLOOKUP($I5001,$DI$3:$DJ$45,2,FALSE))</f>
        <v>0</v>
      </c>
    </row>
    <row r="1048576" spans="56:57" x14ac:dyDescent="0.25">
      <c r="BD1048576" s="24"/>
      <c r="BE1048576" s="24"/>
    </row>
  </sheetData>
  <sheetProtection selectLockedCells="1" selectUnlockedCells="1"/>
  <sortState xmlns:xlrd2="http://schemas.microsoft.com/office/spreadsheetml/2017/richdata2" ref="BC3:BC26">
    <sortCondition ref="BC3:BC26"/>
  </sortState>
  <dataConsolidate/>
  <mergeCells count="12">
    <mergeCell ref="DX3:DY3"/>
    <mergeCell ref="CQ3:CR3"/>
    <mergeCell ref="CT3:CU3"/>
    <mergeCell ref="CW3:CX3"/>
    <mergeCell ref="CZ3:DA3"/>
    <mergeCell ref="DC3:DD3"/>
    <mergeCell ref="DI3:DJ3"/>
    <mergeCell ref="BX2:BY2"/>
    <mergeCell ref="BK2:BU2"/>
    <mergeCell ref="BD2:BI2"/>
    <mergeCell ref="CB2:CO2"/>
    <mergeCell ref="DU3:DV3"/>
  </mergeCells>
  <phoneticPr fontId="4" type="noConversion"/>
  <conditionalFormatting sqref="DP3">
    <cfRule type="cellIs" dxfId="46" priority="32" operator="equal">
      <formula>0</formula>
    </cfRule>
  </conditionalFormatting>
  <conditionalFormatting sqref="DQ3:DS3">
    <cfRule type="cellIs" dxfId="45" priority="31" operator="equal">
      <formula>0</formula>
    </cfRule>
  </conditionalFormatting>
  <conditionalFormatting sqref="DF3">
    <cfRule type="cellIs" dxfId="44" priority="30" operator="equal">
      <formula>0</formula>
    </cfRule>
  </conditionalFormatting>
  <conditionalFormatting sqref="DG3">
    <cfRule type="cellIs" dxfId="43" priority="29" operator="equal">
      <formula>0</formula>
    </cfRule>
  </conditionalFormatting>
  <conditionalFormatting sqref="DL3">
    <cfRule type="cellIs" dxfId="42" priority="28" operator="equal">
      <formula>0</formula>
    </cfRule>
  </conditionalFormatting>
  <conditionalFormatting sqref="DM3">
    <cfRule type="cellIs" dxfId="41" priority="27" operator="equal">
      <formula>0</formula>
    </cfRule>
  </conditionalFormatting>
  <conditionalFormatting sqref="DI3">
    <cfRule type="cellIs" dxfId="40" priority="26" operator="equal">
      <formula>0</formula>
    </cfRule>
  </conditionalFormatting>
  <conditionalFormatting sqref="A2:U251">
    <cfRule type="expression" dxfId="39" priority="33">
      <formula>$W2="Invalid Pin"</formula>
    </cfRule>
    <cfRule type="expression" dxfId="38" priority="34">
      <formula>$W2="Invalid Selections"</formula>
    </cfRule>
    <cfRule type="expression" dxfId="37" priority="35">
      <formula>AND($W2="Invalid Values",OR(A$1="First Name",A$1="Last Name",A$1="Middle Name"),NOT(ISNUMBER(SUMPRODUCT(SEARCH("~"&amp;MID(A2,ROW($1:$99),1),"abcdefghijklmnopqrstuvwxyz")))))</formula>
    </cfRule>
    <cfRule type="expression" dxfId="36" priority="36">
      <formula>$W2="Invalid Values"</formula>
    </cfRule>
    <cfRule type="expression" dxfId="35" priority="37">
      <formula>AND($W2="Missing Values",A2="",NOT(A$1 = "Comments"),NOT(A$1 = "Middle Name"),NOT(A$1="Citrix ID For LOB Changes"))</formula>
    </cfRule>
    <cfRule type="expression" dxfId="34" priority="38">
      <formula>$W2="Missing Values"</formula>
    </cfRule>
  </conditionalFormatting>
  <dataValidations count="20">
    <dataValidation type="custom" allowBlank="1" showInputMessage="1" showErrorMessage="1" errorTitle="Check Name Formatting" error="Please do not use all capital letters." sqref="B252:B256" xr:uid="{CA5747C5-1E81-4623-A9A1-617C6D7B26BA}">
      <formula1>EXACT(PROPER(B252:B461),B252:B461)</formula1>
    </dataValidation>
    <dataValidation type="list" allowBlank="1" showInputMessage="1" showErrorMessage="1" sqref="N252:Q256" xr:uid="{E2926F1D-79CB-4DE3-AF9A-BB13F8B46D37}">
      <formula1>Rolelist</formula1>
    </dataValidation>
    <dataValidation type="custom" allowBlank="1" showInputMessage="1" showErrorMessage="1" errorTitle="Check Name Formatting" error="Please do not use all capital letters" sqref="C252:F256" xr:uid="{19D74623-CFA1-4DFF-90DF-909CE67B561D}">
      <formula1>EXACT(PROPER(C252:C461),C252:C461)</formula1>
    </dataValidation>
    <dataValidation type="custom" allowBlank="1" showInputMessage="1" showErrorMessage="1" errorTitle="Check Name Formatting" error="The information you entered is incorrect. _x000a__x000a_Please make sure you use proper case and try again" sqref="T2:T251" xr:uid="{EDCA27A4-F177-428A-97C4-61AB92B5A179}">
      <formula1>EXACT(PROPER(T2:T211),T2:T211)</formula1>
    </dataValidation>
    <dataValidation type="list" allowBlank="1" showInputMessage="1" showErrorMessage="1" sqref="BH151:BH153 BH4:BH118 BH156 BH160:BH162 BH164:BH215" xr:uid="{276FFBA0-BDB1-4051-A641-5E07D3DE1AC8}">
      <formula1>Access</formula1>
    </dataValidation>
    <dataValidation type="list" allowBlank="1" showInputMessage="1" showErrorMessage="1" sqref="BG151:BG152 BG4:BG118 BG155:BG156 BG159:BG162 BG164:BG215" xr:uid="{CF5CE9FA-930F-450B-AA75-5F6A627E548D}">
      <formula1>Channel</formula1>
    </dataValidation>
    <dataValidation type="list" allowBlank="1" showInputMessage="1" showErrorMessage="1" sqref="BD1048576 BD149:BD152 BD4:BD118 BD144:BD145 BD156:BD162 BD164:BD215" xr:uid="{ED494F3E-5D71-4B7D-8166-A664D8A44C0A}">
      <formula1>Partner</formula1>
    </dataValidation>
    <dataValidation type="list" allowBlank="1" showInputMessage="1" showErrorMessage="1" sqref="BE1048576 BE149:BE152 BE4:BE118 BE144:BE145 BE156:BE162 BE164:BE215" xr:uid="{73D2BCBE-C643-4AE9-A134-664BADD4EE94}">
      <formula1>Program</formula1>
    </dataValidation>
    <dataValidation type="list" allowBlank="1" showInputMessage="1" showErrorMessage="1" sqref="BF4:BF118 BF151:BF158 BF160:BF162 BF164:BF215" xr:uid="{8422F964-FE3C-439A-937D-347F73057199}">
      <formula1>Location</formula1>
    </dataValidation>
    <dataValidation type="list" allowBlank="1" showInputMessage="1" showErrorMessage="1" sqref="N257:Q5000" xr:uid="{6EB78DE6-F41C-4FDB-986B-D2DA6B362BF8}">
      <formula1>$BA$2:$BA$16</formula1>
    </dataValidation>
    <dataValidation type="list" allowBlank="1" showInputMessage="1" showErrorMessage="1" sqref="M252:M256 I252:I256" xr:uid="{E588EA73-8466-4B3B-97E2-A3057C320290}">
      <formula1>SiteList</formula1>
    </dataValidation>
    <dataValidation type="list" allowBlank="1" showInputMessage="1" showErrorMessage="1" sqref="M4752:M5000 I257:I500 M257:M500 I4252:I4500 M4252:M4500 I4002:I4250 M4002:M4250 I3752:I4000 M3752:M4000 I3502:I3750 M3502:M3750 I3252:I3500 M3252:M3500 I3002:I3250 M3002:M3250 I2752:I3000 M2752:M3000 I2502:I2750 M2502:M2750 I2252:I2500 M2252:M2500 I2002:I2250 M2002:M2250 I1752:I2000 M1752:M2000 I1502:I1750 M1502:M1750 I1252:I1500 M1252:M1500 I1002:I1250 M1002:M1250 I752:I1000 M752:M1000 I502:I750 M502:M750 I4502:I4750 M4502:M4750 I4752:I5000" xr:uid="{05595CB8-149C-4511-9836-7D80824BF389}">
      <formula1>$AX$3:$AX$39</formula1>
    </dataValidation>
    <dataValidation type="list" allowBlank="1" showInputMessage="1" showErrorMessage="1" sqref="A2:A251" xr:uid="{579BC992-7852-49E6-9B43-9184C6349A05}">
      <formula1>Action</formula1>
    </dataValidation>
    <dataValidation type="list" allowBlank="1" showInputMessage="1" showErrorMessage="1" error="The information you entered is incorrect. Please select from the drop down" sqref="H2:H251" xr:uid="{3EDDFF6C-83CF-4658-A69D-032D3E966202}">
      <formula1>Company</formula1>
    </dataValidation>
    <dataValidation type="list" allowBlank="1" showInputMessage="1" showErrorMessage="1" error="The information you entered is incorrect. Please select from the drop down" sqref="I2:I251" xr:uid="{1F75C71C-CDD8-41E3-A475-4517A1EEF341}">
      <formula1>Location_Site</formula1>
    </dataValidation>
    <dataValidation type="list" allowBlank="1" showInputMessage="1" showErrorMessage="1" error="The information you entered is incorrect. Please select from the drop down" sqref="J2:J251" xr:uid="{6EE12DE9-1602-4CE5-85AB-07217098756E}">
      <formula1>Program</formula1>
    </dataValidation>
    <dataValidation type="list" allowBlank="1" showInputMessage="1" showErrorMessage="1" error="The information you entered is incorrect. Please select from the drop down" sqref="K2:K251" xr:uid="{081DC3D4-9FE0-4237-857F-C347848A4F6E}">
      <formula1>Access</formula1>
    </dataValidation>
    <dataValidation type="list" allowBlank="1" showInputMessage="1" showErrorMessage="1" error="The information you entered is incorrect. Please select from the drop down" sqref="L2:L251" xr:uid="{18F81B00-EF13-4DB2-AD92-B2436EF6388E}">
      <formula1>Channel</formula1>
    </dataValidation>
    <dataValidation type="custom" allowBlank="1" showInputMessage="1" showErrorMessage="1" errorTitle="Invalid Characters" error="Only A-Z and a-z are alowed in this field. _x000a_" sqref="O2:P251 B2:C251" xr:uid="{8E4F0672-5F76-4031-B335-F86D6357D720}">
      <formula1>ISNUMBER(SUMPRODUCT(SEARCH("~"&amp;MID(B2,ROW($1:$99),1),"abcdefghijklmnopqrstuvwxyz")))</formula1>
    </dataValidation>
    <dataValidation type="custom" allowBlank="1" showInputMessage="1" showErrorMessage="1" errorTitle="Invalid Characters" error="Only A-Z and a-z are alowed in this field. _x000a_" sqref="N2:N251 D2:D251" xr:uid="{1867F458-46B4-460E-85BF-D32CC36DB3A4}">
      <formula1>ISNUMBER(SUMPRODUCT(SEARCH("~"&amp;MID(D2,ROW($1:$99),1)," abcdefghijklmnopqrstuvwxyz")))</formula1>
    </dataValidation>
  </dataValidations>
  <hyperlinks>
    <hyperlink ref="BN18" r:id="rId1" xr:uid="{10E89B61-5939-437D-B56F-527631594E9C}"/>
    <hyperlink ref="BN17" r:id="rId2" xr:uid="{D707E9AB-1C30-4895-B548-1FDBE2C7B4EC}"/>
    <hyperlink ref="BN22" r:id="rId3" xr:uid="{62DF5C31-24BF-45B8-90BC-A3C83114E6D3}"/>
    <hyperlink ref="BN24" r:id="rId4" xr:uid="{3C5B59C1-676D-4401-80FC-8B5D1E80BDF8}"/>
    <hyperlink ref="BN23" r:id="rId5" xr:uid="{A545CE98-365F-4ED3-8FF4-EB917A24B872}"/>
    <hyperlink ref="BN25" r:id="rId6" xr:uid="{07DC8F27-54CD-4EDC-BFC5-BE60B5C6EAA6}"/>
    <hyperlink ref="BN20" r:id="rId7" xr:uid="{1607FAED-2FC6-44FE-B13E-A860EF6A5A8F}"/>
    <hyperlink ref="BN19" r:id="rId8" xr:uid="{ECBDC80C-EA9B-4D6E-933B-0E7ACE48CB79}"/>
    <hyperlink ref="BN38" r:id="rId9" display="WalmartGUAleadership@247.ai" xr:uid="{B1F1B163-2B85-4973-9D5F-A45DE1FCE1FE}"/>
    <hyperlink ref="BN37" r:id="rId10" display="WalmartGUAleadership@247.ai" xr:uid="{EF6C780B-68C4-40C5-B666-AEB227BA6A7A}"/>
    <hyperlink ref="BN39" r:id="rId11" display="WalmartGUAleadership@247.ai" xr:uid="{9F563F69-CD57-4CEB-8BAF-06902790CA3A}"/>
    <hyperlink ref="BN21" r:id="rId12" xr:uid="{4C7E0B76-8EC1-46C4-A241-1B3379AE224A}"/>
    <hyperlink ref="BN28" r:id="rId13" xr:uid="{0EC6F7E4-1AA0-471E-B018-D166195E0A78}"/>
    <hyperlink ref="BN30" r:id="rId14" xr:uid="{5984E3E4-404B-44BB-81EC-55E05AF3513C}"/>
    <hyperlink ref="BN29" r:id="rId15" xr:uid="{339F6ED6-9573-4A9F-A550-544AF59771A1}"/>
    <hyperlink ref="BN27" r:id="rId16" xr:uid="{9074E265-6B0D-4661-834E-C48750B156BF}"/>
    <hyperlink ref="BN26" r:id="rId17" xr:uid="{E8DF2C26-CEC6-4F3C-A5FB-16FC7B2A43CA}"/>
    <hyperlink ref="BN36" r:id="rId18" display="WalmartGUAleadership@247.ai" xr:uid="{E25F0C16-3702-435E-8A45-1EBDA2EAE684}"/>
    <hyperlink ref="BN31" r:id="rId19" display="WalmartGUAleadership@247.ai" xr:uid="{C548F830-3271-4D68-9D81-0430BAE503D7}"/>
    <hyperlink ref="BN118" r:id="rId20" xr:uid="{628635EF-F725-41D2-9E66-F0BC2EE51459}"/>
    <hyperlink ref="BN117" r:id="rId21" display="TegucigalpaWalmartCRPBOperations@startek.com" xr:uid="{87D1F862-48A9-407E-8F13-12F13C127EF6}"/>
    <hyperlink ref="BN156" r:id="rId22" display="mailto:Walmart_Ops-GUY@itelinternational.com" xr:uid="{7A2759B9-AFCB-4333-B4EC-D354F1865A5E}"/>
    <hyperlink ref="BN157" r:id="rId23" display="mailto:Walmart_Ops-GUY@itelinternational.com" xr:uid="{42358A63-A1F5-4896-A0CE-44ABE45F63C1}"/>
    <hyperlink ref="BN158" r:id="rId24" display="mailto:Walmart_Ops-GUY@itelinternational.com" xr:uid="{066A9317-D809-4562-8577-7F0917E5C659}"/>
    <hyperlink ref="BN164" r:id="rId25" display="mailto:wmvccpasswordreset@taskus.com" xr:uid="{65374966-AC99-4560-9413-A099FF6D8A83}"/>
    <hyperlink ref="BN165:BN166" r:id="rId26" display="mailto:wmvccpasswordreset@taskus.com" xr:uid="{FC45430C-B7C5-4662-B846-492FB322F45E}"/>
    <hyperlink ref="BN167" r:id="rId27" display="mailto:Walmart.Managers@teleperformancedibs.com" xr:uid="{41213E7A-C87C-45FA-B121-2C20F6F0A056}"/>
    <hyperlink ref="BN168:BN169" r:id="rId28" display="mailto:Walmart.Managers@teleperformancedibs.com" xr:uid="{9E343566-374F-4B41-85C9-8C5307C9AF47}"/>
    <hyperlink ref="BN176" r:id="rId29" display="mailto:WMTMNLVCCPWRESET@24-7intouch.com" xr:uid="{B1EC8E22-9C8B-4A43-A2A6-940E866A282B}"/>
    <hyperlink ref="BN177:BN178" r:id="rId30" display="mailto:WMTMNLVCCPWRESET@24-7intouch.com" xr:uid="{C3B0A138-D7CF-4378-8094-4A3AD65FB826}"/>
  </hyperlinks>
  <pageMargins left="0.7" right="0.7" top="0.75" bottom="0.75" header="0.3" footer="0.3"/>
  <pageSetup orientation="portrait" r:id="rId3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51"/>
  <sheetViews>
    <sheetView tabSelected="1" workbookViewId="0">
      <selection activeCell="E2" sqref="E2"/>
    </sheetView>
  </sheetViews>
  <sheetFormatPr defaultColWidth="21.42578125" defaultRowHeight="15" x14ac:dyDescent="0.25"/>
  <cols>
    <col min="4" max="4" width="23.7109375" bestFit="1" customWidth="1"/>
    <col min="8" max="8" width="16.85546875" customWidth="1"/>
    <col min="9" max="9" width="30.28515625" customWidth="1"/>
    <col min="10" max="12" width="11.85546875" bestFit="1" customWidth="1"/>
    <col min="13" max="17" width="12.42578125" bestFit="1" customWidth="1"/>
  </cols>
  <sheetData>
    <row r="1" spans="1:17" ht="15.75" x14ac:dyDescent="0.25">
      <c r="A1" s="2" t="s">
        <v>0</v>
      </c>
      <c r="B1" s="35" t="s">
        <v>1</v>
      </c>
      <c r="C1" s="2" t="s">
        <v>2</v>
      </c>
      <c r="D1" s="2" t="s">
        <v>339</v>
      </c>
      <c r="E1" s="2" t="s">
        <v>340</v>
      </c>
      <c r="F1" s="2" t="s">
        <v>610</v>
      </c>
      <c r="G1" s="2" t="s">
        <v>592</v>
      </c>
      <c r="H1" s="2" t="s">
        <v>341</v>
      </c>
      <c r="I1" s="2" t="s">
        <v>590</v>
      </c>
      <c r="J1" s="2" t="s">
        <v>342</v>
      </c>
      <c r="K1" s="2" t="s">
        <v>343</v>
      </c>
      <c r="L1" s="2" t="s">
        <v>344</v>
      </c>
      <c r="M1" s="2" t="s">
        <v>510</v>
      </c>
      <c r="N1" s="2" t="s">
        <v>511</v>
      </c>
      <c r="O1" s="2" t="s">
        <v>512</v>
      </c>
      <c r="P1" s="2" t="s">
        <v>513</v>
      </c>
      <c r="Q1" s="2" t="s">
        <v>514</v>
      </c>
    </row>
    <row r="2" spans="1:17" x14ac:dyDescent="0.25">
      <c r="A2" t="str">
        <f>TRIM('Account Creation'!D2)</f>
        <v>Ramirez</v>
      </c>
      <c r="B2" t="str">
        <f>TRIM('Account Creation'!C2)</f>
        <v>Jose</v>
      </c>
      <c r="C2" t="str">
        <f>TRIM('Account Creation'!B2)</f>
        <v>Cristian</v>
      </c>
      <c r="D2" t="s">
        <v>1182</v>
      </c>
      <c r="F2" t="str">
        <f>'Account Creation'!H2</f>
        <v>24-7 Intouch</v>
      </c>
      <c r="G2" t="str">
        <f>'Account Creation'!I2</f>
        <v>Guatemala City</v>
      </c>
      <c r="H2" t="str">
        <f>'Account Creation'!K2</f>
        <v>Agent</v>
      </c>
      <c r="I2" t="str">
        <f>'Account Creation'!J2</f>
        <v>WMCOM</v>
      </c>
    </row>
    <row r="3" spans="1:17" x14ac:dyDescent="0.25">
      <c r="A3" t="str">
        <f>TRIM('Account Creation'!D3)</f>
        <v>Garcia</v>
      </c>
      <c r="B3" t="str">
        <f>TRIM('Account Creation'!C3)</f>
        <v>Gabriela</v>
      </c>
      <c r="C3" t="str">
        <f>TRIM('Account Creation'!B3)</f>
        <v>Claudia</v>
      </c>
      <c r="D3" t="s">
        <v>1183</v>
      </c>
      <c r="F3" t="str">
        <f>'Account Creation'!H3</f>
        <v>24-7 Intouch</v>
      </c>
      <c r="G3" t="str">
        <f>'Account Creation'!I3</f>
        <v>Guatemala City</v>
      </c>
      <c r="H3" t="str">
        <f>'Account Creation'!K3</f>
        <v>Agent</v>
      </c>
      <c r="I3" t="str">
        <f>'Account Creation'!J3</f>
        <v>WMCOM</v>
      </c>
    </row>
    <row r="4" spans="1:17" x14ac:dyDescent="0.25">
      <c r="A4" t="str">
        <f>TRIM('Account Creation'!D4)</f>
        <v>Hernandez</v>
      </c>
      <c r="B4" t="str">
        <f>TRIM('Account Creation'!C4)</f>
        <v>Fernando</v>
      </c>
      <c r="C4" t="str">
        <f>TRIM('Account Creation'!B4)</f>
        <v>Luis</v>
      </c>
      <c r="D4" t="s">
        <v>1184</v>
      </c>
      <c r="F4" t="str">
        <f>'Account Creation'!H4</f>
        <v>24-7 Intouch</v>
      </c>
      <c r="G4" t="str">
        <f>'Account Creation'!I4</f>
        <v>Guatemala City</v>
      </c>
      <c r="H4" t="str">
        <f>'Account Creation'!K4</f>
        <v>Agent</v>
      </c>
      <c r="I4" t="str">
        <f>'Account Creation'!J4</f>
        <v>WMCOM</v>
      </c>
    </row>
    <row r="5" spans="1:17" x14ac:dyDescent="0.25">
      <c r="A5" t="str">
        <f>TRIM('Account Creation'!D5)</f>
        <v>Marroquin</v>
      </c>
      <c r="B5" t="str">
        <f>TRIM('Account Creation'!C5)</f>
        <v>Bernice</v>
      </c>
      <c r="C5" t="str">
        <f>TRIM('Account Creation'!B5)</f>
        <v>Sofia</v>
      </c>
      <c r="D5" t="s">
        <v>1185</v>
      </c>
      <c r="F5" t="str">
        <f>'Account Creation'!H5</f>
        <v>24-7 Intouch</v>
      </c>
      <c r="G5" t="str">
        <f>'Account Creation'!I5</f>
        <v>Guatemala City</v>
      </c>
      <c r="H5" t="str">
        <f>'Account Creation'!K5</f>
        <v>Agent</v>
      </c>
      <c r="I5" t="str">
        <f>'Account Creation'!J5</f>
        <v>WMCOM</v>
      </c>
    </row>
    <row r="6" spans="1:17" x14ac:dyDescent="0.25">
      <c r="A6" t="str">
        <f>TRIM('Account Creation'!D6)</f>
        <v>Zamora</v>
      </c>
      <c r="B6" t="str">
        <f>TRIM('Account Creation'!C6)</f>
        <v>Benjamin</v>
      </c>
      <c r="C6" t="str">
        <f>TRIM('Account Creation'!B6)</f>
        <v>Guillermo</v>
      </c>
      <c r="D6" t="s">
        <v>1186</v>
      </c>
      <c r="F6" t="str">
        <f>'Account Creation'!H6</f>
        <v>24-7 Intouch</v>
      </c>
      <c r="G6" t="str">
        <f>'Account Creation'!I6</f>
        <v>Guatemala City</v>
      </c>
      <c r="H6" t="str">
        <f>'Account Creation'!K6</f>
        <v>Agent</v>
      </c>
      <c r="I6" t="str">
        <f>'Account Creation'!J6</f>
        <v>WMCOM</v>
      </c>
    </row>
    <row r="7" spans="1:17" x14ac:dyDescent="0.25">
      <c r="A7" t="str">
        <f>TRIM('Account Creation'!D7)</f>
        <v>Santizo</v>
      </c>
      <c r="B7" t="str">
        <f>TRIM('Account Creation'!C7)</f>
        <v>Gabriela</v>
      </c>
      <c r="C7" t="str">
        <f>TRIM('Account Creation'!B7)</f>
        <v>Katherine</v>
      </c>
      <c r="D7" t="s">
        <v>1187</v>
      </c>
      <c r="F7" t="str">
        <f>'Account Creation'!H7</f>
        <v>24-7 Intouch</v>
      </c>
      <c r="G7" t="str">
        <f>'Account Creation'!I7</f>
        <v>Guatemala City</v>
      </c>
      <c r="H7" t="str">
        <f>'Account Creation'!K7</f>
        <v>Agent</v>
      </c>
      <c r="I7" t="str">
        <f>'Account Creation'!J7</f>
        <v>WMCOM</v>
      </c>
    </row>
    <row r="8" spans="1:17" x14ac:dyDescent="0.25">
      <c r="A8" t="str">
        <f>TRIM('Account Creation'!D8)</f>
        <v>Manrique</v>
      </c>
      <c r="B8" t="str">
        <f>TRIM('Account Creation'!C8)</f>
        <v>David</v>
      </c>
      <c r="C8" t="str">
        <f>TRIM('Account Creation'!B8)</f>
        <v>Josue</v>
      </c>
      <c r="D8" t="s">
        <v>1188</v>
      </c>
      <c r="F8" t="str">
        <f>'Account Creation'!H8</f>
        <v>24-7 Intouch</v>
      </c>
      <c r="G8" t="str">
        <f>'Account Creation'!I8</f>
        <v>Guatemala City</v>
      </c>
      <c r="H8" t="str">
        <f>'Account Creation'!K8</f>
        <v>Agent</v>
      </c>
      <c r="I8" t="str">
        <f>'Account Creation'!J8</f>
        <v>WMCOM</v>
      </c>
    </row>
    <row r="9" spans="1:17" x14ac:dyDescent="0.25">
      <c r="A9" t="str">
        <f>TRIM('Account Creation'!D9)</f>
        <v>Hernandez</v>
      </c>
      <c r="B9" t="str">
        <f>TRIM('Account Creation'!C9)</f>
        <v>Carolina</v>
      </c>
      <c r="C9" t="str">
        <f>TRIM('Account Creation'!B9)</f>
        <v>Kristtel</v>
      </c>
      <c r="D9" t="s">
        <v>1189</v>
      </c>
      <c r="F9" t="str">
        <f>'Account Creation'!H9</f>
        <v>24-7 Intouch</v>
      </c>
      <c r="G9" t="str">
        <f>'Account Creation'!I9</f>
        <v>Guatemala City</v>
      </c>
      <c r="H9" t="str">
        <f>'Account Creation'!K9</f>
        <v>Agent</v>
      </c>
      <c r="I9" t="str">
        <f>'Account Creation'!J9</f>
        <v>WMCOM</v>
      </c>
    </row>
    <row r="10" spans="1:17" x14ac:dyDescent="0.25">
      <c r="A10" t="str">
        <f>TRIM('Account Creation'!D10)</f>
        <v>Flores</v>
      </c>
      <c r="B10" t="str">
        <f>TRIM('Account Creation'!C10)</f>
        <v>Pablo</v>
      </c>
      <c r="C10" t="str">
        <f>TRIM('Account Creation'!B10)</f>
        <v>Juan</v>
      </c>
      <c r="D10" t="s">
        <v>1190</v>
      </c>
      <c r="F10" t="str">
        <f>'Account Creation'!H10</f>
        <v>24-7 Intouch</v>
      </c>
      <c r="G10" t="str">
        <f>'Account Creation'!I10</f>
        <v>Guatemala City</v>
      </c>
      <c r="H10" t="str">
        <f>'Account Creation'!K10</f>
        <v>Agent</v>
      </c>
      <c r="I10" t="str">
        <f>'Account Creation'!J10</f>
        <v>WMCOM</v>
      </c>
    </row>
    <row r="11" spans="1:17" x14ac:dyDescent="0.25">
      <c r="A11" t="str">
        <f>TRIM('Account Creation'!D11)</f>
        <v>Morales</v>
      </c>
      <c r="B11" t="str">
        <f>TRIM('Account Creation'!C11)</f>
        <v>Adolfo</v>
      </c>
      <c r="C11" t="str">
        <f>TRIM('Account Creation'!B11)</f>
        <v>Gabriel</v>
      </c>
      <c r="D11" t="s">
        <v>1191</v>
      </c>
      <c r="F11" t="str">
        <f>'Account Creation'!H11</f>
        <v>24-7 Intouch</v>
      </c>
      <c r="G11" t="str">
        <f>'Account Creation'!I11</f>
        <v>Guatemala City</v>
      </c>
      <c r="H11" t="str">
        <f>'Account Creation'!K11</f>
        <v>Agent</v>
      </c>
      <c r="I11" t="str">
        <f>'Account Creation'!J11</f>
        <v>WMCOM</v>
      </c>
    </row>
    <row r="12" spans="1:17" x14ac:dyDescent="0.25">
      <c r="A12" t="str">
        <f>TRIM('Account Creation'!D12)</f>
        <v>De Leon</v>
      </c>
      <c r="B12" t="str">
        <f>TRIM('Account Creation'!C12)</f>
        <v>Isabel</v>
      </c>
      <c r="C12" t="str">
        <f>TRIM('Account Creation'!B12)</f>
        <v>Mercedez</v>
      </c>
      <c r="D12" t="s">
        <v>1192</v>
      </c>
      <c r="F12" t="str">
        <f>'Account Creation'!H12</f>
        <v>24-7 Intouch</v>
      </c>
      <c r="G12" t="str">
        <f>'Account Creation'!I12</f>
        <v>Guatemala City</v>
      </c>
      <c r="H12" t="str">
        <f>'Account Creation'!K12</f>
        <v>Agent</v>
      </c>
      <c r="I12" t="str">
        <f>'Account Creation'!J12</f>
        <v>WMCOM</v>
      </c>
    </row>
    <row r="13" spans="1:17" x14ac:dyDescent="0.25">
      <c r="A13" t="str">
        <f>TRIM('Account Creation'!D13)</f>
        <v>Prera</v>
      </c>
      <c r="B13" t="str">
        <f>TRIM('Account Creation'!C13)</f>
        <v>Andres</v>
      </c>
      <c r="C13" t="str">
        <f>TRIM('Account Creation'!B13)</f>
        <v>Eduardo</v>
      </c>
      <c r="D13" t="s">
        <v>1193</v>
      </c>
      <c r="F13" t="str">
        <f>'Account Creation'!H13</f>
        <v>24-7 Intouch</v>
      </c>
      <c r="G13" t="str">
        <f>'Account Creation'!I13</f>
        <v>Guatemala City</v>
      </c>
      <c r="H13" t="str">
        <f>'Account Creation'!K13</f>
        <v>Agent</v>
      </c>
      <c r="I13" t="str">
        <f>'Account Creation'!J13</f>
        <v>WMCOM</v>
      </c>
    </row>
    <row r="14" spans="1:17" x14ac:dyDescent="0.25">
      <c r="A14" t="str">
        <f>TRIM('Account Creation'!D14)</f>
        <v>Abal</v>
      </c>
      <c r="B14" t="str">
        <f>TRIM('Account Creation'!C14)</f>
        <v>Johana</v>
      </c>
      <c r="C14" t="str">
        <f>TRIM('Account Creation'!B14)</f>
        <v>Madelin</v>
      </c>
      <c r="D14" t="s">
        <v>1194</v>
      </c>
      <c r="F14" t="str">
        <f>'Account Creation'!H14</f>
        <v>24-7 Intouch</v>
      </c>
      <c r="G14" t="str">
        <f>'Account Creation'!I14</f>
        <v>Guatemala City</v>
      </c>
      <c r="H14" t="str">
        <f>'Account Creation'!K14</f>
        <v>Agent</v>
      </c>
      <c r="I14" t="str">
        <f>'Account Creation'!J14</f>
        <v>WMCOM</v>
      </c>
    </row>
    <row r="15" spans="1:17" x14ac:dyDescent="0.25">
      <c r="A15" t="str">
        <f>TRIM('Account Creation'!D15)</f>
        <v>Calicio</v>
      </c>
      <c r="B15" t="str">
        <f>TRIM('Account Creation'!C15)</f>
        <v>Priscila</v>
      </c>
      <c r="C15" t="str">
        <f>TRIM('Account Creation'!B15)</f>
        <v>Dyana</v>
      </c>
      <c r="D15" t="s">
        <v>1195</v>
      </c>
      <c r="F15" t="str">
        <f>'Account Creation'!H15</f>
        <v>24-7 Intouch</v>
      </c>
      <c r="G15" t="str">
        <f>'Account Creation'!I15</f>
        <v>Guatemala City</v>
      </c>
      <c r="H15" t="str">
        <f>'Account Creation'!K15</f>
        <v>Agent</v>
      </c>
      <c r="I15" t="str">
        <f>'Account Creation'!J15</f>
        <v>WMCOM</v>
      </c>
    </row>
    <row r="16" spans="1:17" x14ac:dyDescent="0.25">
      <c r="A16" t="str">
        <f>TRIM('Account Creation'!D16)</f>
        <v>Arango</v>
      </c>
      <c r="B16" t="str">
        <f>TRIM('Account Creation'!C16)</f>
        <v>Virginia</v>
      </c>
      <c r="C16" t="str">
        <f>TRIM('Account Creation'!B16)</f>
        <v>Sandra</v>
      </c>
      <c r="D16" t="s">
        <v>1196</v>
      </c>
      <c r="F16" t="str">
        <f>'Account Creation'!H16</f>
        <v>24-7 Intouch</v>
      </c>
      <c r="G16" t="str">
        <f>'Account Creation'!I16</f>
        <v>Guatemala City</v>
      </c>
      <c r="H16" t="str">
        <f>'Account Creation'!K16</f>
        <v>Agent</v>
      </c>
      <c r="I16" t="str">
        <f>'Account Creation'!J16</f>
        <v>WMCOM</v>
      </c>
    </row>
    <row r="17" spans="1:9" x14ac:dyDescent="0.25">
      <c r="A17" t="str">
        <f>TRIM('Account Creation'!D17)</f>
        <v/>
      </c>
      <c r="B17" t="str">
        <f>TRIM('Account Creation'!C17)</f>
        <v/>
      </c>
      <c r="C17" t="str">
        <f>TRIM('Account Creation'!B17)</f>
        <v/>
      </c>
      <c r="D17" s="14"/>
      <c r="F17">
        <f>'Account Creation'!H17</f>
        <v>0</v>
      </c>
      <c r="G17">
        <f>'Account Creation'!I17</f>
        <v>0</v>
      </c>
      <c r="H17">
        <f>'Account Creation'!K17</f>
        <v>0</v>
      </c>
      <c r="I17">
        <f>'Account Creation'!J17</f>
        <v>0</v>
      </c>
    </row>
    <row r="18" spans="1:9" x14ac:dyDescent="0.25">
      <c r="A18" t="str">
        <f>TRIM('Account Creation'!D18)</f>
        <v/>
      </c>
      <c r="B18" t="str">
        <f>TRIM('Account Creation'!C18)</f>
        <v/>
      </c>
      <c r="C18" t="str">
        <f>TRIM('Account Creation'!B18)</f>
        <v/>
      </c>
      <c r="D18" s="14"/>
      <c r="F18">
        <f>'Account Creation'!H18</f>
        <v>0</v>
      </c>
      <c r="G18">
        <f>'Account Creation'!I18</f>
        <v>0</v>
      </c>
      <c r="H18">
        <f>'Account Creation'!K18</f>
        <v>0</v>
      </c>
      <c r="I18">
        <f>'Account Creation'!J18</f>
        <v>0</v>
      </c>
    </row>
    <row r="19" spans="1:9" x14ac:dyDescent="0.25">
      <c r="A19" t="str">
        <f>TRIM('Account Creation'!D19)</f>
        <v/>
      </c>
      <c r="B19" t="str">
        <f>TRIM('Account Creation'!C19)</f>
        <v/>
      </c>
      <c r="C19" t="str">
        <f>TRIM('Account Creation'!B19)</f>
        <v/>
      </c>
      <c r="D19" s="14"/>
      <c r="F19">
        <f>'Account Creation'!H19</f>
        <v>0</v>
      </c>
      <c r="G19">
        <f>'Account Creation'!I19</f>
        <v>0</v>
      </c>
      <c r="H19">
        <f>'Account Creation'!K19</f>
        <v>0</v>
      </c>
      <c r="I19">
        <f>'Account Creation'!J19</f>
        <v>0</v>
      </c>
    </row>
    <row r="20" spans="1:9" x14ac:dyDescent="0.25">
      <c r="A20" t="str">
        <f>TRIM('Account Creation'!D20)</f>
        <v/>
      </c>
      <c r="B20" t="str">
        <f>TRIM('Account Creation'!C20)</f>
        <v/>
      </c>
      <c r="C20" t="str">
        <f>TRIM('Account Creation'!B20)</f>
        <v/>
      </c>
      <c r="D20" s="14"/>
      <c r="F20">
        <f>'Account Creation'!H20</f>
        <v>0</v>
      </c>
      <c r="G20">
        <f>'Account Creation'!I20</f>
        <v>0</v>
      </c>
      <c r="H20">
        <f>'Account Creation'!K20</f>
        <v>0</v>
      </c>
      <c r="I20">
        <f>'Account Creation'!J20</f>
        <v>0</v>
      </c>
    </row>
    <row r="21" spans="1:9" x14ac:dyDescent="0.25">
      <c r="A21" t="str">
        <f>TRIM('Account Creation'!D21)</f>
        <v/>
      </c>
      <c r="B21" t="str">
        <f>TRIM('Account Creation'!C21)</f>
        <v/>
      </c>
      <c r="C21" t="str">
        <f>TRIM('Account Creation'!B21)</f>
        <v/>
      </c>
      <c r="D21" s="14"/>
      <c r="F21">
        <f>'Account Creation'!H21</f>
        <v>0</v>
      </c>
      <c r="G21">
        <f>'Account Creation'!I21</f>
        <v>0</v>
      </c>
      <c r="H21">
        <f>'Account Creation'!K21</f>
        <v>0</v>
      </c>
      <c r="I21">
        <f>'Account Creation'!J21</f>
        <v>0</v>
      </c>
    </row>
    <row r="22" spans="1:9" x14ac:dyDescent="0.25">
      <c r="A22" t="str">
        <f>TRIM('Account Creation'!D22)</f>
        <v/>
      </c>
      <c r="B22" t="str">
        <f>TRIM('Account Creation'!C22)</f>
        <v/>
      </c>
      <c r="C22" t="str">
        <f>TRIM('Account Creation'!B22)</f>
        <v/>
      </c>
      <c r="D22" s="14"/>
      <c r="F22">
        <f>'Account Creation'!H22</f>
        <v>0</v>
      </c>
      <c r="G22">
        <f>'Account Creation'!I22</f>
        <v>0</v>
      </c>
      <c r="H22">
        <f>'Account Creation'!K22</f>
        <v>0</v>
      </c>
      <c r="I22">
        <f>'Account Creation'!J22</f>
        <v>0</v>
      </c>
    </row>
    <row r="23" spans="1:9" x14ac:dyDescent="0.25">
      <c r="A23" t="str">
        <f>TRIM('Account Creation'!D23)</f>
        <v/>
      </c>
      <c r="B23" t="str">
        <f>TRIM('Account Creation'!C23)</f>
        <v/>
      </c>
      <c r="C23" t="str">
        <f>TRIM('Account Creation'!B23)</f>
        <v/>
      </c>
      <c r="D23" s="14"/>
      <c r="F23">
        <f>'Account Creation'!H23</f>
        <v>0</v>
      </c>
      <c r="G23">
        <f>'Account Creation'!I23</f>
        <v>0</v>
      </c>
      <c r="H23">
        <f>'Account Creation'!K23</f>
        <v>0</v>
      </c>
      <c r="I23">
        <f>'Account Creation'!J23</f>
        <v>0</v>
      </c>
    </row>
    <row r="24" spans="1:9" x14ac:dyDescent="0.25">
      <c r="A24" t="str">
        <f>TRIM('Account Creation'!D24)</f>
        <v/>
      </c>
      <c r="B24" t="str">
        <f>TRIM('Account Creation'!C24)</f>
        <v/>
      </c>
      <c r="C24" t="str">
        <f>TRIM('Account Creation'!B24)</f>
        <v/>
      </c>
      <c r="D24" s="14"/>
      <c r="F24">
        <f>'Account Creation'!H24</f>
        <v>0</v>
      </c>
      <c r="G24">
        <f>'Account Creation'!I24</f>
        <v>0</v>
      </c>
      <c r="H24">
        <f>'Account Creation'!K24</f>
        <v>0</v>
      </c>
      <c r="I24">
        <f>'Account Creation'!J24</f>
        <v>0</v>
      </c>
    </row>
    <row r="25" spans="1:9" x14ac:dyDescent="0.25">
      <c r="A25" t="str">
        <f>TRIM('Account Creation'!D25)</f>
        <v/>
      </c>
      <c r="B25" t="str">
        <f>TRIM('Account Creation'!C25)</f>
        <v/>
      </c>
      <c r="C25" t="str">
        <f>TRIM('Account Creation'!B25)</f>
        <v/>
      </c>
      <c r="D25" s="14"/>
      <c r="F25">
        <f>'Account Creation'!H25</f>
        <v>0</v>
      </c>
      <c r="G25">
        <f>'Account Creation'!I25</f>
        <v>0</v>
      </c>
      <c r="H25">
        <f>'Account Creation'!K25</f>
        <v>0</v>
      </c>
      <c r="I25">
        <f>'Account Creation'!J25</f>
        <v>0</v>
      </c>
    </row>
    <row r="26" spans="1:9" x14ac:dyDescent="0.25">
      <c r="A26" t="str">
        <f>TRIM('Account Creation'!D26)</f>
        <v/>
      </c>
      <c r="B26" t="str">
        <f>TRIM('Account Creation'!C26)</f>
        <v/>
      </c>
      <c r="C26" t="str">
        <f>TRIM('Account Creation'!B26)</f>
        <v/>
      </c>
      <c r="D26" s="14"/>
      <c r="F26">
        <f>'Account Creation'!H26</f>
        <v>0</v>
      </c>
      <c r="G26">
        <f>'Account Creation'!I26</f>
        <v>0</v>
      </c>
      <c r="H26">
        <f>'Account Creation'!K26</f>
        <v>0</v>
      </c>
      <c r="I26">
        <f>'Account Creation'!J26</f>
        <v>0</v>
      </c>
    </row>
    <row r="27" spans="1:9" x14ac:dyDescent="0.25">
      <c r="A27" t="str">
        <f>TRIM('Account Creation'!D27)</f>
        <v/>
      </c>
      <c r="B27" t="str">
        <f>TRIM('Account Creation'!C27)</f>
        <v/>
      </c>
      <c r="C27" t="str">
        <f>TRIM('Account Creation'!B27)</f>
        <v/>
      </c>
      <c r="D27" s="14"/>
      <c r="F27">
        <f>'Account Creation'!H27</f>
        <v>0</v>
      </c>
      <c r="G27">
        <f>'Account Creation'!I27</f>
        <v>0</v>
      </c>
      <c r="H27">
        <f>'Account Creation'!K27</f>
        <v>0</v>
      </c>
      <c r="I27">
        <f>'Account Creation'!J27</f>
        <v>0</v>
      </c>
    </row>
    <row r="28" spans="1:9" x14ac:dyDescent="0.25">
      <c r="A28" t="str">
        <f>TRIM('Account Creation'!D28)</f>
        <v/>
      </c>
      <c r="B28" t="str">
        <f>TRIM('Account Creation'!C28)</f>
        <v/>
      </c>
      <c r="C28" t="str">
        <f>TRIM('Account Creation'!B28)</f>
        <v/>
      </c>
      <c r="D28" s="14"/>
      <c r="F28">
        <f>'Account Creation'!H28</f>
        <v>0</v>
      </c>
      <c r="G28">
        <f>'Account Creation'!I28</f>
        <v>0</v>
      </c>
      <c r="H28">
        <f>'Account Creation'!K28</f>
        <v>0</v>
      </c>
      <c r="I28">
        <f>'Account Creation'!J28</f>
        <v>0</v>
      </c>
    </row>
    <row r="29" spans="1:9" x14ac:dyDescent="0.25">
      <c r="A29" t="str">
        <f>TRIM('Account Creation'!D29)</f>
        <v/>
      </c>
      <c r="B29" t="str">
        <f>TRIM('Account Creation'!C29)</f>
        <v/>
      </c>
      <c r="C29" t="str">
        <f>TRIM('Account Creation'!B29)</f>
        <v/>
      </c>
      <c r="D29" s="14"/>
      <c r="F29">
        <f>'Account Creation'!H29</f>
        <v>0</v>
      </c>
      <c r="G29">
        <f>'Account Creation'!I29</f>
        <v>0</v>
      </c>
      <c r="H29">
        <f>'Account Creation'!K29</f>
        <v>0</v>
      </c>
      <c r="I29">
        <f>'Account Creation'!J29</f>
        <v>0</v>
      </c>
    </row>
    <row r="30" spans="1:9" x14ac:dyDescent="0.25">
      <c r="A30" t="str">
        <f>TRIM('Account Creation'!D30)</f>
        <v/>
      </c>
      <c r="B30" t="str">
        <f>TRIM('Account Creation'!C30)</f>
        <v/>
      </c>
      <c r="C30" t="str">
        <f>TRIM('Account Creation'!B30)</f>
        <v/>
      </c>
      <c r="D30" s="14"/>
      <c r="F30">
        <f>'Account Creation'!H30</f>
        <v>0</v>
      </c>
      <c r="G30">
        <f>'Account Creation'!I30</f>
        <v>0</v>
      </c>
      <c r="H30">
        <f>'Account Creation'!K30</f>
        <v>0</v>
      </c>
      <c r="I30">
        <f>'Account Creation'!J30</f>
        <v>0</v>
      </c>
    </row>
    <row r="31" spans="1:9" x14ac:dyDescent="0.25">
      <c r="A31" t="str">
        <f>TRIM('Account Creation'!D31)</f>
        <v/>
      </c>
      <c r="B31" t="str">
        <f>TRIM('Account Creation'!C31)</f>
        <v/>
      </c>
      <c r="C31" t="str">
        <f>TRIM('Account Creation'!B31)</f>
        <v/>
      </c>
      <c r="D31" s="14"/>
      <c r="F31">
        <f>'Account Creation'!H31</f>
        <v>0</v>
      </c>
      <c r="G31">
        <f>'Account Creation'!I31</f>
        <v>0</v>
      </c>
      <c r="H31">
        <f>'Account Creation'!K31</f>
        <v>0</v>
      </c>
      <c r="I31">
        <f>'Account Creation'!J31</f>
        <v>0</v>
      </c>
    </row>
    <row r="32" spans="1:9" x14ac:dyDescent="0.25">
      <c r="A32" t="str">
        <f>TRIM('Account Creation'!D32)</f>
        <v/>
      </c>
      <c r="B32" t="str">
        <f>TRIM('Account Creation'!C32)</f>
        <v/>
      </c>
      <c r="C32" t="str">
        <f>TRIM('Account Creation'!B32)</f>
        <v/>
      </c>
      <c r="D32" s="14"/>
      <c r="F32">
        <f>'Account Creation'!H32</f>
        <v>0</v>
      </c>
      <c r="G32">
        <f>'Account Creation'!I32</f>
        <v>0</v>
      </c>
      <c r="H32">
        <f>'Account Creation'!K32</f>
        <v>0</v>
      </c>
      <c r="I32">
        <f>'Account Creation'!J32</f>
        <v>0</v>
      </c>
    </row>
    <row r="33" spans="1:9" x14ac:dyDescent="0.25">
      <c r="A33" t="str">
        <f>TRIM('Account Creation'!D33)</f>
        <v/>
      </c>
      <c r="B33" t="str">
        <f>TRIM('Account Creation'!C33)</f>
        <v/>
      </c>
      <c r="C33" t="str">
        <f>TRIM('Account Creation'!B33)</f>
        <v/>
      </c>
      <c r="D33" s="14"/>
      <c r="F33">
        <f>'Account Creation'!H33</f>
        <v>0</v>
      </c>
      <c r="G33">
        <f>'Account Creation'!I33</f>
        <v>0</v>
      </c>
      <c r="H33">
        <f>'Account Creation'!K33</f>
        <v>0</v>
      </c>
      <c r="I33">
        <f>'Account Creation'!J33</f>
        <v>0</v>
      </c>
    </row>
    <row r="34" spans="1:9" x14ac:dyDescent="0.25">
      <c r="A34" t="str">
        <f>TRIM('Account Creation'!D34)</f>
        <v/>
      </c>
      <c r="B34" t="str">
        <f>TRIM('Account Creation'!C34)</f>
        <v/>
      </c>
      <c r="C34" t="str">
        <f>TRIM('Account Creation'!B34)</f>
        <v/>
      </c>
      <c r="D34" s="14"/>
      <c r="F34">
        <f>'Account Creation'!H34</f>
        <v>0</v>
      </c>
      <c r="G34">
        <f>'Account Creation'!I34</f>
        <v>0</v>
      </c>
      <c r="H34">
        <f>'Account Creation'!K34</f>
        <v>0</v>
      </c>
      <c r="I34">
        <f>'Account Creation'!J34</f>
        <v>0</v>
      </c>
    </row>
    <row r="35" spans="1:9" x14ac:dyDescent="0.25">
      <c r="A35" t="str">
        <f>TRIM('Account Creation'!D35)</f>
        <v/>
      </c>
      <c r="B35" t="str">
        <f>TRIM('Account Creation'!C35)</f>
        <v/>
      </c>
      <c r="C35" t="str">
        <f>TRIM('Account Creation'!B35)</f>
        <v/>
      </c>
      <c r="D35" s="14"/>
      <c r="F35">
        <f>'Account Creation'!H35</f>
        <v>0</v>
      </c>
      <c r="G35">
        <f>'Account Creation'!I35</f>
        <v>0</v>
      </c>
      <c r="H35">
        <f>'Account Creation'!K35</f>
        <v>0</v>
      </c>
      <c r="I35">
        <f>'Account Creation'!J35</f>
        <v>0</v>
      </c>
    </row>
    <row r="36" spans="1:9" x14ac:dyDescent="0.25">
      <c r="A36" t="str">
        <f>TRIM('Account Creation'!D36)</f>
        <v/>
      </c>
      <c r="B36" t="str">
        <f>TRIM('Account Creation'!C36)</f>
        <v/>
      </c>
      <c r="C36" t="str">
        <f>TRIM('Account Creation'!B36)</f>
        <v/>
      </c>
      <c r="D36" s="14"/>
      <c r="F36">
        <f>'Account Creation'!H36</f>
        <v>0</v>
      </c>
      <c r="G36">
        <f>'Account Creation'!I36</f>
        <v>0</v>
      </c>
      <c r="H36">
        <f>'Account Creation'!K36</f>
        <v>0</v>
      </c>
      <c r="I36">
        <f>'Account Creation'!J36</f>
        <v>0</v>
      </c>
    </row>
    <row r="37" spans="1:9" x14ac:dyDescent="0.25">
      <c r="A37" t="str">
        <f>TRIM('Account Creation'!D37)</f>
        <v/>
      </c>
      <c r="B37" t="str">
        <f>TRIM('Account Creation'!C37)</f>
        <v/>
      </c>
      <c r="C37" t="str">
        <f>TRIM('Account Creation'!B37)</f>
        <v/>
      </c>
      <c r="D37" s="14"/>
      <c r="F37">
        <f>'Account Creation'!H37</f>
        <v>0</v>
      </c>
      <c r="G37">
        <f>'Account Creation'!I37</f>
        <v>0</v>
      </c>
      <c r="H37">
        <f>'Account Creation'!K37</f>
        <v>0</v>
      </c>
      <c r="I37">
        <f>'Account Creation'!J37</f>
        <v>0</v>
      </c>
    </row>
    <row r="38" spans="1:9" x14ac:dyDescent="0.25">
      <c r="A38" t="str">
        <f>TRIM('Account Creation'!D38)</f>
        <v/>
      </c>
      <c r="B38" t="str">
        <f>TRIM('Account Creation'!C38)</f>
        <v/>
      </c>
      <c r="C38" t="str">
        <f>TRIM('Account Creation'!B38)</f>
        <v/>
      </c>
      <c r="D38" s="14"/>
      <c r="F38">
        <f>'Account Creation'!H38</f>
        <v>0</v>
      </c>
      <c r="G38">
        <f>'Account Creation'!I38</f>
        <v>0</v>
      </c>
      <c r="H38">
        <f>'Account Creation'!K38</f>
        <v>0</v>
      </c>
      <c r="I38">
        <f>'Account Creation'!J38</f>
        <v>0</v>
      </c>
    </row>
    <row r="39" spans="1:9" x14ac:dyDescent="0.25">
      <c r="A39" t="str">
        <f>TRIM('Account Creation'!D39)</f>
        <v/>
      </c>
      <c r="B39" t="str">
        <f>TRIM('Account Creation'!C39)</f>
        <v/>
      </c>
      <c r="C39" t="str">
        <f>TRIM('Account Creation'!B39)</f>
        <v/>
      </c>
      <c r="D39" s="14"/>
      <c r="F39">
        <f>'Account Creation'!H39</f>
        <v>0</v>
      </c>
      <c r="G39">
        <f>'Account Creation'!I39</f>
        <v>0</v>
      </c>
      <c r="H39">
        <f>'Account Creation'!K39</f>
        <v>0</v>
      </c>
      <c r="I39">
        <f>'Account Creation'!J39</f>
        <v>0</v>
      </c>
    </row>
    <row r="40" spans="1:9" x14ac:dyDescent="0.25">
      <c r="A40" t="str">
        <f>TRIM('Account Creation'!D40)</f>
        <v/>
      </c>
      <c r="B40" t="str">
        <f>TRIM('Account Creation'!C40)</f>
        <v/>
      </c>
      <c r="C40" t="str">
        <f>TRIM('Account Creation'!B40)</f>
        <v/>
      </c>
      <c r="D40" s="14"/>
      <c r="F40">
        <f>'Account Creation'!H40</f>
        <v>0</v>
      </c>
      <c r="G40">
        <f>'Account Creation'!I40</f>
        <v>0</v>
      </c>
      <c r="H40">
        <f>'Account Creation'!K40</f>
        <v>0</v>
      </c>
      <c r="I40">
        <f>'Account Creation'!J40</f>
        <v>0</v>
      </c>
    </row>
    <row r="41" spans="1:9" x14ac:dyDescent="0.25">
      <c r="A41" t="str">
        <f>TRIM('Account Creation'!D41)</f>
        <v/>
      </c>
      <c r="B41" t="str">
        <f>TRIM('Account Creation'!C41)</f>
        <v/>
      </c>
      <c r="C41" t="str">
        <f>TRIM('Account Creation'!B41)</f>
        <v/>
      </c>
      <c r="D41" s="14"/>
      <c r="F41">
        <f>'Account Creation'!H41</f>
        <v>0</v>
      </c>
      <c r="G41">
        <f>'Account Creation'!I41</f>
        <v>0</v>
      </c>
      <c r="H41">
        <f>'Account Creation'!K41</f>
        <v>0</v>
      </c>
      <c r="I41">
        <f>'Account Creation'!J41</f>
        <v>0</v>
      </c>
    </row>
    <row r="42" spans="1:9" x14ac:dyDescent="0.25">
      <c r="A42" t="str">
        <f>TRIM('Account Creation'!D42)</f>
        <v/>
      </c>
      <c r="B42" t="str">
        <f>TRIM('Account Creation'!C42)</f>
        <v/>
      </c>
      <c r="C42" t="str">
        <f>TRIM('Account Creation'!B42)</f>
        <v/>
      </c>
      <c r="D42" s="14"/>
      <c r="F42">
        <f>'Account Creation'!H42</f>
        <v>0</v>
      </c>
      <c r="G42">
        <f>'Account Creation'!I42</f>
        <v>0</v>
      </c>
      <c r="H42">
        <f>'Account Creation'!K42</f>
        <v>0</v>
      </c>
      <c r="I42">
        <f>'Account Creation'!J42</f>
        <v>0</v>
      </c>
    </row>
    <row r="43" spans="1:9" x14ac:dyDescent="0.25">
      <c r="A43" t="str">
        <f>TRIM('Account Creation'!D43)</f>
        <v/>
      </c>
      <c r="B43" t="str">
        <f>TRIM('Account Creation'!C43)</f>
        <v/>
      </c>
      <c r="C43" t="str">
        <f>TRIM('Account Creation'!B43)</f>
        <v/>
      </c>
      <c r="D43" s="14"/>
      <c r="F43">
        <f>'Account Creation'!H43</f>
        <v>0</v>
      </c>
      <c r="G43">
        <f>'Account Creation'!I43</f>
        <v>0</v>
      </c>
      <c r="H43">
        <f>'Account Creation'!K43</f>
        <v>0</v>
      </c>
      <c r="I43">
        <f>'Account Creation'!J43</f>
        <v>0</v>
      </c>
    </row>
    <row r="44" spans="1:9" x14ac:dyDescent="0.25">
      <c r="A44" t="str">
        <f>TRIM('Account Creation'!D44)</f>
        <v/>
      </c>
      <c r="B44" t="str">
        <f>TRIM('Account Creation'!C44)</f>
        <v/>
      </c>
      <c r="C44" t="str">
        <f>TRIM('Account Creation'!B44)</f>
        <v/>
      </c>
      <c r="D44" s="14"/>
      <c r="F44">
        <f>'Account Creation'!H44</f>
        <v>0</v>
      </c>
      <c r="G44">
        <f>'Account Creation'!I44</f>
        <v>0</v>
      </c>
      <c r="H44">
        <f>'Account Creation'!K44</f>
        <v>0</v>
      </c>
      <c r="I44">
        <f>'Account Creation'!J44</f>
        <v>0</v>
      </c>
    </row>
    <row r="45" spans="1:9" x14ac:dyDescent="0.25">
      <c r="A45" t="str">
        <f>TRIM('Account Creation'!D45)</f>
        <v/>
      </c>
      <c r="B45" t="str">
        <f>TRIM('Account Creation'!C45)</f>
        <v/>
      </c>
      <c r="C45" t="str">
        <f>TRIM('Account Creation'!B45)</f>
        <v/>
      </c>
      <c r="D45" s="14"/>
      <c r="F45">
        <f>'Account Creation'!H45</f>
        <v>0</v>
      </c>
      <c r="G45">
        <f>'Account Creation'!I45</f>
        <v>0</v>
      </c>
      <c r="H45">
        <f>'Account Creation'!K45</f>
        <v>0</v>
      </c>
      <c r="I45">
        <f>'Account Creation'!J45</f>
        <v>0</v>
      </c>
    </row>
    <row r="46" spans="1:9" x14ac:dyDescent="0.25">
      <c r="A46" t="str">
        <f>TRIM('Account Creation'!D46)</f>
        <v/>
      </c>
      <c r="B46" t="str">
        <f>TRIM('Account Creation'!C46)</f>
        <v/>
      </c>
      <c r="C46" t="str">
        <f>TRIM('Account Creation'!B46)</f>
        <v/>
      </c>
      <c r="D46" s="14"/>
      <c r="F46">
        <f>'Account Creation'!H46</f>
        <v>0</v>
      </c>
      <c r="G46">
        <f>'Account Creation'!I46</f>
        <v>0</v>
      </c>
      <c r="H46">
        <f>'Account Creation'!K46</f>
        <v>0</v>
      </c>
      <c r="I46">
        <f>'Account Creation'!J46</f>
        <v>0</v>
      </c>
    </row>
    <row r="47" spans="1:9" x14ac:dyDescent="0.25">
      <c r="A47" t="str">
        <f>TRIM('Account Creation'!D47)</f>
        <v/>
      </c>
      <c r="B47" t="str">
        <f>TRIM('Account Creation'!C47)</f>
        <v/>
      </c>
      <c r="C47" t="str">
        <f>TRIM('Account Creation'!B47)</f>
        <v/>
      </c>
      <c r="D47" s="14"/>
      <c r="F47">
        <f>'Account Creation'!H47</f>
        <v>0</v>
      </c>
      <c r="G47">
        <f>'Account Creation'!I47</f>
        <v>0</v>
      </c>
      <c r="H47">
        <f>'Account Creation'!K47</f>
        <v>0</v>
      </c>
      <c r="I47">
        <f>'Account Creation'!J47</f>
        <v>0</v>
      </c>
    </row>
    <row r="48" spans="1:9" x14ac:dyDescent="0.25">
      <c r="A48" t="str">
        <f>TRIM('Account Creation'!D48)</f>
        <v/>
      </c>
      <c r="B48" t="str">
        <f>TRIM('Account Creation'!C48)</f>
        <v/>
      </c>
      <c r="C48" t="str">
        <f>TRIM('Account Creation'!B48)</f>
        <v/>
      </c>
      <c r="D48" s="14"/>
      <c r="F48">
        <f>'Account Creation'!H48</f>
        <v>0</v>
      </c>
      <c r="G48">
        <f>'Account Creation'!I48</f>
        <v>0</v>
      </c>
      <c r="H48">
        <f>'Account Creation'!K48</f>
        <v>0</v>
      </c>
      <c r="I48">
        <f>'Account Creation'!J48</f>
        <v>0</v>
      </c>
    </row>
    <row r="49" spans="1:9" x14ac:dyDescent="0.25">
      <c r="A49" t="str">
        <f>TRIM('Account Creation'!D49)</f>
        <v/>
      </c>
      <c r="B49" t="str">
        <f>TRIM('Account Creation'!C49)</f>
        <v/>
      </c>
      <c r="C49" t="str">
        <f>TRIM('Account Creation'!B49)</f>
        <v/>
      </c>
      <c r="D49" s="14"/>
      <c r="F49">
        <f>'Account Creation'!H49</f>
        <v>0</v>
      </c>
      <c r="G49">
        <f>'Account Creation'!I49</f>
        <v>0</v>
      </c>
      <c r="H49">
        <f>'Account Creation'!K49</f>
        <v>0</v>
      </c>
      <c r="I49">
        <f>'Account Creation'!J49</f>
        <v>0</v>
      </c>
    </row>
    <row r="50" spans="1:9" x14ac:dyDescent="0.25">
      <c r="A50" t="str">
        <f>TRIM('Account Creation'!D50)</f>
        <v/>
      </c>
      <c r="B50" t="str">
        <f>TRIM('Account Creation'!C50)</f>
        <v/>
      </c>
      <c r="C50" t="str">
        <f>TRIM('Account Creation'!B50)</f>
        <v/>
      </c>
      <c r="D50" s="14"/>
      <c r="F50">
        <f>'Account Creation'!H50</f>
        <v>0</v>
      </c>
      <c r="G50">
        <f>'Account Creation'!I50</f>
        <v>0</v>
      </c>
      <c r="H50">
        <f>'Account Creation'!K50</f>
        <v>0</v>
      </c>
      <c r="I50">
        <f>'Account Creation'!J50</f>
        <v>0</v>
      </c>
    </row>
    <row r="51" spans="1:9" x14ac:dyDescent="0.25">
      <c r="A51" t="str">
        <f>TRIM('Account Creation'!D51)</f>
        <v/>
      </c>
      <c r="B51" t="str">
        <f>TRIM('Account Creation'!C51)</f>
        <v/>
      </c>
      <c r="C51" t="str">
        <f>TRIM('Account Creation'!B51)</f>
        <v/>
      </c>
      <c r="D51" s="14"/>
      <c r="F51">
        <f>'Account Creation'!H51</f>
        <v>0</v>
      </c>
      <c r="G51">
        <f>'Account Creation'!I51</f>
        <v>0</v>
      </c>
      <c r="H51">
        <f>'Account Creation'!K51</f>
        <v>0</v>
      </c>
      <c r="I51">
        <f>'Account Creation'!J51</f>
        <v>0</v>
      </c>
    </row>
    <row r="52" spans="1:9" x14ac:dyDescent="0.25">
      <c r="A52" t="str">
        <f>TRIM('Account Creation'!D52)</f>
        <v/>
      </c>
      <c r="B52" t="str">
        <f>TRIM('Account Creation'!C52)</f>
        <v/>
      </c>
      <c r="C52" t="str">
        <f>TRIM('Account Creation'!B52)</f>
        <v/>
      </c>
      <c r="D52" s="14"/>
      <c r="F52">
        <f>'Account Creation'!H52</f>
        <v>0</v>
      </c>
      <c r="G52">
        <f>'Account Creation'!I52</f>
        <v>0</v>
      </c>
      <c r="H52">
        <f>'Account Creation'!K52</f>
        <v>0</v>
      </c>
      <c r="I52">
        <f>'Account Creation'!J52</f>
        <v>0</v>
      </c>
    </row>
    <row r="53" spans="1:9" x14ac:dyDescent="0.25">
      <c r="A53" t="str">
        <f>TRIM('Account Creation'!D53)</f>
        <v/>
      </c>
      <c r="B53" t="str">
        <f>TRIM('Account Creation'!C53)</f>
        <v/>
      </c>
      <c r="C53" t="str">
        <f>TRIM('Account Creation'!B53)</f>
        <v/>
      </c>
      <c r="D53" s="14"/>
      <c r="F53">
        <f>'Account Creation'!H53</f>
        <v>0</v>
      </c>
      <c r="G53">
        <f>'Account Creation'!I53</f>
        <v>0</v>
      </c>
      <c r="H53">
        <f>'Account Creation'!K53</f>
        <v>0</v>
      </c>
      <c r="I53">
        <f>'Account Creation'!J53</f>
        <v>0</v>
      </c>
    </row>
    <row r="54" spans="1:9" x14ac:dyDescent="0.25">
      <c r="A54" t="str">
        <f>TRIM('Account Creation'!D54)</f>
        <v/>
      </c>
      <c r="B54" t="str">
        <f>TRIM('Account Creation'!C54)</f>
        <v/>
      </c>
      <c r="C54" t="str">
        <f>TRIM('Account Creation'!B54)</f>
        <v/>
      </c>
      <c r="D54" s="14"/>
      <c r="F54">
        <f>'Account Creation'!H54</f>
        <v>0</v>
      </c>
      <c r="G54">
        <f>'Account Creation'!I54</f>
        <v>0</v>
      </c>
      <c r="H54">
        <f>'Account Creation'!K54</f>
        <v>0</v>
      </c>
      <c r="I54">
        <f>'Account Creation'!J54</f>
        <v>0</v>
      </c>
    </row>
    <row r="55" spans="1:9" x14ac:dyDescent="0.25">
      <c r="A55" t="str">
        <f>TRIM('Account Creation'!D55)</f>
        <v/>
      </c>
      <c r="B55" t="str">
        <f>TRIM('Account Creation'!C55)</f>
        <v/>
      </c>
      <c r="C55" t="str">
        <f>TRIM('Account Creation'!B55)</f>
        <v/>
      </c>
      <c r="D55" s="14"/>
      <c r="F55">
        <f>'Account Creation'!H55</f>
        <v>0</v>
      </c>
      <c r="G55">
        <f>'Account Creation'!I55</f>
        <v>0</v>
      </c>
      <c r="H55">
        <f>'Account Creation'!K55</f>
        <v>0</v>
      </c>
      <c r="I55">
        <f>'Account Creation'!J55</f>
        <v>0</v>
      </c>
    </row>
    <row r="56" spans="1:9" x14ac:dyDescent="0.25">
      <c r="A56" t="str">
        <f>TRIM('Account Creation'!D56)</f>
        <v/>
      </c>
      <c r="B56" t="str">
        <f>TRIM('Account Creation'!C56)</f>
        <v/>
      </c>
      <c r="C56" t="str">
        <f>TRIM('Account Creation'!B56)</f>
        <v/>
      </c>
      <c r="D56" s="14"/>
      <c r="F56">
        <f>'Account Creation'!H56</f>
        <v>0</v>
      </c>
      <c r="G56">
        <f>'Account Creation'!I56</f>
        <v>0</v>
      </c>
      <c r="H56">
        <f>'Account Creation'!K56</f>
        <v>0</v>
      </c>
      <c r="I56">
        <f>'Account Creation'!J56</f>
        <v>0</v>
      </c>
    </row>
    <row r="57" spans="1:9" x14ac:dyDescent="0.25">
      <c r="A57" t="str">
        <f>TRIM('Account Creation'!D57)</f>
        <v/>
      </c>
      <c r="B57" t="str">
        <f>TRIM('Account Creation'!C57)</f>
        <v/>
      </c>
      <c r="C57" t="str">
        <f>TRIM('Account Creation'!B57)</f>
        <v/>
      </c>
      <c r="D57" s="14"/>
      <c r="F57">
        <f>'Account Creation'!H57</f>
        <v>0</v>
      </c>
      <c r="G57">
        <f>'Account Creation'!I57</f>
        <v>0</v>
      </c>
      <c r="H57">
        <f>'Account Creation'!K57</f>
        <v>0</v>
      </c>
      <c r="I57">
        <f>'Account Creation'!J57</f>
        <v>0</v>
      </c>
    </row>
    <row r="58" spans="1:9" x14ac:dyDescent="0.25">
      <c r="A58" t="str">
        <f>TRIM('Account Creation'!D58)</f>
        <v/>
      </c>
      <c r="B58" t="str">
        <f>TRIM('Account Creation'!C58)</f>
        <v/>
      </c>
      <c r="C58" t="str">
        <f>TRIM('Account Creation'!B58)</f>
        <v/>
      </c>
      <c r="D58" s="14"/>
      <c r="F58">
        <f>'Account Creation'!H58</f>
        <v>0</v>
      </c>
      <c r="G58">
        <f>'Account Creation'!I58</f>
        <v>0</v>
      </c>
      <c r="H58">
        <f>'Account Creation'!K58</f>
        <v>0</v>
      </c>
      <c r="I58">
        <f>'Account Creation'!J58</f>
        <v>0</v>
      </c>
    </row>
    <row r="59" spans="1:9" x14ac:dyDescent="0.25">
      <c r="A59" t="str">
        <f>TRIM('Account Creation'!D59)</f>
        <v/>
      </c>
      <c r="B59" t="str">
        <f>TRIM('Account Creation'!C59)</f>
        <v/>
      </c>
      <c r="C59" t="str">
        <f>TRIM('Account Creation'!B59)</f>
        <v/>
      </c>
      <c r="D59" s="14"/>
      <c r="F59">
        <f>'Account Creation'!H59</f>
        <v>0</v>
      </c>
      <c r="G59">
        <f>'Account Creation'!I59</f>
        <v>0</v>
      </c>
      <c r="H59">
        <f>'Account Creation'!K59</f>
        <v>0</v>
      </c>
      <c r="I59">
        <f>'Account Creation'!J59</f>
        <v>0</v>
      </c>
    </row>
    <row r="60" spans="1:9" x14ac:dyDescent="0.25">
      <c r="A60" t="str">
        <f>TRIM('Account Creation'!D60)</f>
        <v/>
      </c>
      <c r="B60" t="str">
        <f>TRIM('Account Creation'!C60)</f>
        <v/>
      </c>
      <c r="C60" t="str">
        <f>TRIM('Account Creation'!B60)</f>
        <v/>
      </c>
      <c r="D60" s="14"/>
      <c r="F60">
        <f>'Account Creation'!H60</f>
        <v>0</v>
      </c>
      <c r="G60">
        <f>'Account Creation'!I60</f>
        <v>0</v>
      </c>
      <c r="H60">
        <f>'Account Creation'!K60</f>
        <v>0</v>
      </c>
      <c r="I60">
        <f>'Account Creation'!J60</f>
        <v>0</v>
      </c>
    </row>
    <row r="61" spans="1:9" x14ac:dyDescent="0.25">
      <c r="A61" t="str">
        <f>TRIM('Account Creation'!D61)</f>
        <v/>
      </c>
      <c r="B61" t="str">
        <f>TRIM('Account Creation'!C61)</f>
        <v/>
      </c>
      <c r="C61" t="str">
        <f>TRIM('Account Creation'!B61)</f>
        <v/>
      </c>
      <c r="D61" s="14"/>
      <c r="F61">
        <f>'Account Creation'!H61</f>
        <v>0</v>
      </c>
      <c r="G61">
        <f>'Account Creation'!I61</f>
        <v>0</v>
      </c>
      <c r="H61">
        <f>'Account Creation'!K61</f>
        <v>0</v>
      </c>
      <c r="I61">
        <f>'Account Creation'!J61</f>
        <v>0</v>
      </c>
    </row>
    <row r="62" spans="1:9" x14ac:dyDescent="0.25">
      <c r="A62" t="str">
        <f>TRIM('Account Creation'!D62)</f>
        <v/>
      </c>
      <c r="B62" t="str">
        <f>TRIM('Account Creation'!C62)</f>
        <v/>
      </c>
      <c r="C62" t="str">
        <f>TRIM('Account Creation'!B62)</f>
        <v/>
      </c>
      <c r="D62" s="14"/>
      <c r="F62">
        <f>'Account Creation'!H62</f>
        <v>0</v>
      </c>
      <c r="G62">
        <f>'Account Creation'!I62</f>
        <v>0</v>
      </c>
      <c r="H62">
        <f>'Account Creation'!K62</f>
        <v>0</v>
      </c>
      <c r="I62">
        <f>'Account Creation'!J62</f>
        <v>0</v>
      </c>
    </row>
    <row r="63" spans="1:9" x14ac:dyDescent="0.25">
      <c r="A63" t="str">
        <f>TRIM('Account Creation'!D63)</f>
        <v/>
      </c>
      <c r="B63" t="str">
        <f>TRIM('Account Creation'!C63)</f>
        <v/>
      </c>
      <c r="C63" t="str">
        <f>TRIM('Account Creation'!B63)</f>
        <v/>
      </c>
      <c r="D63" s="14"/>
      <c r="F63">
        <f>'Account Creation'!H63</f>
        <v>0</v>
      </c>
      <c r="G63">
        <f>'Account Creation'!I63</f>
        <v>0</v>
      </c>
      <c r="H63">
        <f>'Account Creation'!K63</f>
        <v>0</v>
      </c>
      <c r="I63">
        <f>'Account Creation'!J63</f>
        <v>0</v>
      </c>
    </row>
    <row r="64" spans="1:9" x14ac:dyDescent="0.25">
      <c r="A64" t="str">
        <f>TRIM('Account Creation'!D64)</f>
        <v/>
      </c>
      <c r="B64" t="str">
        <f>TRIM('Account Creation'!C64)</f>
        <v/>
      </c>
      <c r="C64" t="str">
        <f>TRIM('Account Creation'!B64)</f>
        <v/>
      </c>
      <c r="F64">
        <f>'Account Creation'!H64</f>
        <v>0</v>
      </c>
      <c r="G64">
        <f>'Account Creation'!I64</f>
        <v>0</v>
      </c>
      <c r="H64">
        <f>'Account Creation'!K64</f>
        <v>0</v>
      </c>
      <c r="I64">
        <f>'Account Creation'!J64</f>
        <v>0</v>
      </c>
    </row>
    <row r="65" spans="1:9" x14ac:dyDescent="0.25">
      <c r="A65" t="str">
        <f>TRIM('Account Creation'!D65)</f>
        <v/>
      </c>
      <c r="B65" t="str">
        <f>TRIM('Account Creation'!C65)</f>
        <v/>
      </c>
      <c r="C65" t="str">
        <f>TRIM('Account Creation'!B65)</f>
        <v/>
      </c>
      <c r="F65">
        <f>'Account Creation'!H65</f>
        <v>0</v>
      </c>
      <c r="G65">
        <f>'Account Creation'!I65</f>
        <v>0</v>
      </c>
      <c r="H65">
        <f>'Account Creation'!K65</f>
        <v>0</v>
      </c>
      <c r="I65">
        <f>'Account Creation'!J65</f>
        <v>0</v>
      </c>
    </row>
    <row r="66" spans="1:9" x14ac:dyDescent="0.25">
      <c r="A66" t="str">
        <f>TRIM('Account Creation'!D66)</f>
        <v/>
      </c>
      <c r="B66" t="str">
        <f>TRIM('Account Creation'!C66)</f>
        <v/>
      </c>
      <c r="C66" t="str">
        <f>TRIM('Account Creation'!B66)</f>
        <v/>
      </c>
      <c r="F66">
        <f>'Account Creation'!H66</f>
        <v>0</v>
      </c>
      <c r="G66">
        <f>'Account Creation'!I66</f>
        <v>0</v>
      </c>
      <c r="H66">
        <f>'Account Creation'!K66</f>
        <v>0</v>
      </c>
      <c r="I66">
        <f>'Account Creation'!J66</f>
        <v>0</v>
      </c>
    </row>
    <row r="67" spans="1:9" x14ac:dyDescent="0.25">
      <c r="A67" t="str">
        <f>TRIM('Account Creation'!D67)</f>
        <v/>
      </c>
      <c r="B67" t="str">
        <f>TRIM('Account Creation'!C67)</f>
        <v/>
      </c>
      <c r="C67" t="str">
        <f>TRIM('Account Creation'!B67)</f>
        <v/>
      </c>
      <c r="F67">
        <f>'Account Creation'!H67</f>
        <v>0</v>
      </c>
      <c r="G67">
        <f>'Account Creation'!I67</f>
        <v>0</v>
      </c>
      <c r="H67">
        <f>'Account Creation'!K67</f>
        <v>0</v>
      </c>
      <c r="I67">
        <f>'Account Creation'!J67</f>
        <v>0</v>
      </c>
    </row>
    <row r="68" spans="1:9" x14ac:dyDescent="0.25">
      <c r="A68" t="str">
        <f>TRIM('Account Creation'!D68)</f>
        <v/>
      </c>
      <c r="B68" t="str">
        <f>TRIM('Account Creation'!C68)</f>
        <v/>
      </c>
      <c r="C68" t="str">
        <f>TRIM('Account Creation'!B68)</f>
        <v/>
      </c>
      <c r="F68">
        <f>'Account Creation'!H68</f>
        <v>0</v>
      </c>
      <c r="G68">
        <f>'Account Creation'!I68</f>
        <v>0</v>
      </c>
      <c r="H68">
        <f>'Account Creation'!K68</f>
        <v>0</v>
      </c>
      <c r="I68">
        <f>'Account Creation'!J68</f>
        <v>0</v>
      </c>
    </row>
    <row r="69" spans="1:9" x14ac:dyDescent="0.25">
      <c r="A69" t="str">
        <f>TRIM('Account Creation'!D69)</f>
        <v/>
      </c>
      <c r="B69" t="str">
        <f>TRIM('Account Creation'!C69)</f>
        <v/>
      </c>
      <c r="C69" t="str">
        <f>TRIM('Account Creation'!B69)</f>
        <v/>
      </c>
      <c r="F69">
        <f>'Account Creation'!H69</f>
        <v>0</v>
      </c>
      <c r="G69">
        <f>'Account Creation'!I69</f>
        <v>0</v>
      </c>
      <c r="H69">
        <f>'Account Creation'!K69</f>
        <v>0</v>
      </c>
      <c r="I69">
        <f>'Account Creation'!J69</f>
        <v>0</v>
      </c>
    </row>
    <row r="70" spans="1:9" x14ac:dyDescent="0.25">
      <c r="A70" t="str">
        <f>TRIM('Account Creation'!D70)</f>
        <v/>
      </c>
      <c r="B70" t="str">
        <f>TRIM('Account Creation'!C70)</f>
        <v/>
      </c>
      <c r="C70" t="str">
        <f>TRIM('Account Creation'!B70)</f>
        <v/>
      </c>
      <c r="F70">
        <f>'Account Creation'!H70</f>
        <v>0</v>
      </c>
      <c r="G70">
        <f>'Account Creation'!I70</f>
        <v>0</v>
      </c>
      <c r="H70">
        <f>'Account Creation'!K70</f>
        <v>0</v>
      </c>
      <c r="I70">
        <f>'Account Creation'!J70</f>
        <v>0</v>
      </c>
    </row>
    <row r="71" spans="1:9" x14ac:dyDescent="0.25">
      <c r="A71" t="str">
        <f>TRIM('Account Creation'!D71)</f>
        <v/>
      </c>
      <c r="B71" t="str">
        <f>TRIM('Account Creation'!C71)</f>
        <v/>
      </c>
      <c r="C71" t="str">
        <f>TRIM('Account Creation'!B71)</f>
        <v/>
      </c>
      <c r="F71">
        <f>'Account Creation'!H71</f>
        <v>0</v>
      </c>
      <c r="G71">
        <f>'Account Creation'!I71</f>
        <v>0</v>
      </c>
      <c r="H71">
        <f>'Account Creation'!K71</f>
        <v>0</v>
      </c>
      <c r="I71">
        <f>'Account Creation'!J71</f>
        <v>0</v>
      </c>
    </row>
    <row r="72" spans="1:9" x14ac:dyDescent="0.25">
      <c r="A72" t="str">
        <f>TRIM('Account Creation'!D72)</f>
        <v/>
      </c>
      <c r="B72" t="str">
        <f>TRIM('Account Creation'!C72)</f>
        <v/>
      </c>
      <c r="C72" t="str">
        <f>TRIM('Account Creation'!B72)</f>
        <v/>
      </c>
      <c r="F72">
        <f>'Account Creation'!H72</f>
        <v>0</v>
      </c>
      <c r="G72">
        <f>'Account Creation'!I72</f>
        <v>0</v>
      </c>
      <c r="H72">
        <f>'Account Creation'!K72</f>
        <v>0</v>
      </c>
      <c r="I72">
        <f>'Account Creation'!J72</f>
        <v>0</v>
      </c>
    </row>
    <row r="73" spans="1:9" x14ac:dyDescent="0.25">
      <c r="A73" t="str">
        <f>TRIM('Account Creation'!D73)</f>
        <v/>
      </c>
      <c r="B73" t="str">
        <f>TRIM('Account Creation'!C73)</f>
        <v/>
      </c>
      <c r="C73" t="str">
        <f>TRIM('Account Creation'!B73)</f>
        <v/>
      </c>
      <c r="F73">
        <f>'Account Creation'!H73</f>
        <v>0</v>
      </c>
      <c r="G73">
        <f>'Account Creation'!I73</f>
        <v>0</v>
      </c>
      <c r="H73">
        <f>'Account Creation'!K73</f>
        <v>0</v>
      </c>
      <c r="I73">
        <f>'Account Creation'!J73</f>
        <v>0</v>
      </c>
    </row>
    <row r="74" spans="1:9" x14ac:dyDescent="0.25">
      <c r="A74" t="str">
        <f>TRIM('Account Creation'!D74)</f>
        <v/>
      </c>
      <c r="B74" t="str">
        <f>TRIM('Account Creation'!C74)</f>
        <v/>
      </c>
      <c r="C74" t="str">
        <f>TRIM('Account Creation'!B74)</f>
        <v/>
      </c>
      <c r="F74">
        <f>'Account Creation'!H74</f>
        <v>0</v>
      </c>
      <c r="G74">
        <f>'Account Creation'!I74</f>
        <v>0</v>
      </c>
      <c r="H74">
        <f>'Account Creation'!K74</f>
        <v>0</v>
      </c>
      <c r="I74">
        <f>'Account Creation'!J74</f>
        <v>0</v>
      </c>
    </row>
    <row r="75" spans="1:9" x14ac:dyDescent="0.25">
      <c r="A75" t="str">
        <f>TRIM('Account Creation'!D75)</f>
        <v/>
      </c>
      <c r="B75" t="str">
        <f>TRIM('Account Creation'!C75)</f>
        <v/>
      </c>
      <c r="C75" t="str">
        <f>TRIM('Account Creation'!B75)</f>
        <v/>
      </c>
      <c r="F75">
        <f>'Account Creation'!H75</f>
        <v>0</v>
      </c>
      <c r="G75">
        <f>'Account Creation'!I75</f>
        <v>0</v>
      </c>
      <c r="H75">
        <f>'Account Creation'!K75</f>
        <v>0</v>
      </c>
      <c r="I75">
        <f>'Account Creation'!J75</f>
        <v>0</v>
      </c>
    </row>
    <row r="76" spans="1:9" x14ac:dyDescent="0.25">
      <c r="A76" t="str">
        <f>TRIM('Account Creation'!D76)</f>
        <v/>
      </c>
      <c r="B76" t="str">
        <f>TRIM('Account Creation'!C76)</f>
        <v/>
      </c>
      <c r="C76" t="str">
        <f>TRIM('Account Creation'!B76)</f>
        <v/>
      </c>
      <c r="F76">
        <f>'Account Creation'!H76</f>
        <v>0</v>
      </c>
      <c r="G76">
        <f>'Account Creation'!I76</f>
        <v>0</v>
      </c>
      <c r="H76">
        <f>'Account Creation'!K76</f>
        <v>0</v>
      </c>
      <c r="I76">
        <f>'Account Creation'!J76</f>
        <v>0</v>
      </c>
    </row>
    <row r="77" spans="1:9" x14ac:dyDescent="0.25">
      <c r="A77" t="str">
        <f>TRIM('Account Creation'!D77)</f>
        <v/>
      </c>
      <c r="B77" t="str">
        <f>TRIM('Account Creation'!C77)</f>
        <v/>
      </c>
      <c r="C77" t="str">
        <f>TRIM('Account Creation'!B77)</f>
        <v/>
      </c>
      <c r="F77">
        <f>'Account Creation'!H77</f>
        <v>0</v>
      </c>
      <c r="G77">
        <f>'Account Creation'!I77</f>
        <v>0</v>
      </c>
      <c r="H77">
        <f>'Account Creation'!K77</f>
        <v>0</v>
      </c>
      <c r="I77">
        <f>'Account Creation'!J77</f>
        <v>0</v>
      </c>
    </row>
    <row r="78" spans="1:9" x14ac:dyDescent="0.25">
      <c r="A78" t="str">
        <f>TRIM('Account Creation'!D78)</f>
        <v/>
      </c>
      <c r="B78" t="str">
        <f>TRIM('Account Creation'!C78)</f>
        <v/>
      </c>
      <c r="C78" t="str">
        <f>TRIM('Account Creation'!B78)</f>
        <v/>
      </c>
      <c r="F78">
        <f>'Account Creation'!H78</f>
        <v>0</v>
      </c>
      <c r="G78">
        <f>'Account Creation'!I78</f>
        <v>0</v>
      </c>
      <c r="H78">
        <f>'Account Creation'!K78</f>
        <v>0</v>
      </c>
      <c r="I78">
        <f>'Account Creation'!J78</f>
        <v>0</v>
      </c>
    </row>
    <row r="79" spans="1:9" x14ac:dyDescent="0.25">
      <c r="A79" t="str">
        <f>TRIM('Account Creation'!D79)</f>
        <v/>
      </c>
      <c r="B79" t="str">
        <f>TRIM('Account Creation'!C79)</f>
        <v/>
      </c>
      <c r="C79" t="str">
        <f>TRIM('Account Creation'!B79)</f>
        <v/>
      </c>
      <c r="F79">
        <f>'Account Creation'!H79</f>
        <v>0</v>
      </c>
      <c r="G79">
        <f>'Account Creation'!I79</f>
        <v>0</v>
      </c>
      <c r="H79">
        <f>'Account Creation'!K79</f>
        <v>0</v>
      </c>
      <c r="I79">
        <f>'Account Creation'!J79</f>
        <v>0</v>
      </c>
    </row>
    <row r="80" spans="1:9" x14ac:dyDescent="0.25">
      <c r="A80" t="str">
        <f>TRIM('Account Creation'!D80)</f>
        <v/>
      </c>
      <c r="B80" t="str">
        <f>TRIM('Account Creation'!C80)</f>
        <v/>
      </c>
      <c r="C80" t="str">
        <f>TRIM('Account Creation'!B80)</f>
        <v/>
      </c>
      <c r="F80">
        <f>'Account Creation'!H80</f>
        <v>0</v>
      </c>
      <c r="G80">
        <f>'Account Creation'!I80</f>
        <v>0</v>
      </c>
      <c r="H80">
        <f>'Account Creation'!K80</f>
        <v>0</v>
      </c>
      <c r="I80">
        <f>'Account Creation'!J80</f>
        <v>0</v>
      </c>
    </row>
    <row r="81" spans="1:9" x14ac:dyDescent="0.25">
      <c r="A81" t="str">
        <f>TRIM('Account Creation'!D81)</f>
        <v/>
      </c>
      <c r="B81" t="str">
        <f>TRIM('Account Creation'!C81)</f>
        <v/>
      </c>
      <c r="C81" t="str">
        <f>TRIM('Account Creation'!B81)</f>
        <v/>
      </c>
      <c r="F81">
        <f>'Account Creation'!H81</f>
        <v>0</v>
      </c>
      <c r="G81">
        <f>'Account Creation'!I81</f>
        <v>0</v>
      </c>
      <c r="H81">
        <f>'Account Creation'!K81</f>
        <v>0</v>
      </c>
      <c r="I81">
        <f>'Account Creation'!J81</f>
        <v>0</v>
      </c>
    </row>
    <row r="82" spans="1:9" x14ac:dyDescent="0.25">
      <c r="A82" t="str">
        <f>TRIM('Account Creation'!D82)</f>
        <v/>
      </c>
      <c r="B82" t="str">
        <f>TRIM('Account Creation'!C82)</f>
        <v/>
      </c>
      <c r="C82" t="str">
        <f>TRIM('Account Creation'!B82)</f>
        <v/>
      </c>
      <c r="F82">
        <f>'Account Creation'!H82</f>
        <v>0</v>
      </c>
      <c r="G82">
        <f>'Account Creation'!I82</f>
        <v>0</v>
      </c>
      <c r="H82">
        <f>'Account Creation'!K82</f>
        <v>0</v>
      </c>
      <c r="I82">
        <f>'Account Creation'!J82</f>
        <v>0</v>
      </c>
    </row>
    <row r="83" spans="1:9" x14ac:dyDescent="0.25">
      <c r="A83" t="str">
        <f>TRIM('Account Creation'!D83)</f>
        <v/>
      </c>
      <c r="B83" t="str">
        <f>TRIM('Account Creation'!C83)</f>
        <v/>
      </c>
      <c r="C83" t="str">
        <f>TRIM('Account Creation'!B83)</f>
        <v/>
      </c>
      <c r="F83">
        <f>'Account Creation'!H83</f>
        <v>0</v>
      </c>
      <c r="G83">
        <f>'Account Creation'!I83</f>
        <v>0</v>
      </c>
      <c r="H83">
        <f>'Account Creation'!K83</f>
        <v>0</v>
      </c>
      <c r="I83">
        <f>'Account Creation'!J83</f>
        <v>0</v>
      </c>
    </row>
    <row r="84" spans="1:9" x14ac:dyDescent="0.25">
      <c r="A84" t="str">
        <f>TRIM('Account Creation'!D84)</f>
        <v/>
      </c>
      <c r="B84" t="str">
        <f>TRIM('Account Creation'!C84)</f>
        <v/>
      </c>
      <c r="C84" t="str">
        <f>TRIM('Account Creation'!B84)</f>
        <v/>
      </c>
      <c r="F84">
        <f>'Account Creation'!H84</f>
        <v>0</v>
      </c>
      <c r="G84">
        <f>'Account Creation'!I84</f>
        <v>0</v>
      </c>
      <c r="H84">
        <f>'Account Creation'!K84</f>
        <v>0</v>
      </c>
      <c r="I84">
        <f>'Account Creation'!J84</f>
        <v>0</v>
      </c>
    </row>
    <row r="85" spans="1:9" x14ac:dyDescent="0.25">
      <c r="A85" t="str">
        <f>TRIM('Account Creation'!D85)</f>
        <v/>
      </c>
      <c r="B85" t="str">
        <f>TRIM('Account Creation'!C85)</f>
        <v/>
      </c>
      <c r="C85" t="str">
        <f>TRIM('Account Creation'!B85)</f>
        <v/>
      </c>
      <c r="F85">
        <f>'Account Creation'!H85</f>
        <v>0</v>
      </c>
      <c r="G85">
        <f>'Account Creation'!I85</f>
        <v>0</v>
      </c>
      <c r="H85">
        <f>'Account Creation'!K85</f>
        <v>0</v>
      </c>
      <c r="I85">
        <f>'Account Creation'!J85</f>
        <v>0</v>
      </c>
    </row>
    <row r="86" spans="1:9" x14ac:dyDescent="0.25">
      <c r="A86" t="str">
        <f>TRIM('Account Creation'!D86)</f>
        <v/>
      </c>
      <c r="B86" t="str">
        <f>TRIM('Account Creation'!C86)</f>
        <v/>
      </c>
      <c r="C86" t="str">
        <f>TRIM('Account Creation'!B86)</f>
        <v/>
      </c>
      <c r="F86">
        <f>'Account Creation'!H86</f>
        <v>0</v>
      </c>
      <c r="G86">
        <f>'Account Creation'!I86</f>
        <v>0</v>
      </c>
      <c r="H86">
        <f>'Account Creation'!K86</f>
        <v>0</v>
      </c>
      <c r="I86">
        <f>'Account Creation'!J86</f>
        <v>0</v>
      </c>
    </row>
    <row r="87" spans="1:9" x14ac:dyDescent="0.25">
      <c r="A87" t="str">
        <f>TRIM('Account Creation'!D87)</f>
        <v/>
      </c>
      <c r="B87" t="str">
        <f>TRIM('Account Creation'!C87)</f>
        <v/>
      </c>
      <c r="C87" t="str">
        <f>TRIM('Account Creation'!B87)</f>
        <v/>
      </c>
      <c r="F87">
        <f>'Account Creation'!H87</f>
        <v>0</v>
      </c>
      <c r="G87">
        <f>'Account Creation'!I87</f>
        <v>0</v>
      </c>
      <c r="H87">
        <f>'Account Creation'!K87</f>
        <v>0</v>
      </c>
      <c r="I87">
        <f>'Account Creation'!J87</f>
        <v>0</v>
      </c>
    </row>
    <row r="88" spans="1:9" x14ac:dyDescent="0.25">
      <c r="A88" t="str">
        <f>TRIM('Account Creation'!D88)</f>
        <v/>
      </c>
      <c r="B88" t="str">
        <f>TRIM('Account Creation'!C88)</f>
        <v/>
      </c>
      <c r="C88" t="str">
        <f>TRIM('Account Creation'!B88)</f>
        <v/>
      </c>
      <c r="F88">
        <f>'Account Creation'!H88</f>
        <v>0</v>
      </c>
      <c r="G88">
        <f>'Account Creation'!I88</f>
        <v>0</v>
      </c>
      <c r="H88">
        <f>'Account Creation'!K88</f>
        <v>0</v>
      </c>
      <c r="I88">
        <f>'Account Creation'!J88</f>
        <v>0</v>
      </c>
    </row>
    <row r="89" spans="1:9" x14ac:dyDescent="0.25">
      <c r="A89" t="str">
        <f>TRIM('Account Creation'!D89)</f>
        <v/>
      </c>
      <c r="B89" t="str">
        <f>TRIM('Account Creation'!C89)</f>
        <v/>
      </c>
      <c r="C89" t="str">
        <f>TRIM('Account Creation'!B89)</f>
        <v/>
      </c>
      <c r="F89">
        <f>'Account Creation'!H89</f>
        <v>0</v>
      </c>
      <c r="G89">
        <f>'Account Creation'!I89</f>
        <v>0</v>
      </c>
      <c r="H89">
        <f>'Account Creation'!K89</f>
        <v>0</v>
      </c>
      <c r="I89">
        <f>'Account Creation'!J89</f>
        <v>0</v>
      </c>
    </row>
    <row r="90" spans="1:9" x14ac:dyDescent="0.25">
      <c r="A90" t="str">
        <f>TRIM('Account Creation'!D90)</f>
        <v/>
      </c>
      <c r="B90" t="str">
        <f>TRIM('Account Creation'!C90)</f>
        <v/>
      </c>
      <c r="C90" t="str">
        <f>TRIM('Account Creation'!B90)</f>
        <v/>
      </c>
      <c r="F90">
        <f>'Account Creation'!H90</f>
        <v>0</v>
      </c>
      <c r="G90">
        <f>'Account Creation'!I90</f>
        <v>0</v>
      </c>
      <c r="H90">
        <f>'Account Creation'!K90</f>
        <v>0</v>
      </c>
      <c r="I90">
        <f>'Account Creation'!J90</f>
        <v>0</v>
      </c>
    </row>
    <row r="91" spans="1:9" x14ac:dyDescent="0.25">
      <c r="A91" t="str">
        <f>TRIM('Account Creation'!D91)</f>
        <v/>
      </c>
      <c r="B91" t="str">
        <f>TRIM('Account Creation'!C91)</f>
        <v/>
      </c>
      <c r="C91" t="str">
        <f>TRIM('Account Creation'!B91)</f>
        <v/>
      </c>
      <c r="F91">
        <f>'Account Creation'!H91</f>
        <v>0</v>
      </c>
      <c r="G91">
        <f>'Account Creation'!I91</f>
        <v>0</v>
      </c>
      <c r="H91">
        <f>'Account Creation'!K91</f>
        <v>0</v>
      </c>
      <c r="I91">
        <f>'Account Creation'!J91</f>
        <v>0</v>
      </c>
    </row>
    <row r="92" spans="1:9" x14ac:dyDescent="0.25">
      <c r="A92" t="str">
        <f>TRIM('Account Creation'!D92)</f>
        <v/>
      </c>
      <c r="B92" t="str">
        <f>TRIM('Account Creation'!C92)</f>
        <v/>
      </c>
      <c r="C92" t="str">
        <f>TRIM('Account Creation'!B92)</f>
        <v/>
      </c>
      <c r="F92">
        <f>'Account Creation'!H92</f>
        <v>0</v>
      </c>
      <c r="G92">
        <f>'Account Creation'!I92</f>
        <v>0</v>
      </c>
      <c r="H92">
        <f>'Account Creation'!K92</f>
        <v>0</v>
      </c>
      <c r="I92">
        <f>'Account Creation'!J92</f>
        <v>0</v>
      </c>
    </row>
    <row r="93" spans="1:9" x14ac:dyDescent="0.25">
      <c r="A93" t="str">
        <f>TRIM('Account Creation'!D93)</f>
        <v/>
      </c>
      <c r="B93" t="str">
        <f>TRIM('Account Creation'!C93)</f>
        <v/>
      </c>
      <c r="C93" t="str">
        <f>TRIM('Account Creation'!B93)</f>
        <v/>
      </c>
      <c r="F93">
        <f>'Account Creation'!H93</f>
        <v>0</v>
      </c>
      <c r="G93">
        <f>'Account Creation'!I93</f>
        <v>0</v>
      </c>
      <c r="H93">
        <f>'Account Creation'!K93</f>
        <v>0</v>
      </c>
      <c r="I93">
        <f>'Account Creation'!J93</f>
        <v>0</v>
      </c>
    </row>
    <row r="94" spans="1:9" x14ac:dyDescent="0.25">
      <c r="A94" t="str">
        <f>TRIM('Account Creation'!D94)</f>
        <v/>
      </c>
      <c r="B94" t="str">
        <f>TRIM('Account Creation'!C94)</f>
        <v/>
      </c>
      <c r="C94" t="str">
        <f>TRIM('Account Creation'!B94)</f>
        <v/>
      </c>
      <c r="F94">
        <f>'Account Creation'!H94</f>
        <v>0</v>
      </c>
      <c r="G94">
        <f>'Account Creation'!I94</f>
        <v>0</v>
      </c>
      <c r="H94">
        <f>'Account Creation'!K94</f>
        <v>0</v>
      </c>
      <c r="I94">
        <f>'Account Creation'!J94</f>
        <v>0</v>
      </c>
    </row>
    <row r="95" spans="1:9" x14ac:dyDescent="0.25">
      <c r="A95" t="str">
        <f>TRIM('Account Creation'!D95)</f>
        <v/>
      </c>
      <c r="B95" t="str">
        <f>TRIM('Account Creation'!C95)</f>
        <v/>
      </c>
      <c r="C95" t="str">
        <f>TRIM('Account Creation'!B95)</f>
        <v/>
      </c>
      <c r="F95">
        <f>'Account Creation'!H95</f>
        <v>0</v>
      </c>
      <c r="G95">
        <f>'Account Creation'!I95</f>
        <v>0</v>
      </c>
      <c r="H95">
        <f>'Account Creation'!K95</f>
        <v>0</v>
      </c>
      <c r="I95">
        <f>'Account Creation'!J95</f>
        <v>0</v>
      </c>
    </row>
    <row r="96" spans="1:9" x14ac:dyDescent="0.25">
      <c r="A96" t="str">
        <f>TRIM('Account Creation'!D96)</f>
        <v/>
      </c>
      <c r="B96" t="str">
        <f>TRIM('Account Creation'!C96)</f>
        <v/>
      </c>
      <c r="C96" t="str">
        <f>TRIM('Account Creation'!B96)</f>
        <v/>
      </c>
      <c r="F96">
        <f>'Account Creation'!H96</f>
        <v>0</v>
      </c>
      <c r="G96">
        <f>'Account Creation'!I96</f>
        <v>0</v>
      </c>
      <c r="H96">
        <f>'Account Creation'!K96</f>
        <v>0</v>
      </c>
      <c r="I96">
        <f>'Account Creation'!J96</f>
        <v>0</v>
      </c>
    </row>
    <row r="97" spans="1:9" x14ac:dyDescent="0.25">
      <c r="A97" t="str">
        <f>TRIM('Account Creation'!D97)</f>
        <v/>
      </c>
      <c r="B97" t="str">
        <f>TRIM('Account Creation'!C97)</f>
        <v/>
      </c>
      <c r="C97" t="str">
        <f>TRIM('Account Creation'!B97)</f>
        <v/>
      </c>
      <c r="F97">
        <f>'Account Creation'!H97</f>
        <v>0</v>
      </c>
      <c r="G97">
        <f>'Account Creation'!I97</f>
        <v>0</v>
      </c>
      <c r="H97">
        <f>'Account Creation'!K97</f>
        <v>0</v>
      </c>
      <c r="I97">
        <f>'Account Creation'!J97</f>
        <v>0</v>
      </c>
    </row>
    <row r="98" spans="1:9" x14ac:dyDescent="0.25">
      <c r="A98" t="str">
        <f>TRIM('Account Creation'!D98)</f>
        <v/>
      </c>
      <c r="B98" t="str">
        <f>TRIM('Account Creation'!C98)</f>
        <v/>
      </c>
      <c r="C98" t="str">
        <f>TRIM('Account Creation'!B98)</f>
        <v/>
      </c>
      <c r="F98">
        <f>'Account Creation'!H98</f>
        <v>0</v>
      </c>
      <c r="G98">
        <f>'Account Creation'!I98</f>
        <v>0</v>
      </c>
      <c r="H98">
        <f>'Account Creation'!K98</f>
        <v>0</v>
      </c>
      <c r="I98">
        <f>'Account Creation'!J98</f>
        <v>0</v>
      </c>
    </row>
    <row r="99" spans="1:9" x14ac:dyDescent="0.25">
      <c r="A99" t="str">
        <f>TRIM('Account Creation'!D99)</f>
        <v/>
      </c>
      <c r="B99" t="str">
        <f>TRIM('Account Creation'!C99)</f>
        <v/>
      </c>
      <c r="C99" t="str">
        <f>TRIM('Account Creation'!B99)</f>
        <v/>
      </c>
      <c r="F99">
        <f>'Account Creation'!H99</f>
        <v>0</v>
      </c>
      <c r="G99">
        <f>'Account Creation'!I99</f>
        <v>0</v>
      </c>
      <c r="H99">
        <f>'Account Creation'!K99</f>
        <v>0</v>
      </c>
      <c r="I99">
        <f>'Account Creation'!J99</f>
        <v>0</v>
      </c>
    </row>
    <row r="100" spans="1:9" x14ac:dyDescent="0.25">
      <c r="A100" t="str">
        <f>TRIM('Account Creation'!D100)</f>
        <v/>
      </c>
      <c r="B100" t="str">
        <f>TRIM('Account Creation'!C100)</f>
        <v/>
      </c>
      <c r="C100" t="str">
        <f>TRIM('Account Creation'!B100)</f>
        <v/>
      </c>
      <c r="F100">
        <f>'Account Creation'!H100</f>
        <v>0</v>
      </c>
      <c r="G100">
        <f>'Account Creation'!I100</f>
        <v>0</v>
      </c>
      <c r="H100">
        <f>'Account Creation'!K100</f>
        <v>0</v>
      </c>
      <c r="I100">
        <f>'Account Creation'!J100</f>
        <v>0</v>
      </c>
    </row>
    <row r="101" spans="1:9" x14ac:dyDescent="0.25">
      <c r="A101" t="str">
        <f>TRIM('Account Creation'!D101)</f>
        <v/>
      </c>
      <c r="B101" t="str">
        <f>TRIM('Account Creation'!C101)</f>
        <v/>
      </c>
      <c r="C101" t="str">
        <f>TRIM('Account Creation'!B101)</f>
        <v/>
      </c>
      <c r="F101">
        <f>'Account Creation'!H101</f>
        <v>0</v>
      </c>
      <c r="G101">
        <f>'Account Creation'!I101</f>
        <v>0</v>
      </c>
      <c r="H101">
        <f>'Account Creation'!K101</f>
        <v>0</v>
      </c>
      <c r="I101">
        <f>'Account Creation'!J101</f>
        <v>0</v>
      </c>
    </row>
    <row r="102" spans="1:9" x14ac:dyDescent="0.25">
      <c r="A102" t="str">
        <f>TRIM('Account Creation'!D102)</f>
        <v/>
      </c>
      <c r="B102" t="str">
        <f>TRIM('Account Creation'!C102)</f>
        <v/>
      </c>
      <c r="C102" t="str">
        <f>TRIM('Account Creation'!B102)</f>
        <v/>
      </c>
      <c r="F102">
        <f>'Account Creation'!H102</f>
        <v>0</v>
      </c>
      <c r="G102">
        <f>'Account Creation'!I102</f>
        <v>0</v>
      </c>
      <c r="H102">
        <f>'Account Creation'!K102</f>
        <v>0</v>
      </c>
      <c r="I102">
        <f>'Account Creation'!J102</f>
        <v>0</v>
      </c>
    </row>
    <row r="103" spans="1:9" x14ac:dyDescent="0.25">
      <c r="A103" t="str">
        <f>TRIM('Account Creation'!D103)</f>
        <v/>
      </c>
      <c r="B103" t="str">
        <f>TRIM('Account Creation'!C103)</f>
        <v/>
      </c>
      <c r="C103" t="str">
        <f>TRIM('Account Creation'!B103)</f>
        <v/>
      </c>
      <c r="F103">
        <f>'Account Creation'!H103</f>
        <v>0</v>
      </c>
      <c r="G103">
        <f>'Account Creation'!I103</f>
        <v>0</v>
      </c>
      <c r="H103">
        <f>'Account Creation'!K103</f>
        <v>0</v>
      </c>
      <c r="I103">
        <f>'Account Creation'!J103</f>
        <v>0</v>
      </c>
    </row>
    <row r="104" spans="1:9" x14ac:dyDescent="0.25">
      <c r="A104" t="str">
        <f>TRIM('Account Creation'!D104)</f>
        <v/>
      </c>
      <c r="B104" t="str">
        <f>TRIM('Account Creation'!C104)</f>
        <v/>
      </c>
      <c r="C104" t="str">
        <f>TRIM('Account Creation'!B104)</f>
        <v/>
      </c>
      <c r="F104">
        <f>'Account Creation'!H104</f>
        <v>0</v>
      </c>
      <c r="G104">
        <f>'Account Creation'!I104</f>
        <v>0</v>
      </c>
      <c r="H104">
        <f>'Account Creation'!K104</f>
        <v>0</v>
      </c>
      <c r="I104">
        <f>'Account Creation'!J104</f>
        <v>0</v>
      </c>
    </row>
    <row r="105" spans="1:9" x14ac:dyDescent="0.25">
      <c r="A105" t="str">
        <f>TRIM('Account Creation'!D105)</f>
        <v/>
      </c>
      <c r="B105" t="str">
        <f>TRIM('Account Creation'!C105)</f>
        <v/>
      </c>
      <c r="C105" t="str">
        <f>TRIM('Account Creation'!B105)</f>
        <v/>
      </c>
      <c r="F105">
        <f>'Account Creation'!H105</f>
        <v>0</v>
      </c>
      <c r="G105">
        <f>'Account Creation'!I105</f>
        <v>0</v>
      </c>
      <c r="H105">
        <f>'Account Creation'!K105</f>
        <v>0</v>
      </c>
      <c r="I105">
        <f>'Account Creation'!J105</f>
        <v>0</v>
      </c>
    </row>
    <row r="106" spans="1:9" x14ac:dyDescent="0.25">
      <c r="A106" t="str">
        <f>TRIM('Account Creation'!D106)</f>
        <v/>
      </c>
      <c r="B106" t="str">
        <f>TRIM('Account Creation'!C106)</f>
        <v/>
      </c>
      <c r="C106" t="str">
        <f>TRIM('Account Creation'!B106)</f>
        <v/>
      </c>
      <c r="F106">
        <f>'Account Creation'!H106</f>
        <v>0</v>
      </c>
      <c r="G106">
        <f>'Account Creation'!I106</f>
        <v>0</v>
      </c>
      <c r="H106">
        <f>'Account Creation'!K106</f>
        <v>0</v>
      </c>
      <c r="I106">
        <f>'Account Creation'!J106</f>
        <v>0</v>
      </c>
    </row>
    <row r="107" spans="1:9" x14ac:dyDescent="0.25">
      <c r="A107" t="str">
        <f>TRIM('Account Creation'!D107)</f>
        <v/>
      </c>
      <c r="B107" t="str">
        <f>TRIM('Account Creation'!C107)</f>
        <v/>
      </c>
      <c r="C107" t="str">
        <f>TRIM('Account Creation'!B107)</f>
        <v/>
      </c>
      <c r="F107">
        <f>'Account Creation'!H107</f>
        <v>0</v>
      </c>
      <c r="G107">
        <f>'Account Creation'!I107</f>
        <v>0</v>
      </c>
      <c r="H107">
        <f>'Account Creation'!K107</f>
        <v>0</v>
      </c>
      <c r="I107">
        <f>'Account Creation'!J107</f>
        <v>0</v>
      </c>
    </row>
    <row r="108" spans="1:9" x14ac:dyDescent="0.25">
      <c r="A108" t="str">
        <f>TRIM('Account Creation'!D108)</f>
        <v/>
      </c>
      <c r="B108" t="str">
        <f>TRIM('Account Creation'!C108)</f>
        <v/>
      </c>
      <c r="C108" t="str">
        <f>TRIM('Account Creation'!B108)</f>
        <v/>
      </c>
      <c r="F108">
        <f>'Account Creation'!H108</f>
        <v>0</v>
      </c>
      <c r="G108">
        <f>'Account Creation'!I108</f>
        <v>0</v>
      </c>
      <c r="H108">
        <f>'Account Creation'!K108</f>
        <v>0</v>
      </c>
      <c r="I108">
        <f>'Account Creation'!J108</f>
        <v>0</v>
      </c>
    </row>
    <row r="109" spans="1:9" x14ac:dyDescent="0.25">
      <c r="A109" t="str">
        <f>TRIM('Account Creation'!D109)</f>
        <v/>
      </c>
      <c r="B109" t="str">
        <f>TRIM('Account Creation'!C109)</f>
        <v/>
      </c>
      <c r="C109" t="str">
        <f>TRIM('Account Creation'!B109)</f>
        <v/>
      </c>
      <c r="F109">
        <f>'Account Creation'!H109</f>
        <v>0</v>
      </c>
      <c r="G109">
        <f>'Account Creation'!I109</f>
        <v>0</v>
      </c>
      <c r="H109">
        <f>'Account Creation'!K109</f>
        <v>0</v>
      </c>
      <c r="I109">
        <f>'Account Creation'!J109</f>
        <v>0</v>
      </c>
    </row>
    <row r="110" spans="1:9" x14ac:dyDescent="0.25">
      <c r="A110" t="str">
        <f>TRIM('Account Creation'!D110)</f>
        <v/>
      </c>
      <c r="B110" t="str">
        <f>TRIM('Account Creation'!C110)</f>
        <v/>
      </c>
      <c r="C110" t="str">
        <f>TRIM('Account Creation'!B110)</f>
        <v/>
      </c>
      <c r="F110">
        <f>'Account Creation'!H110</f>
        <v>0</v>
      </c>
      <c r="G110">
        <f>'Account Creation'!I110</f>
        <v>0</v>
      </c>
      <c r="H110">
        <f>'Account Creation'!K110</f>
        <v>0</v>
      </c>
      <c r="I110">
        <f>'Account Creation'!J110</f>
        <v>0</v>
      </c>
    </row>
    <row r="111" spans="1:9" x14ac:dyDescent="0.25">
      <c r="A111" t="str">
        <f>TRIM('Account Creation'!D111)</f>
        <v/>
      </c>
      <c r="B111" t="str">
        <f>TRIM('Account Creation'!C111)</f>
        <v/>
      </c>
      <c r="C111" t="str">
        <f>TRIM('Account Creation'!B111)</f>
        <v/>
      </c>
      <c r="F111">
        <f>'Account Creation'!H111</f>
        <v>0</v>
      </c>
      <c r="G111">
        <f>'Account Creation'!I111</f>
        <v>0</v>
      </c>
      <c r="H111">
        <f>'Account Creation'!K111</f>
        <v>0</v>
      </c>
      <c r="I111">
        <f>'Account Creation'!J111</f>
        <v>0</v>
      </c>
    </row>
    <row r="112" spans="1:9" x14ac:dyDescent="0.25">
      <c r="A112" t="str">
        <f>TRIM('Account Creation'!D112)</f>
        <v/>
      </c>
      <c r="B112" t="str">
        <f>TRIM('Account Creation'!C112)</f>
        <v/>
      </c>
      <c r="C112" t="str">
        <f>TRIM('Account Creation'!B112)</f>
        <v/>
      </c>
      <c r="F112">
        <f>'Account Creation'!H112</f>
        <v>0</v>
      </c>
      <c r="G112">
        <f>'Account Creation'!I112</f>
        <v>0</v>
      </c>
      <c r="H112">
        <f>'Account Creation'!K112</f>
        <v>0</v>
      </c>
      <c r="I112">
        <f>'Account Creation'!J112</f>
        <v>0</v>
      </c>
    </row>
    <row r="113" spans="1:9" x14ac:dyDescent="0.25">
      <c r="A113" t="str">
        <f>TRIM('Account Creation'!D113)</f>
        <v/>
      </c>
      <c r="B113" t="str">
        <f>TRIM('Account Creation'!C113)</f>
        <v/>
      </c>
      <c r="C113" t="str">
        <f>TRIM('Account Creation'!B113)</f>
        <v/>
      </c>
      <c r="F113">
        <f>'Account Creation'!H113</f>
        <v>0</v>
      </c>
      <c r="G113">
        <f>'Account Creation'!I113</f>
        <v>0</v>
      </c>
      <c r="H113">
        <f>'Account Creation'!K113</f>
        <v>0</v>
      </c>
      <c r="I113">
        <f>'Account Creation'!J113</f>
        <v>0</v>
      </c>
    </row>
    <row r="114" spans="1:9" x14ac:dyDescent="0.25">
      <c r="A114" t="str">
        <f>TRIM('Account Creation'!D114)</f>
        <v/>
      </c>
      <c r="B114" t="str">
        <f>TRIM('Account Creation'!C114)</f>
        <v/>
      </c>
      <c r="C114" t="str">
        <f>TRIM('Account Creation'!B114)</f>
        <v/>
      </c>
      <c r="F114">
        <f>'Account Creation'!H114</f>
        <v>0</v>
      </c>
      <c r="G114">
        <f>'Account Creation'!I114</f>
        <v>0</v>
      </c>
      <c r="H114">
        <f>'Account Creation'!K114</f>
        <v>0</v>
      </c>
      <c r="I114">
        <f>'Account Creation'!J114</f>
        <v>0</v>
      </c>
    </row>
    <row r="115" spans="1:9" x14ac:dyDescent="0.25">
      <c r="A115" t="str">
        <f>TRIM('Account Creation'!D115)</f>
        <v/>
      </c>
      <c r="B115" t="str">
        <f>TRIM('Account Creation'!C115)</f>
        <v/>
      </c>
      <c r="C115" t="str">
        <f>TRIM('Account Creation'!B115)</f>
        <v/>
      </c>
      <c r="F115">
        <f>'Account Creation'!H115</f>
        <v>0</v>
      </c>
      <c r="G115">
        <f>'Account Creation'!I115</f>
        <v>0</v>
      </c>
      <c r="H115">
        <f>'Account Creation'!K115</f>
        <v>0</v>
      </c>
      <c r="I115">
        <f>'Account Creation'!J115</f>
        <v>0</v>
      </c>
    </row>
    <row r="116" spans="1:9" x14ac:dyDescent="0.25">
      <c r="A116" t="str">
        <f>TRIM('Account Creation'!D116)</f>
        <v/>
      </c>
      <c r="B116" t="str">
        <f>TRIM('Account Creation'!C116)</f>
        <v/>
      </c>
      <c r="C116" t="str">
        <f>TRIM('Account Creation'!B116)</f>
        <v/>
      </c>
      <c r="F116">
        <f>'Account Creation'!H116</f>
        <v>0</v>
      </c>
      <c r="G116">
        <f>'Account Creation'!I116</f>
        <v>0</v>
      </c>
      <c r="H116">
        <f>'Account Creation'!K116</f>
        <v>0</v>
      </c>
      <c r="I116">
        <f>'Account Creation'!J116</f>
        <v>0</v>
      </c>
    </row>
    <row r="117" spans="1:9" x14ac:dyDescent="0.25">
      <c r="A117" t="str">
        <f>TRIM('Account Creation'!D117)</f>
        <v/>
      </c>
      <c r="B117" t="str">
        <f>TRIM('Account Creation'!C117)</f>
        <v/>
      </c>
      <c r="C117" t="str">
        <f>TRIM('Account Creation'!B117)</f>
        <v/>
      </c>
      <c r="F117">
        <f>'Account Creation'!H117</f>
        <v>0</v>
      </c>
      <c r="G117">
        <f>'Account Creation'!I117</f>
        <v>0</v>
      </c>
      <c r="H117">
        <f>'Account Creation'!K117</f>
        <v>0</v>
      </c>
      <c r="I117">
        <f>'Account Creation'!J117</f>
        <v>0</v>
      </c>
    </row>
    <row r="118" spans="1:9" x14ac:dyDescent="0.25">
      <c r="A118" t="str">
        <f>TRIM('Account Creation'!D118)</f>
        <v/>
      </c>
      <c r="B118" t="str">
        <f>TRIM('Account Creation'!C118)</f>
        <v/>
      </c>
      <c r="C118" t="str">
        <f>TRIM('Account Creation'!B118)</f>
        <v/>
      </c>
      <c r="F118">
        <f>'Account Creation'!H118</f>
        <v>0</v>
      </c>
      <c r="G118">
        <f>'Account Creation'!I118</f>
        <v>0</v>
      </c>
      <c r="H118">
        <f>'Account Creation'!K118</f>
        <v>0</v>
      </c>
      <c r="I118">
        <f>'Account Creation'!J118</f>
        <v>0</v>
      </c>
    </row>
    <row r="119" spans="1:9" x14ac:dyDescent="0.25">
      <c r="A119" t="str">
        <f>TRIM('Account Creation'!D119)</f>
        <v/>
      </c>
      <c r="B119" t="str">
        <f>TRIM('Account Creation'!C119)</f>
        <v/>
      </c>
      <c r="C119" t="str">
        <f>TRIM('Account Creation'!B119)</f>
        <v/>
      </c>
      <c r="F119">
        <f>'Account Creation'!H119</f>
        <v>0</v>
      </c>
      <c r="G119">
        <f>'Account Creation'!I119</f>
        <v>0</v>
      </c>
      <c r="H119">
        <f>'Account Creation'!K119</f>
        <v>0</v>
      </c>
      <c r="I119">
        <f>'Account Creation'!J119</f>
        <v>0</v>
      </c>
    </row>
    <row r="120" spans="1:9" x14ac:dyDescent="0.25">
      <c r="A120" t="str">
        <f>TRIM('Account Creation'!D120)</f>
        <v/>
      </c>
      <c r="B120" t="str">
        <f>TRIM('Account Creation'!C120)</f>
        <v/>
      </c>
      <c r="C120" t="str">
        <f>TRIM('Account Creation'!B120)</f>
        <v/>
      </c>
      <c r="F120">
        <f>'Account Creation'!H120</f>
        <v>0</v>
      </c>
      <c r="G120">
        <f>'Account Creation'!I120</f>
        <v>0</v>
      </c>
      <c r="H120">
        <f>'Account Creation'!K120</f>
        <v>0</v>
      </c>
      <c r="I120">
        <f>'Account Creation'!J120</f>
        <v>0</v>
      </c>
    </row>
    <row r="121" spans="1:9" x14ac:dyDescent="0.25">
      <c r="A121" t="str">
        <f>TRIM('Account Creation'!D121)</f>
        <v/>
      </c>
      <c r="B121" t="str">
        <f>TRIM('Account Creation'!C121)</f>
        <v/>
      </c>
      <c r="C121" t="str">
        <f>TRIM('Account Creation'!B121)</f>
        <v/>
      </c>
      <c r="F121">
        <f>'Account Creation'!H121</f>
        <v>0</v>
      </c>
      <c r="G121">
        <f>'Account Creation'!I121</f>
        <v>0</v>
      </c>
      <c r="H121">
        <f>'Account Creation'!K121</f>
        <v>0</v>
      </c>
      <c r="I121">
        <f>'Account Creation'!J121</f>
        <v>0</v>
      </c>
    </row>
    <row r="122" spans="1:9" x14ac:dyDescent="0.25">
      <c r="A122" t="str">
        <f>TRIM('Account Creation'!D122)</f>
        <v/>
      </c>
      <c r="B122" t="str">
        <f>TRIM('Account Creation'!C122)</f>
        <v/>
      </c>
      <c r="C122" t="str">
        <f>TRIM('Account Creation'!B122)</f>
        <v/>
      </c>
      <c r="F122">
        <f>'Account Creation'!H122</f>
        <v>0</v>
      </c>
      <c r="G122">
        <f>'Account Creation'!I122</f>
        <v>0</v>
      </c>
      <c r="H122">
        <f>'Account Creation'!K122</f>
        <v>0</v>
      </c>
      <c r="I122">
        <f>'Account Creation'!J122</f>
        <v>0</v>
      </c>
    </row>
    <row r="123" spans="1:9" x14ac:dyDescent="0.25">
      <c r="A123" t="str">
        <f>TRIM('Account Creation'!D123)</f>
        <v/>
      </c>
      <c r="B123" t="str">
        <f>TRIM('Account Creation'!C123)</f>
        <v/>
      </c>
      <c r="C123" t="str">
        <f>TRIM('Account Creation'!B123)</f>
        <v/>
      </c>
      <c r="F123">
        <f>'Account Creation'!H123</f>
        <v>0</v>
      </c>
      <c r="G123">
        <f>'Account Creation'!I123</f>
        <v>0</v>
      </c>
      <c r="H123">
        <f>'Account Creation'!K123</f>
        <v>0</v>
      </c>
      <c r="I123">
        <f>'Account Creation'!J123</f>
        <v>0</v>
      </c>
    </row>
    <row r="124" spans="1:9" x14ac:dyDescent="0.25">
      <c r="A124" t="str">
        <f>TRIM('Account Creation'!D124)</f>
        <v/>
      </c>
      <c r="B124" t="str">
        <f>TRIM('Account Creation'!C124)</f>
        <v/>
      </c>
      <c r="C124" t="str">
        <f>TRIM('Account Creation'!B124)</f>
        <v/>
      </c>
      <c r="F124">
        <f>'Account Creation'!H124</f>
        <v>0</v>
      </c>
      <c r="G124">
        <f>'Account Creation'!I124</f>
        <v>0</v>
      </c>
      <c r="H124">
        <f>'Account Creation'!K124</f>
        <v>0</v>
      </c>
      <c r="I124">
        <f>'Account Creation'!J124</f>
        <v>0</v>
      </c>
    </row>
    <row r="125" spans="1:9" x14ac:dyDescent="0.25">
      <c r="A125" t="str">
        <f>TRIM('Account Creation'!D125)</f>
        <v/>
      </c>
      <c r="B125" t="str">
        <f>TRIM('Account Creation'!C125)</f>
        <v/>
      </c>
      <c r="C125" t="str">
        <f>TRIM('Account Creation'!B125)</f>
        <v/>
      </c>
      <c r="F125">
        <f>'Account Creation'!H125</f>
        <v>0</v>
      </c>
      <c r="G125">
        <f>'Account Creation'!I125</f>
        <v>0</v>
      </c>
      <c r="H125">
        <f>'Account Creation'!K125</f>
        <v>0</v>
      </c>
      <c r="I125">
        <f>'Account Creation'!J125</f>
        <v>0</v>
      </c>
    </row>
    <row r="126" spans="1:9" x14ac:dyDescent="0.25">
      <c r="A126" t="str">
        <f>TRIM('Account Creation'!D126)</f>
        <v/>
      </c>
      <c r="B126" t="str">
        <f>TRIM('Account Creation'!C126)</f>
        <v/>
      </c>
      <c r="C126" t="str">
        <f>TRIM('Account Creation'!B126)</f>
        <v/>
      </c>
      <c r="F126">
        <f>'Account Creation'!H126</f>
        <v>0</v>
      </c>
      <c r="G126">
        <f>'Account Creation'!I126</f>
        <v>0</v>
      </c>
      <c r="H126">
        <f>'Account Creation'!K126</f>
        <v>0</v>
      </c>
      <c r="I126">
        <f>'Account Creation'!J126</f>
        <v>0</v>
      </c>
    </row>
    <row r="127" spans="1:9" x14ac:dyDescent="0.25">
      <c r="A127" t="str">
        <f>TRIM('Account Creation'!D127)</f>
        <v/>
      </c>
      <c r="B127" t="str">
        <f>TRIM('Account Creation'!C127)</f>
        <v/>
      </c>
      <c r="C127" t="str">
        <f>TRIM('Account Creation'!B127)</f>
        <v/>
      </c>
      <c r="F127">
        <f>'Account Creation'!H127</f>
        <v>0</v>
      </c>
      <c r="G127">
        <f>'Account Creation'!I127</f>
        <v>0</v>
      </c>
      <c r="H127">
        <f>'Account Creation'!K127</f>
        <v>0</v>
      </c>
      <c r="I127">
        <f>'Account Creation'!J127</f>
        <v>0</v>
      </c>
    </row>
    <row r="128" spans="1:9" x14ac:dyDescent="0.25">
      <c r="A128" t="str">
        <f>TRIM('Account Creation'!D128)</f>
        <v/>
      </c>
      <c r="B128" t="str">
        <f>TRIM('Account Creation'!C128)</f>
        <v/>
      </c>
      <c r="C128" t="str">
        <f>TRIM('Account Creation'!B128)</f>
        <v/>
      </c>
      <c r="F128">
        <f>'Account Creation'!H128</f>
        <v>0</v>
      </c>
      <c r="G128">
        <f>'Account Creation'!I128</f>
        <v>0</v>
      </c>
      <c r="H128">
        <f>'Account Creation'!K128</f>
        <v>0</v>
      </c>
      <c r="I128">
        <f>'Account Creation'!J128</f>
        <v>0</v>
      </c>
    </row>
    <row r="129" spans="1:9" x14ac:dyDescent="0.25">
      <c r="A129" t="str">
        <f>TRIM('Account Creation'!D129)</f>
        <v/>
      </c>
      <c r="B129" t="str">
        <f>TRIM('Account Creation'!C129)</f>
        <v/>
      </c>
      <c r="C129" t="str">
        <f>TRIM('Account Creation'!B129)</f>
        <v/>
      </c>
      <c r="F129">
        <f>'Account Creation'!H129</f>
        <v>0</v>
      </c>
      <c r="G129">
        <f>'Account Creation'!I129</f>
        <v>0</v>
      </c>
      <c r="H129">
        <f>'Account Creation'!K129</f>
        <v>0</v>
      </c>
      <c r="I129">
        <f>'Account Creation'!J129</f>
        <v>0</v>
      </c>
    </row>
    <row r="130" spans="1:9" x14ac:dyDescent="0.25">
      <c r="A130" t="str">
        <f>TRIM('Account Creation'!D130)</f>
        <v/>
      </c>
      <c r="B130" t="str">
        <f>TRIM('Account Creation'!C130)</f>
        <v/>
      </c>
      <c r="C130" t="str">
        <f>TRIM('Account Creation'!B130)</f>
        <v/>
      </c>
      <c r="F130">
        <f>'Account Creation'!H130</f>
        <v>0</v>
      </c>
      <c r="G130">
        <f>'Account Creation'!I130</f>
        <v>0</v>
      </c>
      <c r="H130">
        <f>'Account Creation'!K130</f>
        <v>0</v>
      </c>
      <c r="I130">
        <f>'Account Creation'!J130</f>
        <v>0</v>
      </c>
    </row>
    <row r="131" spans="1:9" x14ac:dyDescent="0.25">
      <c r="A131" t="str">
        <f>TRIM('Account Creation'!D131)</f>
        <v/>
      </c>
      <c r="B131" t="str">
        <f>TRIM('Account Creation'!C131)</f>
        <v/>
      </c>
      <c r="C131" t="str">
        <f>TRIM('Account Creation'!B131)</f>
        <v/>
      </c>
      <c r="F131">
        <f>'Account Creation'!H131</f>
        <v>0</v>
      </c>
      <c r="G131">
        <f>'Account Creation'!I131</f>
        <v>0</v>
      </c>
      <c r="H131">
        <f>'Account Creation'!K131</f>
        <v>0</v>
      </c>
      <c r="I131">
        <f>'Account Creation'!J131</f>
        <v>0</v>
      </c>
    </row>
    <row r="132" spans="1:9" x14ac:dyDescent="0.25">
      <c r="A132" t="str">
        <f>TRIM('Account Creation'!D132)</f>
        <v/>
      </c>
      <c r="B132" t="str">
        <f>TRIM('Account Creation'!C132)</f>
        <v/>
      </c>
      <c r="C132" t="str">
        <f>TRIM('Account Creation'!B132)</f>
        <v/>
      </c>
      <c r="F132">
        <f>'Account Creation'!H132</f>
        <v>0</v>
      </c>
      <c r="G132">
        <f>'Account Creation'!I132</f>
        <v>0</v>
      </c>
      <c r="H132">
        <f>'Account Creation'!K132</f>
        <v>0</v>
      </c>
      <c r="I132">
        <f>'Account Creation'!J132</f>
        <v>0</v>
      </c>
    </row>
    <row r="133" spans="1:9" x14ac:dyDescent="0.25">
      <c r="A133" t="str">
        <f>TRIM('Account Creation'!D133)</f>
        <v/>
      </c>
      <c r="B133" t="str">
        <f>TRIM('Account Creation'!C133)</f>
        <v/>
      </c>
      <c r="C133" t="str">
        <f>TRIM('Account Creation'!B133)</f>
        <v/>
      </c>
      <c r="F133">
        <f>'Account Creation'!H133</f>
        <v>0</v>
      </c>
      <c r="G133">
        <f>'Account Creation'!I133</f>
        <v>0</v>
      </c>
      <c r="H133">
        <f>'Account Creation'!K133</f>
        <v>0</v>
      </c>
      <c r="I133">
        <f>'Account Creation'!J133</f>
        <v>0</v>
      </c>
    </row>
    <row r="134" spans="1:9" x14ac:dyDescent="0.25">
      <c r="A134" t="str">
        <f>TRIM('Account Creation'!D134)</f>
        <v/>
      </c>
      <c r="B134" t="str">
        <f>TRIM('Account Creation'!C134)</f>
        <v/>
      </c>
      <c r="C134" t="str">
        <f>TRIM('Account Creation'!B134)</f>
        <v/>
      </c>
      <c r="F134">
        <f>'Account Creation'!H134</f>
        <v>0</v>
      </c>
      <c r="G134">
        <f>'Account Creation'!I134</f>
        <v>0</v>
      </c>
      <c r="H134">
        <f>'Account Creation'!K134</f>
        <v>0</v>
      </c>
      <c r="I134">
        <f>'Account Creation'!J134</f>
        <v>0</v>
      </c>
    </row>
    <row r="135" spans="1:9" x14ac:dyDescent="0.25">
      <c r="A135" t="str">
        <f>TRIM('Account Creation'!D135)</f>
        <v/>
      </c>
      <c r="B135" t="str">
        <f>TRIM('Account Creation'!C135)</f>
        <v/>
      </c>
      <c r="C135" t="str">
        <f>TRIM('Account Creation'!B135)</f>
        <v/>
      </c>
      <c r="F135">
        <f>'Account Creation'!H135</f>
        <v>0</v>
      </c>
      <c r="G135">
        <f>'Account Creation'!I135</f>
        <v>0</v>
      </c>
      <c r="H135">
        <f>'Account Creation'!K135</f>
        <v>0</v>
      </c>
      <c r="I135">
        <f>'Account Creation'!J135</f>
        <v>0</v>
      </c>
    </row>
    <row r="136" spans="1:9" x14ac:dyDescent="0.25">
      <c r="A136" t="str">
        <f>TRIM('Account Creation'!D136)</f>
        <v/>
      </c>
      <c r="B136" t="str">
        <f>TRIM('Account Creation'!C136)</f>
        <v/>
      </c>
      <c r="C136" t="str">
        <f>TRIM('Account Creation'!B136)</f>
        <v/>
      </c>
      <c r="F136">
        <f>'Account Creation'!H136</f>
        <v>0</v>
      </c>
      <c r="G136">
        <f>'Account Creation'!I136</f>
        <v>0</v>
      </c>
      <c r="H136">
        <f>'Account Creation'!K136</f>
        <v>0</v>
      </c>
      <c r="I136">
        <f>'Account Creation'!J136</f>
        <v>0</v>
      </c>
    </row>
    <row r="137" spans="1:9" x14ac:dyDescent="0.25">
      <c r="A137" t="str">
        <f>TRIM('Account Creation'!D137)</f>
        <v/>
      </c>
      <c r="B137" t="str">
        <f>TRIM('Account Creation'!C137)</f>
        <v/>
      </c>
      <c r="C137" t="str">
        <f>TRIM('Account Creation'!B137)</f>
        <v/>
      </c>
      <c r="F137">
        <f>'Account Creation'!H137</f>
        <v>0</v>
      </c>
      <c r="G137">
        <f>'Account Creation'!I137</f>
        <v>0</v>
      </c>
      <c r="H137">
        <f>'Account Creation'!K137</f>
        <v>0</v>
      </c>
      <c r="I137">
        <f>'Account Creation'!J137</f>
        <v>0</v>
      </c>
    </row>
    <row r="138" spans="1:9" x14ac:dyDescent="0.25">
      <c r="A138" t="str">
        <f>TRIM('Account Creation'!D138)</f>
        <v/>
      </c>
      <c r="B138" t="str">
        <f>TRIM('Account Creation'!C138)</f>
        <v/>
      </c>
      <c r="C138" t="str">
        <f>TRIM('Account Creation'!B138)</f>
        <v/>
      </c>
      <c r="F138">
        <f>'Account Creation'!H138</f>
        <v>0</v>
      </c>
      <c r="G138">
        <f>'Account Creation'!I138</f>
        <v>0</v>
      </c>
      <c r="H138">
        <f>'Account Creation'!K138</f>
        <v>0</v>
      </c>
      <c r="I138">
        <f>'Account Creation'!J138</f>
        <v>0</v>
      </c>
    </row>
    <row r="139" spans="1:9" x14ac:dyDescent="0.25">
      <c r="A139" t="str">
        <f>TRIM('Account Creation'!D139)</f>
        <v/>
      </c>
      <c r="B139" t="str">
        <f>TRIM('Account Creation'!C139)</f>
        <v/>
      </c>
      <c r="C139" t="str">
        <f>TRIM('Account Creation'!B139)</f>
        <v/>
      </c>
      <c r="F139">
        <f>'Account Creation'!H139</f>
        <v>0</v>
      </c>
      <c r="G139">
        <f>'Account Creation'!I139</f>
        <v>0</v>
      </c>
      <c r="H139">
        <f>'Account Creation'!K139</f>
        <v>0</v>
      </c>
      <c r="I139">
        <f>'Account Creation'!J139</f>
        <v>0</v>
      </c>
    </row>
    <row r="140" spans="1:9" x14ac:dyDescent="0.25">
      <c r="A140" t="str">
        <f>TRIM('Account Creation'!D140)</f>
        <v/>
      </c>
      <c r="B140" t="str">
        <f>TRIM('Account Creation'!C140)</f>
        <v/>
      </c>
      <c r="C140" t="str">
        <f>TRIM('Account Creation'!B140)</f>
        <v/>
      </c>
      <c r="F140">
        <f>'Account Creation'!H140</f>
        <v>0</v>
      </c>
      <c r="G140">
        <f>'Account Creation'!I140</f>
        <v>0</v>
      </c>
      <c r="H140">
        <f>'Account Creation'!K140</f>
        <v>0</v>
      </c>
      <c r="I140">
        <f>'Account Creation'!J140</f>
        <v>0</v>
      </c>
    </row>
    <row r="141" spans="1:9" x14ac:dyDescent="0.25">
      <c r="A141" t="str">
        <f>TRIM('Account Creation'!D141)</f>
        <v/>
      </c>
      <c r="B141" t="str">
        <f>TRIM('Account Creation'!C141)</f>
        <v/>
      </c>
      <c r="C141" t="str">
        <f>TRIM('Account Creation'!B141)</f>
        <v/>
      </c>
      <c r="F141">
        <f>'Account Creation'!H141</f>
        <v>0</v>
      </c>
      <c r="G141">
        <f>'Account Creation'!I141</f>
        <v>0</v>
      </c>
      <c r="H141">
        <f>'Account Creation'!K141</f>
        <v>0</v>
      </c>
      <c r="I141">
        <f>'Account Creation'!J141</f>
        <v>0</v>
      </c>
    </row>
    <row r="142" spans="1:9" x14ac:dyDescent="0.25">
      <c r="A142" t="str">
        <f>TRIM('Account Creation'!D142)</f>
        <v/>
      </c>
      <c r="B142" t="str">
        <f>TRIM('Account Creation'!C142)</f>
        <v/>
      </c>
      <c r="C142" t="str">
        <f>TRIM('Account Creation'!B142)</f>
        <v/>
      </c>
      <c r="F142">
        <f>'Account Creation'!H142</f>
        <v>0</v>
      </c>
      <c r="G142">
        <f>'Account Creation'!I142</f>
        <v>0</v>
      </c>
      <c r="H142">
        <f>'Account Creation'!K142</f>
        <v>0</v>
      </c>
      <c r="I142">
        <f>'Account Creation'!J142</f>
        <v>0</v>
      </c>
    </row>
    <row r="143" spans="1:9" x14ac:dyDescent="0.25">
      <c r="A143" t="str">
        <f>TRIM('Account Creation'!D143)</f>
        <v/>
      </c>
      <c r="B143" t="str">
        <f>TRIM('Account Creation'!C143)</f>
        <v/>
      </c>
      <c r="C143" t="str">
        <f>TRIM('Account Creation'!B143)</f>
        <v/>
      </c>
      <c r="F143">
        <f>'Account Creation'!H143</f>
        <v>0</v>
      </c>
      <c r="G143">
        <f>'Account Creation'!I143</f>
        <v>0</v>
      </c>
      <c r="H143">
        <f>'Account Creation'!K143</f>
        <v>0</v>
      </c>
      <c r="I143">
        <f>'Account Creation'!J143</f>
        <v>0</v>
      </c>
    </row>
    <row r="144" spans="1:9" x14ac:dyDescent="0.25">
      <c r="A144" t="str">
        <f>TRIM('Account Creation'!D144)</f>
        <v/>
      </c>
      <c r="B144" t="str">
        <f>TRIM('Account Creation'!C144)</f>
        <v/>
      </c>
      <c r="C144" t="str">
        <f>TRIM('Account Creation'!B144)</f>
        <v/>
      </c>
      <c r="F144">
        <f>'Account Creation'!H144</f>
        <v>0</v>
      </c>
      <c r="G144">
        <f>'Account Creation'!I144</f>
        <v>0</v>
      </c>
      <c r="H144">
        <f>'Account Creation'!K144</f>
        <v>0</v>
      </c>
      <c r="I144">
        <f>'Account Creation'!J144</f>
        <v>0</v>
      </c>
    </row>
    <row r="145" spans="1:9" x14ac:dyDescent="0.25">
      <c r="A145" t="str">
        <f>TRIM('Account Creation'!D145)</f>
        <v/>
      </c>
      <c r="B145" t="str">
        <f>TRIM('Account Creation'!C145)</f>
        <v/>
      </c>
      <c r="C145" t="str">
        <f>TRIM('Account Creation'!B145)</f>
        <v/>
      </c>
      <c r="F145">
        <f>'Account Creation'!H145</f>
        <v>0</v>
      </c>
      <c r="G145">
        <f>'Account Creation'!I145</f>
        <v>0</v>
      </c>
      <c r="H145">
        <f>'Account Creation'!K145</f>
        <v>0</v>
      </c>
      <c r="I145">
        <f>'Account Creation'!J145</f>
        <v>0</v>
      </c>
    </row>
    <row r="146" spans="1:9" x14ac:dyDescent="0.25">
      <c r="A146" t="str">
        <f>TRIM('Account Creation'!D146)</f>
        <v/>
      </c>
      <c r="B146" t="str">
        <f>TRIM('Account Creation'!C146)</f>
        <v/>
      </c>
      <c r="C146" t="str">
        <f>TRIM('Account Creation'!B146)</f>
        <v/>
      </c>
      <c r="F146">
        <f>'Account Creation'!H146</f>
        <v>0</v>
      </c>
      <c r="G146">
        <f>'Account Creation'!I146</f>
        <v>0</v>
      </c>
      <c r="H146">
        <f>'Account Creation'!K146</f>
        <v>0</v>
      </c>
      <c r="I146">
        <f>'Account Creation'!J146</f>
        <v>0</v>
      </c>
    </row>
    <row r="147" spans="1:9" x14ac:dyDescent="0.25">
      <c r="A147" t="str">
        <f>TRIM('Account Creation'!D147)</f>
        <v/>
      </c>
      <c r="B147" t="str">
        <f>TRIM('Account Creation'!C147)</f>
        <v/>
      </c>
      <c r="C147" t="str">
        <f>TRIM('Account Creation'!B147)</f>
        <v/>
      </c>
      <c r="F147">
        <f>'Account Creation'!H147</f>
        <v>0</v>
      </c>
      <c r="G147">
        <f>'Account Creation'!I147</f>
        <v>0</v>
      </c>
      <c r="H147">
        <f>'Account Creation'!K147</f>
        <v>0</v>
      </c>
      <c r="I147">
        <f>'Account Creation'!J147</f>
        <v>0</v>
      </c>
    </row>
    <row r="148" spans="1:9" x14ac:dyDescent="0.25">
      <c r="A148" t="str">
        <f>TRIM('Account Creation'!D148)</f>
        <v/>
      </c>
      <c r="B148" t="str">
        <f>TRIM('Account Creation'!C148)</f>
        <v/>
      </c>
      <c r="C148" t="str">
        <f>TRIM('Account Creation'!B148)</f>
        <v/>
      </c>
      <c r="F148">
        <f>'Account Creation'!H148</f>
        <v>0</v>
      </c>
      <c r="G148">
        <f>'Account Creation'!I148</f>
        <v>0</v>
      </c>
      <c r="H148">
        <f>'Account Creation'!K148</f>
        <v>0</v>
      </c>
      <c r="I148">
        <f>'Account Creation'!J148</f>
        <v>0</v>
      </c>
    </row>
    <row r="149" spans="1:9" x14ac:dyDescent="0.25">
      <c r="A149" t="str">
        <f>TRIM('Account Creation'!D149)</f>
        <v/>
      </c>
      <c r="B149" t="str">
        <f>TRIM('Account Creation'!C149)</f>
        <v/>
      </c>
      <c r="C149" t="str">
        <f>TRIM('Account Creation'!B149)</f>
        <v/>
      </c>
      <c r="F149">
        <f>'Account Creation'!H149</f>
        <v>0</v>
      </c>
      <c r="G149">
        <f>'Account Creation'!I149</f>
        <v>0</v>
      </c>
      <c r="H149">
        <f>'Account Creation'!K149</f>
        <v>0</v>
      </c>
      <c r="I149">
        <f>'Account Creation'!J149</f>
        <v>0</v>
      </c>
    </row>
    <row r="150" spans="1:9" x14ac:dyDescent="0.25">
      <c r="A150" t="str">
        <f>TRIM('Account Creation'!D150)</f>
        <v/>
      </c>
      <c r="B150" t="str">
        <f>TRIM('Account Creation'!C150)</f>
        <v/>
      </c>
      <c r="C150" t="str">
        <f>TRIM('Account Creation'!B150)</f>
        <v/>
      </c>
      <c r="F150">
        <f>'Account Creation'!H150</f>
        <v>0</v>
      </c>
      <c r="G150">
        <f>'Account Creation'!I150</f>
        <v>0</v>
      </c>
      <c r="H150">
        <f>'Account Creation'!K150</f>
        <v>0</v>
      </c>
      <c r="I150">
        <f>'Account Creation'!J150</f>
        <v>0</v>
      </c>
    </row>
    <row r="151" spans="1:9" x14ac:dyDescent="0.25">
      <c r="A151" t="str">
        <f>TRIM('Account Creation'!D151)</f>
        <v/>
      </c>
      <c r="B151" t="str">
        <f>TRIM('Account Creation'!C151)</f>
        <v/>
      </c>
      <c r="C151" t="str">
        <f>TRIM('Account Creation'!B151)</f>
        <v/>
      </c>
      <c r="F151">
        <f>'Account Creation'!H151</f>
        <v>0</v>
      </c>
      <c r="G151">
        <f>'Account Creation'!I151</f>
        <v>0</v>
      </c>
      <c r="H151">
        <f>'Account Creation'!K151</f>
        <v>0</v>
      </c>
      <c r="I151">
        <f>'Account Creation'!J151</f>
        <v>0</v>
      </c>
    </row>
    <row r="152" spans="1:9" x14ac:dyDescent="0.25">
      <c r="A152" t="str">
        <f>TRIM('Account Creation'!D152)</f>
        <v/>
      </c>
      <c r="B152" t="str">
        <f>TRIM('Account Creation'!C152)</f>
        <v/>
      </c>
      <c r="C152" t="str">
        <f>TRIM('Account Creation'!B152)</f>
        <v/>
      </c>
      <c r="F152">
        <f>'Account Creation'!H152</f>
        <v>0</v>
      </c>
      <c r="G152">
        <f>'Account Creation'!I152</f>
        <v>0</v>
      </c>
      <c r="H152">
        <f>'Account Creation'!K152</f>
        <v>0</v>
      </c>
      <c r="I152">
        <f>'Account Creation'!J152</f>
        <v>0</v>
      </c>
    </row>
    <row r="153" spans="1:9" x14ac:dyDescent="0.25">
      <c r="A153" t="str">
        <f>TRIM('Account Creation'!D153)</f>
        <v/>
      </c>
      <c r="B153" t="str">
        <f>TRIM('Account Creation'!C153)</f>
        <v/>
      </c>
      <c r="C153" t="str">
        <f>TRIM('Account Creation'!B153)</f>
        <v/>
      </c>
      <c r="F153">
        <f>'Account Creation'!H153</f>
        <v>0</v>
      </c>
      <c r="G153">
        <f>'Account Creation'!I153</f>
        <v>0</v>
      </c>
      <c r="H153">
        <f>'Account Creation'!K153</f>
        <v>0</v>
      </c>
      <c r="I153">
        <f>'Account Creation'!J153</f>
        <v>0</v>
      </c>
    </row>
    <row r="154" spans="1:9" x14ac:dyDescent="0.25">
      <c r="A154" t="str">
        <f>TRIM('Account Creation'!D154)</f>
        <v/>
      </c>
      <c r="B154" t="str">
        <f>TRIM('Account Creation'!C154)</f>
        <v/>
      </c>
      <c r="C154" t="str">
        <f>TRIM('Account Creation'!B154)</f>
        <v/>
      </c>
      <c r="F154">
        <f>'Account Creation'!H154</f>
        <v>0</v>
      </c>
      <c r="G154">
        <f>'Account Creation'!I154</f>
        <v>0</v>
      </c>
      <c r="H154">
        <f>'Account Creation'!K154</f>
        <v>0</v>
      </c>
      <c r="I154">
        <f>'Account Creation'!J154</f>
        <v>0</v>
      </c>
    </row>
    <row r="155" spans="1:9" x14ac:dyDescent="0.25">
      <c r="A155" t="str">
        <f>TRIM('Account Creation'!D155)</f>
        <v/>
      </c>
      <c r="B155" t="str">
        <f>TRIM('Account Creation'!C155)</f>
        <v/>
      </c>
      <c r="C155" t="str">
        <f>TRIM('Account Creation'!B155)</f>
        <v/>
      </c>
      <c r="F155">
        <f>'Account Creation'!H155</f>
        <v>0</v>
      </c>
      <c r="G155">
        <f>'Account Creation'!I155</f>
        <v>0</v>
      </c>
      <c r="H155">
        <f>'Account Creation'!K155</f>
        <v>0</v>
      </c>
      <c r="I155">
        <f>'Account Creation'!J155</f>
        <v>0</v>
      </c>
    </row>
    <row r="156" spans="1:9" x14ac:dyDescent="0.25">
      <c r="A156" t="str">
        <f>TRIM('Account Creation'!D156)</f>
        <v/>
      </c>
      <c r="B156" t="str">
        <f>TRIM('Account Creation'!C156)</f>
        <v/>
      </c>
      <c r="C156" t="str">
        <f>TRIM('Account Creation'!B156)</f>
        <v/>
      </c>
      <c r="F156">
        <f>'Account Creation'!H156</f>
        <v>0</v>
      </c>
      <c r="G156">
        <f>'Account Creation'!I156</f>
        <v>0</v>
      </c>
      <c r="H156">
        <f>'Account Creation'!K156</f>
        <v>0</v>
      </c>
      <c r="I156">
        <f>'Account Creation'!J156</f>
        <v>0</v>
      </c>
    </row>
    <row r="157" spans="1:9" x14ac:dyDescent="0.25">
      <c r="A157" t="str">
        <f>TRIM('Account Creation'!D157)</f>
        <v/>
      </c>
      <c r="B157" t="str">
        <f>TRIM('Account Creation'!C157)</f>
        <v/>
      </c>
      <c r="C157" t="str">
        <f>TRIM('Account Creation'!B157)</f>
        <v/>
      </c>
      <c r="F157">
        <f>'Account Creation'!H157</f>
        <v>0</v>
      </c>
      <c r="G157">
        <f>'Account Creation'!I157</f>
        <v>0</v>
      </c>
      <c r="H157">
        <f>'Account Creation'!K157</f>
        <v>0</v>
      </c>
      <c r="I157">
        <f>'Account Creation'!J157</f>
        <v>0</v>
      </c>
    </row>
    <row r="158" spans="1:9" x14ac:dyDescent="0.25">
      <c r="A158" t="str">
        <f>TRIM('Account Creation'!D158)</f>
        <v/>
      </c>
      <c r="B158" t="str">
        <f>TRIM('Account Creation'!C158)</f>
        <v/>
      </c>
      <c r="C158" t="str">
        <f>TRIM('Account Creation'!B158)</f>
        <v/>
      </c>
      <c r="F158">
        <f>'Account Creation'!H158</f>
        <v>0</v>
      </c>
      <c r="G158">
        <f>'Account Creation'!I158</f>
        <v>0</v>
      </c>
      <c r="H158">
        <f>'Account Creation'!K158</f>
        <v>0</v>
      </c>
      <c r="I158">
        <f>'Account Creation'!J158</f>
        <v>0</v>
      </c>
    </row>
    <row r="159" spans="1:9" x14ac:dyDescent="0.25">
      <c r="A159" t="str">
        <f>TRIM('Account Creation'!D159)</f>
        <v/>
      </c>
      <c r="B159" t="str">
        <f>TRIM('Account Creation'!C159)</f>
        <v/>
      </c>
      <c r="C159" t="str">
        <f>TRIM('Account Creation'!B159)</f>
        <v/>
      </c>
      <c r="F159">
        <f>'Account Creation'!H159</f>
        <v>0</v>
      </c>
      <c r="G159">
        <f>'Account Creation'!I159</f>
        <v>0</v>
      </c>
      <c r="H159">
        <f>'Account Creation'!K159</f>
        <v>0</v>
      </c>
      <c r="I159">
        <f>'Account Creation'!J159</f>
        <v>0</v>
      </c>
    </row>
    <row r="160" spans="1:9" x14ac:dyDescent="0.25">
      <c r="A160" t="str">
        <f>TRIM('Account Creation'!D160)</f>
        <v/>
      </c>
      <c r="B160" t="str">
        <f>TRIM('Account Creation'!C160)</f>
        <v/>
      </c>
      <c r="C160" t="str">
        <f>TRIM('Account Creation'!B160)</f>
        <v/>
      </c>
      <c r="F160">
        <f>'Account Creation'!H160</f>
        <v>0</v>
      </c>
      <c r="G160">
        <f>'Account Creation'!I160</f>
        <v>0</v>
      </c>
      <c r="H160">
        <f>'Account Creation'!K160</f>
        <v>0</v>
      </c>
      <c r="I160">
        <f>'Account Creation'!J160</f>
        <v>0</v>
      </c>
    </row>
    <row r="161" spans="1:9" x14ac:dyDescent="0.25">
      <c r="A161" t="str">
        <f>TRIM('Account Creation'!D161)</f>
        <v/>
      </c>
      <c r="B161" t="str">
        <f>TRIM('Account Creation'!C161)</f>
        <v/>
      </c>
      <c r="C161" t="str">
        <f>TRIM('Account Creation'!B161)</f>
        <v/>
      </c>
      <c r="F161">
        <f>'Account Creation'!H161</f>
        <v>0</v>
      </c>
      <c r="G161">
        <f>'Account Creation'!I161</f>
        <v>0</v>
      </c>
      <c r="H161">
        <f>'Account Creation'!K161</f>
        <v>0</v>
      </c>
      <c r="I161">
        <f>'Account Creation'!J161</f>
        <v>0</v>
      </c>
    </row>
    <row r="162" spans="1:9" x14ac:dyDescent="0.25">
      <c r="A162" t="str">
        <f>TRIM('Account Creation'!D162)</f>
        <v/>
      </c>
      <c r="B162" t="str">
        <f>TRIM('Account Creation'!C162)</f>
        <v/>
      </c>
      <c r="C162" t="str">
        <f>TRIM('Account Creation'!B162)</f>
        <v/>
      </c>
      <c r="F162">
        <f>'Account Creation'!H162</f>
        <v>0</v>
      </c>
      <c r="G162">
        <f>'Account Creation'!I162</f>
        <v>0</v>
      </c>
      <c r="H162">
        <f>'Account Creation'!K162</f>
        <v>0</v>
      </c>
      <c r="I162">
        <f>'Account Creation'!J162</f>
        <v>0</v>
      </c>
    </row>
    <row r="163" spans="1:9" x14ac:dyDescent="0.25">
      <c r="A163" t="str">
        <f>TRIM('Account Creation'!D163)</f>
        <v/>
      </c>
      <c r="B163" t="str">
        <f>TRIM('Account Creation'!C163)</f>
        <v/>
      </c>
      <c r="C163" t="str">
        <f>TRIM('Account Creation'!B163)</f>
        <v/>
      </c>
      <c r="F163">
        <f>'Account Creation'!H163</f>
        <v>0</v>
      </c>
      <c r="G163">
        <f>'Account Creation'!I163</f>
        <v>0</v>
      </c>
      <c r="H163">
        <f>'Account Creation'!K163</f>
        <v>0</v>
      </c>
      <c r="I163">
        <f>'Account Creation'!J163</f>
        <v>0</v>
      </c>
    </row>
    <row r="164" spans="1:9" x14ac:dyDescent="0.25">
      <c r="A164" t="str">
        <f>TRIM('Account Creation'!D164)</f>
        <v/>
      </c>
      <c r="B164" t="str">
        <f>TRIM('Account Creation'!C164)</f>
        <v/>
      </c>
      <c r="C164" t="str">
        <f>TRIM('Account Creation'!B164)</f>
        <v/>
      </c>
      <c r="F164">
        <f>'Account Creation'!H164</f>
        <v>0</v>
      </c>
      <c r="G164">
        <f>'Account Creation'!I164</f>
        <v>0</v>
      </c>
      <c r="H164">
        <f>'Account Creation'!K164</f>
        <v>0</v>
      </c>
      <c r="I164">
        <f>'Account Creation'!J164</f>
        <v>0</v>
      </c>
    </row>
    <row r="165" spans="1:9" x14ac:dyDescent="0.25">
      <c r="A165" t="str">
        <f>TRIM('Account Creation'!D165)</f>
        <v/>
      </c>
      <c r="B165" t="str">
        <f>TRIM('Account Creation'!C165)</f>
        <v/>
      </c>
      <c r="C165" t="str">
        <f>TRIM('Account Creation'!B165)</f>
        <v/>
      </c>
      <c r="F165">
        <f>'Account Creation'!H165</f>
        <v>0</v>
      </c>
      <c r="G165">
        <f>'Account Creation'!I165</f>
        <v>0</v>
      </c>
      <c r="H165">
        <f>'Account Creation'!K165</f>
        <v>0</v>
      </c>
      <c r="I165">
        <f>'Account Creation'!J165</f>
        <v>0</v>
      </c>
    </row>
    <row r="166" spans="1:9" x14ac:dyDescent="0.25">
      <c r="A166" t="str">
        <f>TRIM('Account Creation'!D166)</f>
        <v/>
      </c>
      <c r="B166" t="str">
        <f>TRIM('Account Creation'!C166)</f>
        <v/>
      </c>
      <c r="C166" t="str">
        <f>TRIM('Account Creation'!B166)</f>
        <v/>
      </c>
      <c r="F166">
        <f>'Account Creation'!H166</f>
        <v>0</v>
      </c>
      <c r="G166">
        <f>'Account Creation'!I166</f>
        <v>0</v>
      </c>
      <c r="H166">
        <f>'Account Creation'!K166</f>
        <v>0</v>
      </c>
      <c r="I166">
        <f>'Account Creation'!J166</f>
        <v>0</v>
      </c>
    </row>
    <row r="167" spans="1:9" x14ac:dyDescent="0.25">
      <c r="A167" t="str">
        <f>TRIM('Account Creation'!D167)</f>
        <v/>
      </c>
      <c r="B167" t="str">
        <f>TRIM('Account Creation'!C167)</f>
        <v/>
      </c>
      <c r="C167" t="str">
        <f>TRIM('Account Creation'!B167)</f>
        <v/>
      </c>
      <c r="F167">
        <f>'Account Creation'!H167</f>
        <v>0</v>
      </c>
      <c r="G167">
        <f>'Account Creation'!I167</f>
        <v>0</v>
      </c>
      <c r="H167">
        <f>'Account Creation'!K167</f>
        <v>0</v>
      </c>
      <c r="I167">
        <f>'Account Creation'!J167</f>
        <v>0</v>
      </c>
    </row>
    <row r="168" spans="1:9" x14ac:dyDescent="0.25">
      <c r="A168" t="str">
        <f>TRIM('Account Creation'!D168)</f>
        <v/>
      </c>
      <c r="B168" t="str">
        <f>TRIM('Account Creation'!C168)</f>
        <v/>
      </c>
      <c r="C168" t="str">
        <f>TRIM('Account Creation'!B168)</f>
        <v/>
      </c>
      <c r="F168">
        <f>'Account Creation'!H168</f>
        <v>0</v>
      </c>
      <c r="G168">
        <f>'Account Creation'!I168</f>
        <v>0</v>
      </c>
      <c r="H168">
        <f>'Account Creation'!K168</f>
        <v>0</v>
      </c>
      <c r="I168">
        <f>'Account Creation'!J168</f>
        <v>0</v>
      </c>
    </row>
    <row r="169" spans="1:9" x14ac:dyDescent="0.25">
      <c r="A169" t="str">
        <f>TRIM('Account Creation'!D169)</f>
        <v/>
      </c>
      <c r="B169" t="str">
        <f>TRIM('Account Creation'!C169)</f>
        <v/>
      </c>
      <c r="C169" t="str">
        <f>TRIM('Account Creation'!B169)</f>
        <v/>
      </c>
      <c r="F169">
        <f>'Account Creation'!H169</f>
        <v>0</v>
      </c>
      <c r="G169">
        <f>'Account Creation'!I169</f>
        <v>0</v>
      </c>
      <c r="H169">
        <f>'Account Creation'!K169</f>
        <v>0</v>
      </c>
      <c r="I169">
        <f>'Account Creation'!J169</f>
        <v>0</v>
      </c>
    </row>
    <row r="170" spans="1:9" x14ac:dyDescent="0.25">
      <c r="A170" t="str">
        <f>TRIM('Account Creation'!D170)</f>
        <v/>
      </c>
      <c r="B170" t="str">
        <f>TRIM('Account Creation'!C170)</f>
        <v/>
      </c>
      <c r="C170" t="str">
        <f>TRIM('Account Creation'!B170)</f>
        <v/>
      </c>
      <c r="F170">
        <f>'Account Creation'!H170</f>
        <v>0</v>
      </c>
      <c r="G170">
        <f>'Account Creation'!I170</f>
        <v>0</v>
      </c>
      <c r="H170">
        <f>'Account Creation'!K170</f>
        <v>0</v>
      </c>
      <c r="I170">
        <f>'Account Creation'!J170</f>
        <v>0</v>
      </c>
    </row>
    <row r="171" spans="1:9" x14ac:dyDescent="0.25">
      <c r="A171" t="str">
        <f>TRIM('Account Creation'!D171)</f>
        <v/>
      </c>
      <c r="B171" t="str">
        <f>TRIM('Account Creation'!C171)</f>
        <v/>
      </c>
      <c r="C171" t="str">
        <f>TRIM('Account Creation'!B171)</f>
        <v/>
      </c>
      <c r="F171">
        <f>'Account Creation'!H171</f>
        <v>0</v>
      </c>
      <c r="G171">
        <f>'Account Creation'!I171</f>
        <v>0</v>
      </c>
      <c r="H171">
        <f>'Account Creation'!K171</f>
        <v>0</v>
      </c>
      <c r="I171">
        <f>'Account Creation'!J171</f>
        <v>0</v>
      </c>
    </row>
    <row r="172" spans="1:9" x14ac:dyDescent="0.25">
      <c r="A172" t="str">
        <f>TRIM('Account Creation'!D172)</f>
        <v/>
      </c>
      <c r="B172" t="str">
        <f>TRIM('Account Creation'!C172)</f>
        <v/>
      </c>
      <c r="C172" t="str">
        <f>TRIM('Account Creation'!B172)</f>
        <v/>
      </c>
      <c r="F172">
        <f>'Account Creation'!H172</f>
        <v>0</v>
      </c>
      <c r="G172">
        <f>'Account Creation'!I172</f>
        <v>0</v>
      </c>
      <c r="H172">
        <f>'Account Creation'!K172</f>
        <v>0</v>
      </c>
      <c r="I172">
        <f>'Account Creation'!J172</f>
        <v>0</v>
      </c>
    </row>
    <row r="173" spans="1:9" x14ac:dyDescent="0.25">
      <c r="A173" t="str">
        <f>TRIM('Account Creation'!D173)</f>
        <v/>
      </c>
      <c r="B173" t="str">
        <f>TRIM('Account Creation'!C173)</f>
        <v/>
      </c>
      <c r="C173" t="str">
        <f>TRIM('Account Creation'!B173)</f>
        <v/>
      </c>
      <c r="F173">
        <f>'Account Creation'!H173</f>
        <v>0</v>
      </c>
      <c r="G173">
        <f>'Account Creation'!I173</f>
        <v>0</v>
      </c>
      <c r="H173">
        <f>'Account Creation'!K173</f>
        <v>0</v>
      </c>
      <c r="I173">
        <f>'Account Creation'!J173</f>
        <v>0</v>
      </c>
    </row>
    <row r="174" spans="1:9" x14ac:dyDescent="0.25">
      <c r="A174" t="str">
        <f>TRIM('Account Creation'!D174)</f>
        <v/>
      </c>
      <c r="B174" t="str">
        <f>TRIM('Account Creation'!C174)</f>
        <v/>
      </c>
      <c r="C174" t="str">
        <f>TRIM('Account Creation'!B174)</f>
        <v/>
      </c>
      <c r="F174">
        <f>'Account Creation'!H174</f>
        <v>0</v>
      </c>
      <c r="G174">
        <f>'Account Creation'!I174</f>
        <v>0</v>
      </c>
      <c r="H174">
        <f>'Account Creation'!K174</f>
        <v>0</v>
      </c>
      <c r="I174">
        <f>'Account Creation'!J174</f>
        <v>0</v>
      </c>
    </row>
    <row r="175" spans="1:9" x14ac:dyDescent="0.25">
      <c r="A175" t="str">
        <f>TRIM('Account Creation'!D175)</f>
        <v/>
      </c>
      <c r="B175" t="str">
        <f>TRIM('Account Creation'!C175)</f>
        <v/>
      </c>
      <c r="C175" t="str">
        <f>TRIM('Account Creation'!B175)</f>
        <v/>
      </c>
      <c r="F175">
        <f>'Account Creation'!H175</f>
        <v>0</v>
      </c>
      <c r="G175">
        <f>'Account Creation'!I175</f>
        <v>0</v>
      </c>
      <c r="H175">
        <f>'Account Creation'!K175</f>
        <v>0</v>
      </c>
      <c r="I175">
        <f>'Account Creation'!J175</f>
        <v>0</v>
      </c>
    </row>
    <row r="176" spans="1:9" x14ac:dyDescent="0.25">
      <c r="A176" t="str">
        <f>TRIM('Account Creation'!D176)</f>
        <v/>
      </c>
      <c r="B176" t="str">
        <f>TRIM('Account Creation'!C176)</f>
        <v/>
      </c>
      <c r="C176" t="str">
        <f>TRIM('Account Creation'!B176)</f>
        <v/>
      </c>
      <c r="F176">
        <f>'Account Creation'!H176</f>
        <v>0</v>
      </c>
      <c r="G176">
        <f>'Account Creation'!I176</f>
        <v>0</v>
      </c>
      <c r="H176">
        <f>'Account Creation'!K176</f>
        <v>0</v>
      </c>
      <c r="I176">
        <f>'Account Creation'!J176</f>
        <v>0</v>
      </c>
    </row>
    <row r="177" spans="1:9" x14ac:dyDescent="0.25">
      <c r="A177" t="str">
        <f>TRIM('Account Creation'!D177)</f>
        <v/>
      </c>
      <c r="B177" t="str">
        <f>TRIM('Account Creation'!C177)</f>
        <v/>
      </c>
      <c r="C177" t="str">
        <f>TRIM('Account Creation'!B177)</f>
        <v/>
      </c>
      <c r="F177">
        <f>'Account Creation'!H177</f>
        <v>0</v>
      </c>
      <c r="G177">
        <f>'Account Creation'!I177</f>
        <v>0</v>
      </c>
      <c r="H177">
        <f>'Account Creation'!K177</f>
        <v>0</v>
      </c>
      <c r="I177">
        <f>'Account Creation'!J177</f>
        <v>0</v>
      </c>
    </row>
    <row r="178" spans="1:9" x14ac:dyDescent="0.25">
      <c r="A178" t="str">
        <f>TRIM('Account Creation'!D178)</f>
        <v/>
      </c>
      <c r="B178" t="str">
        <f>TRIM('Account Creation'!C178)</f>
        <v/>
      </c>
      <c r="C178" t="str">
        <f>TRIM('Account Creation'!B178)</f>
        <v/>
      </c>
      <c r="F178">
        <f>'Account Creation'!H178</f>
        <v>0</v>
      </c>
      <c r="G178">
        <f>'Account Creation'!I178</f>
        <v>0</v>
      </c>
      <c r="H178">
        <f>'Account Creation'!K178</f>
        <v>0</v>
      </c>
      <c r="I178">
        <f>'Account Creation'!J178</f>
        <v>0</v>
      </c>
    </row>
    <row r="179" spans="1:9" x14ac:dyDescent="0.25">
      <c r="A179" t="str">
        <f>TRIM('Account Creation'!D179)</f>
        <v/>
      </c>
      <c r="B179" t="str">
        <f>TRIM('Account Creation'!C179)</f>
        <v/>
      </c>
      <c r="C179" t="str">
        <f>TRIM('Account Creation'!B179)</f>
        <v/>
      </c>
      <c r="F179">
        <f>'Account Creation'!H179</f>
        <v>0</v>
      </c>
      <c r="G179">
        <f>'Account Creation'!I179</f>
        <v>0</v>
      </c>
      <c r="H179">
        <f>'Account Creation'!K179</f>
        <v>0</v>
      </c>
      <c r="I179">
        <f>'Account Creation'!J179</f>
        <v>0</v>
      </c>
    </row>
    <row r="180" spans="1:9" x14ac:dyDescent="0.25">
      <c r="A180" t="str">
        <f>TRIM('Account Creation'!D180)</f>
        <v/>
      </c>
      <c r="B180" t="str">
        <f>TRIM('Account Creation'!C180)</f>
        <v/>
      </c>
      <c r="C180" t="str">
        <f>TRIM('Account Creation'!B180)</f>
        <v/>
      </c>
      <c r="F180">
        <f>'Account Creation'!H180</f>
        <v>0</v>
      </c>
      <c r="G180">
        <f>'Account Creation'!I180</f>
        <v>0</v>
      </c>
      <c r="H180">
        <f>'Account Creation'!K180</f>
        <v>0</v>
      </c>
      <c r="I180">
        <f>'Account Creation'!J180</f>
        <v>0</v>
      </c>
    </row>
    <row r="181" spans="1:9" x14ac:dyDescent="0.25">
      <c r="A181" t="str">
        <f>TRIM('Account Creation'!D181)</f>
        <v/>
      </c>
      <c r="B181" t="str">
        <f>TRIM('Account Creation'!C181)</f>
        <v/>
      </c>
      <c r="C181" t="str">
        <f>TRIM('Account Creation'!B181)</f>
        <v/>
      </c>
      <c r="F181">
        <f>'Account Creation'!H181</f>
        <v>0</v>
      </c>
      <c r="G181">
        <f>'Account Creation'!I181</f>
        <v>0</v>
      </c>
      <c r="H181">
        <f>'Account Creation'!K181</f>
        <v>0</v>
      </c>
      <c r="I181">
        <f>'Account Creation'!J181</f>
        <v>0</v>
      </c>
    </row>
    <row r="182" spans="1:9" x14ac:dyDescent="0.25">
      <c r="A182" t="str">
        <f>TRIM('Account Creation'!D182)</f>
        <v/>
      </c>
      <c r="B182" t="str">
        <f>TRIM('Account Creation'!C182)</f>
        <v/>
      </c>
      <c r="C182" t="str">
        <f>TRIM('Account Creation'!B182)</f>
        <v/>
      </c>
      <c r="F182">
        <f>'Account Creation'!H182</f>
        <v>0</v>
      </c>
      <c r="G182">
        <f>'Account Creation'!I182</f>
        <v>0</v>
      </c>
      <c r="H182">
        <f>'Account Creation'!K182</f>
        <v>0</v>
      </c>
      <c r="I182">
        <f>'Account Creation'!J182</f>
        <v>0</v>
      </c>
    </row>
    <row r="183" spans="1:9" x14ac:dyDescent="0.25">
      <c r="A183" t="str">
        <f>TRIM('Account Creation'!D183)</f>
        <v/>
      </c>
      <c r="B183" t="str">
        <f>TRIM('Account Creation'!C183)</f>
        <v/>
      </c>
      <c r="C183" t="str">
        <f>TRIM('Account Creation'!B183)</f>
        <v/>
      </c>
      <c r="F183">
        <f>'Account Creation'!H183</f>
        <v>0</v>
      </c>
      <c r="G183">
        <f>'Account Creation'!I183</f>
        <v>0</v>
      </c>
      <c r="H183">
        <f>'Account Creation'!K183</f>
        <v>0</v>
      </c>
      <c r="I183">
        <f>'Account Creation'!J183</f>
        <v>0</v>
      </c>
    </row>
    <row r="184" spans="1:9" x14ac:dyDescent="0.25">
      <c r="A184" t="str">
        <f>TRIM('Account Creation'!D184)</f>
        <v/>
      </c>
      <c r="B184" t="str">
        <f>TRIM('Account Creation'!C184)</f>
        <v/>
      </c>
      <c r="C184" t="str">
        <f>TRIM('Account Creation'!B184)</f>
        <v/>
      </c>
      <c r="F184">
        <f>'Account Creation'!H184</f>
        <v>0</v>
      </c>
      <c r="G184">
        <f>'Account Creation'!I184</f>
        <v>0</v>
      </c>
      <c r="H184">
        <f>'Account Creation'!K184</f>
        <v>0</v>
      </c>
      <c r="I184">
        <f>'Account Creation'!J184</f>
        <v>0</v>
      </c>
    </row>
    <row r="185" spans="1:9" x14ac:dyDescent="0.25">
      <c r="A185" t="str">
        <f>TRIM('Account Creation'!D185)</f>
        <v/>
      </c>
      <c r="B185" t="str">
        <f>TRIM('Account Creation'!C185)</f>
        <v/>
      </c>
      <c r="C185" t="str">
        <f>TRIM('Account Creation'!B185)</f>
        <v/>
      </c>
      <c r="F185">
        <f>'Account Creation'!H185</f>
        <v>0</v>
      </c>
      <c r="G185">
        <f>'Account Creation'!I185</f>
        <v>0</v>
      </c>
      <c r="H185">
        <f>'Account Creation'!K185</f>
        <v>0</v>
      </c>
      <c r="I185">
        <f>'Account Creation'!J185</f>
        <v>0</v>
      </c>
    </row>
    <row r="186" spans="1:9" x14ac:dyDescent="0.25">
      <c r="A186" t="str">
        <f>TRIM('Account Creation'!D186)</f>
        <v/>
      </c>
      <c r="B186" t="str">
        <f>TRIM('Account Creation'!C186)</f>
        <v/>
      </c>
      <c r="C186" t="str">
        <f>TRIM('Account Creation'!B186)</f>
        <v/>
      </c>
      <c r="F186">
        <f>'Account Creation'!H186</f>
        <v>0</v>
      </c>
      <c r="G186">
        <f>'Account Creation'!I186</f>
        <v>0</v>
      </c>
      <c r="H186">
        <f>'Account Creation'!K186</f>
        <v>0</v>
      </c>
      <c r="I186">
        <f>'Account Creation'!J186</f>
        <v>0</v>
      </c>
    </row>
    <row r="187" spans="1:9" x14ac:dyDescent="0.25">
      <c r="A187" t="str">
        <f>TRIM('Account Creation'!D187)</f>
        <v/>
      </c>
      <c r="B187" t="str">
        <f>TRIM('Account Creation'!C187)</f>
        <v/>
      </c>
      <c r="C187" t="str">
        <f>TRIM('Account Creation'!B187)</f>
        <v/>
      </c>
      <c r="F187">
        <f>'Account Creation'!H187</f>
        <v>0</v>
      </c>
      <c r="G187">
        <f>'Account Creation'!I187</f>
        <v>0</v>
      </c>
      <c r="H187">
        <f>'Account Creation'!K187</f>
        <v>0</v>
      </c>
      <c r="I187">
        <f>'Account Creation'!J187</f>
        <v>0</v>
      </c>
    </row>
    <row r="188" spans="1:9" x14ac:dyDescent="0.25">
      <c r="A188" t="str">
        <f>TRIM('Account Creation'!D188)</f>
        <v/>
      </c>
      <c r="B188" t="str">
        <f>TRIM('Account Creation'!C188)</f>
        <v/>
      </c>
      <c r="C188" t="str">
        <f>TRIM('Account Creation'!B188)</f>
        <v/>
      </c>
      <c r="F188">
        <f>'Account Creation'!H188</f>
        <v>0</v>
      </c>
      <c r="G188">
        <f>'Account Creation'!I188</f>
        <v>0</v>
      </c>
      <c r="H188">
        <f>'Account Creation'!K188</f>
        <v>0</v>
      </c>
      <c r="I188">
        <f>'Account Creation'!J188</f>
        <v>0</v>
      </c>
    </row>
    <row r="189" spans="1:9" x14ac:dyDescent="0.25">
      <c r="A189" t="str">
        <f>TRIM('Account Creation'!D189)</f>
        <v/>
      </c>
      <c r="B189" t="str">
        <f>TRIM('Account Creation'!C189)</f>
        <v/>
      </c>
      <c r="C189" t="str">
        <f>TRIM('Account Creation'!B189)</f>
        <v/>
      </c>
      <c r="F189">
        <f>'Account Creation'!H189</f>
        <v>0</v>
      </c>
      <c r="G189">
        <f>'Account Creation'!I189</f>
        <v>0</v>
      </c>
      <c r="H189">
        <f>'Account Creation'!K189</f>
        <v>0</v>
      </c>
      <c r="I189">
        <f>'Account Creation'!J189</f>
        <v>0</v>
      </c>
    </row>
    <row r="190" spans="1:9" x14ac:dyDescent="0.25">
      <c r="A190" t="str">
        <f>TRIM('Account Creation'!D190)</f>
        <v/>
      </c>
      <c r="B190" t="str">
        <f>TRIM('Account Creation'!C190)</f>
        <v/>
      </c>
      <c r="C190" t="str">
        <f>TRIM('Account Creation'!B190)</f>
        <v/>
      </c>
      <c r="F190">
        <f>'Account Creation'!H190</f>
        <v>0</v>
      </c>
      <c r="G190">
        <f>'Account Creation'!I190</f>
        <v>0</v>
      </c>
      <c r="H190">
        <f>'Account Creation'!K190</f>
        <v>0</v>
      </c>
      <c r="I190">
        <f>'Account Creation'!J190</f>
        <v>0</v>
      </c>
    </row>
    <row r="191" spans="1:9" x14ac:dyDescent="0.25">
      <c r="A191" t="str">
        <f>TRIM('Account Creation'!D191)</f>
        <v/>
      </c>
      <c r="B191" t="str">
        <f>TRIM('Account Creation'!C191)</f>
        <v/>
      </c>
      <c r="C191" t="str">
        <f>TRIM('Account Creation'!B191)</f>
        <v/>
      </c>
      <c r="F191">
        <f>'Account Creation'!H191</f>
        <v>0</v>
      </c>
      <c r="G191">
        <f>'Account Creation'!I191</f>
        <v>0</v>
      </c>
      <c r="H191">
        <f>'Account Creation'!K191</f>
        <v>0</v>
      </c>
      <c r="I191">
        <f>'Account Creation'!J191</f>
        <v>0</v>
      </c>
    </row>
    <row r="192" spans="1:9" x14ac:dyDescent="0.25">
      <c r="A192" t="str">
        <f>TRIM('Account Creation'!D192)</f>
        <v/>
      </c>
      <c r="B192" t="str">
        <f>TRIM('Account Creation'!C192)</f>
        <v/>
      </c>
      <c r="C192" t="str">
        <f>TRIM('Account Creation'!B192)</f>
        <v/>
      </c>
      <c r="F192">
        <f>'Account Creation'!H192</f>
        <v>0</v>
      </c>
      <c r="G192">
        <f>'Account Creation'!I192</f>
        <v>0</v>
      </c>
      <c r="H192">
        <f>'Account Creation'!K192</f>
        <v>0</v>
      </c>
      <c r="I192">
        <f>'Account Creation'!J192</f>
        <v>0</v>
      </c>
    </row>
    <row r="193" spans="1:9" x14ac:dyDescent="0.25">
      <c r="A193" t="str">
        <f>TRIM('Account Creation'!D193)</f>
        <v/>
      </c>
      <c r="B193" t="str">
        <f>TRIM('Account Creation'!C193)</f>
        <v/>
      </c>
      <c r="C193" t="str">
        <f>TRIM('Account Creation'!B193)</f>
        <v/>
      </c>
      <c r="F193">
        <f>'Account Creation'!H193</f>
        <v>0</v>
      </c>
      <c r="G193">
        <f>'Account Creation'!I193</f>
        <v>0</v>
      </c>
      <c r="H193">
        <f>'Account Creation'!K193</f>
        <v>0</v>
      </c>
      <c r="I193">
        <f>'Account Creation'!J193</f>
        <v>0</v>
      </c>
    </row>
    <row r="194" spans="1:9" x14ac:dyDescent="0.25">
      <c r="A194" t="str">
        <f>TRIM('Account Creation'!D194)</f>
        <v/>
      </c>
      <c r="B194" t="str">
        <f>TRIM('Account Creation'!C194)</f>
        <v/>
      </c>
      <c r="C194" t="str">
        <f>TRIM('Account Creation'!B194)</f>
        <v/>
      </c>
      <c r="F194">
        <f>'Account Creation'!H194</f>
        <v>0</v>
      </c>
      <c r="G194">
        <f>'Account Creation'!I194</f>
        <v>0</v>
      </c>
      <c r="H194">
        <f>'Account Creation'!K194</f>
        <v>0</v>
      </c>
      <c r="I194">
        <f>'Account Creation'!J194</f>
        <v>0</v>
      </c>
    </row>
    <row r="195" spans="1:9" x14ac:dyDescent="0.25">
      <c r="A195" t="str">
        <f>TRIM('Account Creation'!D195)</f>
        <v/>
      </c>
      <c r="B195" t="str">
        <f>TRIM('Account Creation'!C195)</f>
        <v/>
      </c>
      <c r="C195" t="str">
        <f>TRIM('Account Creation'!B195)</f>
        <v/>
      </c>
      <c r="F195">
        <f>'Account Creation'!H195</f>
        <v>0</v>
      </c>
      <c r="G195">
        <f>'Account Creation'!I195</f>
        <v>0</v>
      </c>
      <c r="H195">
        <f>'Account Creation'!K195</f>
        <v>0</v>
      </c>
      <c r="I195">
        <f>'Account Creation'!J195</f>
        <v>0</v>
      </c>
    </row>
    <row r="196" spans="1:9" x14ac:dyDescent="0.25">
      <c r="A196" t="str">
        <f>TRIM('Account Creation'!D196)</f>
        <v/>
      </c>
      <c r="B196" t="str">
        <f>TRIM('Account Creation'!C196)</f>
        <v/>
      </c>
      <c r="C196" t="str">
        <f>TRIM('Account Creation'!B196)</f>
        <v/>
      </c>
      <c r="F196">
        <f>'Account Creation'!H196</f>
        <v>0</v>
      </c>
      <c r="G196">
        <f>'Account Creation'!I196</f>
        <v>0</v>
      </c>
      <c r="H196">
        <f>'Account Creation'!K196</f>
        <v>0</v>
      </c>
      <c r="I196">
        <f>'Account Creation'!J196</f>
        <v>0</v>
      </c>
    </row>
    <row r="197" spans="1:9" x14ac:dyDescent="0.25">
      <c r="A197" t="str">
        <f>TRIM('Account Creation'!D197)</f>
        <v/>
      </c>
      <c r="B197" t="str">
        <f>TRIM('Account Creation'!C197)</f>
        <v/>
      </c>
      <c r="C197" t="str">
        <f>TRIM('Account Creation'!B197)</f>
        <v/>
      </c>
      <c r="F197">
        <f>'Account Creation'!H197</f>
        <v>0</v>
      </c>
      <c r="G197">
        <f>'Account Creation'!I197</f>
        <v>0</v>
      </c>
      <c r="H197">
        <f>'Account Creation'!K197</f>
        <v>0</v>
      </c>
      <c r="I197">
        <f>'Account Creation'!J197</f>
        <v>0</v>
      </c>
    </row>
    <row r="198" spans="1:9" x14ac:dyDescent="0.25">
      <c r="A198" t="str">
        <f>TRIM('Account Creation'!D198)</f>
        <v/>
      </c>
      <c r="B198" t="str">
        <f>TRIM('Account Creation'!C198)</f>
        <v/>
      </c>
      <c r="C198" t="str">
        <f>TRIM('Account Creation'!B198)</f>
        <v/>
      </c>
      <c r="F198">
        <f>'Account Creation'!H198</f>
        <v>0</v>
      </c>
      <c r="G198">
        <f>'Account Creation'!I198</f>
        <v>0</v>
      </c>
      <c r="H198">
        <f>'Account Creation'!K198</f>
        <v>0</v>
      </c>
      <c r="I198">
        <f>'Account Creation'!J198</f>
        <v>0</v>
      </c>
    </row>
    <row r="199" spans="1:9" x14ac:dyDescent="0.25">
      <c r="A199" t="str">
        <f>TRIM('Account Creation'!D199)</f>
        <v/>
      </c>
      <c r="B199" t="str">
        <f>TRIM('Account Creation'!C199)</f>
        <v/>
      </c>
      <c r="C199" t="str">
        <f>TRIM('Account Creation'!B199)</f>
        <v/>
      </c>
      <c r="F199">
        <f>'Account Creation'!H199</f>
        <v>0</v>
      </c>
      <c r="G199">
        <f>'Account Creation'!I199</f>
        <v>0</v>
      </c>
      <c r="H199">
        <f>'Account Creation'!K199</f>
        <v>0</v>
      </c>
      <c r="I199">
        <f>'Account Creation'!J199</f>
        <v>0</v>
      </c>
    </row>
    <row r="200" spans="1:9" x14ac:dyDescent="0.25">
      <c r="A200" t="str">
        <f>TRIM('Account Creation'!D200)</f>
        <v/>
      </c>
      <c r="B200" t="str">
        <f>TRIM('Account Creation'!C200)</f>
        <v/>
      </c>
      <c r="C200" t="str">
        <f>TRIM('Account Creation'!B200)</f>
        <v/>
      </c>
      <c r="F200">
        <f>'Account Creation'!H200</f>
        <v>0</v>
      </c>
      <c r="G200">
        <f>'Account Creation'!I200</f>
        <v>0</v>
      </c>
      <c r="H200">
        <f>'Account Creation'!K200</f>
        <v>0</v>
      </c>
      <c r="I200">
        <f>'Account Creation'!J200</f>
        <v>0</v>
      </c>
    </row>
    <row r="201" spans="1:9" x14ac:dyDescent="0.25">
      <c r="A201" t="str">
        <f>TRIM('Account Creation'!D201)</f>
        <v/>
      </c>
      <c r="B201" t="str">
        <f>TRIM('Account Creation'!C201)</f>
        <v/>
      </c>
      <c r="C201" t="str">
        <f>TRIM('Account Creation'!B201)</f>
        <v/>
      </c>
      <c r="F201">
        <f>'Account Creation'!H201</f>
        <v>0</v>
      </c>
      <c r="G201">
        <f>'Account Creation'!I201</f>
        <v>0</v>
      </c>
      <c r="H201">
        <f>'Account Creation'!K201</f>
        <v>0</v>
      </c>
      <c r="I201">
        <f>'Account Creation'!J201</f>
        <v>0</v>
      </c>
    </row>
    <row r="202" spans="1:9" x14ac:dyDescent="0.25">
      <c r="A202" t="str">
        <f>TRIM('Account Creation'!D202)</f>
        <v/>
      </c>
      <c r="B202" t="str">
        <f>TRIM('Account Creation'!C202)</f>
        <v/>
      </c>
      <c r="C202" t="str">
        <f>TRIM('Account Creation'!B202)</f>
        <v/>
      </c>
      <c r="F202">
        <f>'Account Creation'!H202</f>
        <v>0</v>
      </c>
      <c r="G202">
        <f>'Account Creation'!I202</f>
        <v>0</v>
      </c>
      <c r="H202">
        <f>'Account Creation'!K202</f>
        <v>0</v>
      </c>
      <c r="I202">
        <f>'Account Creation'!J202</f>
        <v>0</v>
      </c>
    </row>
    <row r="203" spans="1:9" x14ac:dyDescent="0.25">
      <c r="A203" t="str">
        <f>TRIM('Account Creation'!D203)</f>
        <v/>
      </c>
      <c r="B203" t="str">
        <f>TRIM('Account Creation'!C203)</f>
        <v/>
      </c>
      <c r="C203" t="str">
        <f>TRIM('Account Creation'!B203)</f>
        <v/>
      </c>
      <c r="F203">
        <f>'Account Creation'!H203</f>
        <v>0</v>
      </c>
      <c r="G203">
        <f>'Account Creation'!I203</f>
        <v>0</v>
      </c>
      <c r="H203">
        <f>'Account Creation'!K203</f>
        <v>0</v>
      </c>
      <c r="I203">
        <f>'Account Creation'!J203</f>
        <v>0</v>
      </c>
    </row>
    <row r="204" spans="1:9" x14ac:dyDescent="0.25">
      <c r="A204" t="str">
        <f>TRIM('Account Creation'!D204)</f>
        <v/>
      </c>
      <c r="B204" t="str">
        <f>TRIM('Account Creation'!C204)</f>
        <v/>
      </c>
      <c r="C204" t="str">
        <f>TRIM('Account Creation'!B204)</f>
        <v/>
      </c>
      <c r="F204">
        <f>'Account Creation'!H204</f>
        <v>0</v>
      </c>
      <c r="G204">
        <f>'Account Creation'!I204</f>
        <v>0</v>
      </c>
      <c r="H204">
        <f>'Account Creation'!K204</f>
        <v>0</v>
      </c>
      <c r="I204">
        <f>'Account Creation'!J204</f>
        <v>0</v>
      </c>
    </row>
    <row r="205" spans="1:9" x14ac:dyDescent="0.25">
      <c r="A205" t="str">
        <f>TRIM('Account Creation'!D205)</f>
        <v/>
      </c>
      <c r="B205" t="str">
        <f>TRIM('Account Creation'!C205)</f>
        <v/>
      </c>
      <c r="C205" t="str">
        <f>TRIM('Account Creation'!B205)</f>
        <v/>
      </c>
      <c r="F205">
        <f>'Account Creation'!H205</f>
        <v>0</v>
      </c>
      <c r="G205">
        <f>'Account Creation'!I205</f>
        <v>0</v>
      </c>
      <c r="H205">
        <f>'Account Creation'!K205</f>
        <v>0</v>
      </c>
      <c r="I205">
        <f>'Account Creation'!J205</f>
        <v>0</v>
      </c>
    </row>
    <row r="206" spans="1:9" x14ac:dyDescent="0.25">
      <c r="A206" t="str">
        <f>TRIM('Account Creation'!D206)</f>
        <v/>
      </c>
      <c r="B206" t="str">
        <f>TRIM('Account Creation'!C206)</f>
        <v/>
      </c>
      <c r="C206" t="str">
        <f>TRIM('Account Creation'!B206)</f>
        <v/>
      </c>
      <c r="F206">
        <f>'Account Creation'!H206</f>
        <v>0</v>
      </c>
      <c r="G206">
        <f>'Account Creation'!I206</f>
        <v>0</v>
      </c>
      <c r="H206">
        <f>'Account Creation'!K206</f>
        <v>0</v>
      </c>
      <c r="I206">
        <f>'Account Creation'!J206</f>
        <v>0</v>
      </c>
    </row>
    <row r="207" spans="1:9" x14ac:dyDescent="0.25">
      <c r="A207" t="str">
        <f>TRIM('Account Creation'!D207)</f>
        <v/>
      </c>
      <c r="B207" t="str">
        <f>TRIM('Account Creation'!C207)</f>
        <v/>
      </c>
      <c r="C207" t="str">
        <f>TRIM('Account Creation'!B207)</f>
        <v/>
      </c>
      <c r="F207">
        <f>'Account Creation'!H207</f>
        <v>0</v>
      </c>
      <c r="G207">
        <f>'Account Creation'!I207</f>
        <v>0</v>
      </c>
      <c r="H207">
        <f>'Account Creation'!K207</f>
        <v>0</v>
      </c>
      <c r="I207">
        <f>'Account Creation'!J207</f>
        <v>0</v>
      </c>
    </row>
    <row r="208" spans="1:9" x14ac:dyDescent="0.25">
      <c r="A208" t="str">
        <f>TRIM('Account Creation'!D208)</f>
        <v/>
      </c>
      <c r="B208" t="str">
        <f>TRIM('Account Creation'!C208)</f>
        <v/>
      </c>
      <c r="C208" t="str">
        <f>TRIM('Account Creation'!B208)</f>
        <v/>
      </c>
      <c r="F208">
        <f>'Account Creation'!H208</f>
        <v>0</v>
      </c>
      <c r="G208">
        <f>'Account Creation'!I208</f>
        <v>0</v>
      </c>
      <c r="H208">
        <f>'Account Creation'!K208</f>
        <v>0</v>
      </c>
      <c r="I208">
        <f>'Account Creation'!J208</f>
        <v>0</v>
      </c>
    </row>
    <row r="209" spans="1:9" x14ac:dyDescent="0.25">
      <c r="A209" t="str">
        <f>TRIM('Account Creation'!D209)</f>
        <v/>
      </c>
      <c r="B209" t="str">
        <f>TRIM('Account Creation'!C209)</f>
        <v/>
      </c>
      <c r="C209" t="str">
        <f>TRIM('Account Creation'!B209)</f>
        <v/>
      </c>
      <c r="F209">
        <f>'Account Creation'!H209</f>
        <v>0</v>
      </c>
      <c r="G209">
        <f>'Account Creation'!I209</f>
        <v>0</v>
      </c>
      <c r="H209">
        <f>'Account Creation'!K209</f>
        <v>0</v>
      </c>
      <c r="I209">
        <f>'Account Creation'!J209</f>
        <v>0</v>
      </c>
    </row>
    <row r="210" spans="1:9" x14ac:dyDescent="0.25">
      <c r="A210" t="str">
        <f>TRIM('Account Creation'!D210)</f>
        <v/>
      </c>
      <c r="B210" t="str">
        <f>TRIM('Account Creation'!C210)</f>
        <v/>
      </c>
      <c r="C210" t="str">
        <f>TRIM('Account Creation'!B210)</f>
        <v/>
      </c>
      <c r="F210">
        <f>'Account Creation'!H210</f>
        <v>0</v>
      </c>
      <c r="G210">
        <f>'Account Creation'!I210</f>
        <v>0</v>
      </c>
      <c r="H210">
        <f>'Account Creation'!K210</f>
        <v>0</v>
      </c>
      <c r="I210">
        <f>'Account Creation'!J210</f>
        <v>0</v>
      </c>
    </row>
    <row r="211" spans="1:9" x14ac:dyDescent="0.25">
      <c r="A211" t="str">
        <f>TRIM('Account Creation'!D211)</f>
        <v/>
      </c>
      <c r="B211" t="str">
        <f>TRIM('Account Creation'!C211)</f>
        <v/>
      </c>
      <c r="C211" t="str">
        <f>TRIM('Account Creation'!B211)</f>
        <v/>
      </c>
      <c r="F211">
        <f>'Account Creation'!H211</f>
        <v>0</v>
      </c>
      <c r="G211">
        <f>'Account Creation'!I211</f>
        <v>0</v>
      </c>
      <c r="H211">
        <f>'Account Creation'!K211</f>
        <v>0</v>
      </c>
      <c r="I211">
        <f>'Account Creation'!J211</f>
        <v>0</v>
      </c>
    </row>
    <row r="212" spans="1:9" x14ac:dyDescent="0.25">
      <c r="A212" t="str">
        <f>TRIM('Account Creation'!D212)</f>
        <v/>
      </c>
      <c r="B212" t="str">
        <f>TRIM('Account Creation'!C212)</f>
        <v/>
      </c>
      <c r="C212" t="str">
        <f>TRIM('Account Creation'!B212)</f>
        <v/>
      </c>
      <c r="F212">
        <f>'Account Creation'!H212</f>
        <v>0</v>
      </c>
      <c r="G212">
        <f>'Account Creation'!I212</f>
        <v>0</v>
      </c>
      <c r="H212">
        <f>'Account Creation'!K212</f>
        <v>0</v>
      </c>
      <c r="I212">
        <f>'Account Creation'!J212</f>
        <v>0</v>
      </c>
    </row>
    <row r="213" spans="1:9" x14ac:dyDescent="0.25">
      <c r="A213" t="str">
        <f>TRIM('Account Creation'!D213)</f>
        <v/>
      </c>
      <c r="B213" t="str">
        <f>TRIM('Account Creation'!C213)</f>
        <v/>
      </c>
      <c r="C213" t="str">
        <f>TRIM('Account Creation'!B213)</f>
        <v/>
      </c>
      <c r="F213">
        <f>'Account Creation'!H213</f>
        <v>0</v>
      </c>
      <c r="G213">
        <f>'Account Creation'!I213</f>
        <v>0</v>
      </c>
      <c r="H213">
        <f>'Account Creation'!K213</f>
        <v>0</v>
      </c>
      <c r="I213">
        <f>'Account Creation'!J213</f>
        <v>0</v>
      </c>
    </row>
    <row r="214" spans="1:9" x14ac:dyDescent="0.25">
      <c r="A214" t="str">
        <f>TRIM('Account Creation'!D214)</f>
        <v/>
      </c>
      <c r="B214" t="str">
        <f>TRIM('Account Creation'!C214)</f>
        <v/>
      </c>
      <c r="C214" t="str">
        <f>TRIM('Account Creation'!B214)</f>
        <v/>
      </c>
      <c r="F214">
        <f>'Account Creation'!H214</f>
        <v>0</v>
      </c>
      <c r="G214">
        <f>'Account Creation'!I214</f>
        <v>0</v>
      </c>
      <c r="H214">
        <f>'Account Creation'!K214</f>
        <v>0</v>
      </c>
      <c r="I214">
        <f>'Account Creation'!J214</f>
        <v>0</v>
      </c>
    </row>
    <row r="215" spans="1:9" x14ac:dyDescent="0.25">
      <c r="A215" t="str">
        <f>TRIM('Account Creation'!D215)</f>
        <v/>
      </c>
      <c r="B215" t="str">
        <f>TRIM('Account Creation'!C215)</f>
        <v/>
      </c>
      <c r="C215" t="str">
        <f>TRIM('Account Creation'!B215)</f>
        <v/>
      </c>
      <c r="F215">
        <f>'Account Creation'!H215</f>
        <v>0</v>
      </c>
      <c r="G215">
        <f>'Account Creation'!I215</f>
        <v>0</v>
      </c>
      <c r="H215">
        <f>'Account Creation'!K215</f>
        <v>0</v>
      </c>
      <c r="I215">
        <f>'Account Creation'!J215</f>
        <v>0</v>
      </c>
    </row>
    <row r="216" spans="1:9" x14ac:dyDescent="0.25">
      <c r="A216" t="str">
        <f>TRIM('Account Creation'!D216)</f>
        <v/>
      </c>
      <c r="B216" t="str">
        <f>TRIM('Account Creation'!C216)</f>
        <v/>
      </c>
      <c r="C216" t="str">
        <f>TRIM('Account Creation'!B216)</f>
        <v/>
      </c>
      <c r="F216">
        <f>'Account Creation'!H216</f>
        <v>0</v>
      </c>
      <c r="G216">
        <f>'Account Creation'!I216</f>
        <v>0</v>
      </c>
      <c r="H216">
        <f>'Account Creation'!K216</f>
        <v>0</v>
      </c>
      <c r="I216">
        <f>'Account Creation'!J216</f>
        <v>0</v>
      </c>
    </row>
    <row r="217" spans="1:9" x14ac:dyDescent="0.25">
      <c r="A217" t="str">
        <f>TRIM('Account Creation'!D217)</f>
        <v/>
      </c>
      <c r="B217" t="str">
        <f>TRIM('Account Creation'!C217)</f>
        <v/>
      </c>
      <c r="C217" t="str">
        <f>TRIM('Account Creation'!B217)</f>
        <v/>
      </c>
      <c r="F217">
        <f>'Account Creation'!H217</f>
        <v>0</v>
      </c>
      <c r="G217">
        <f>'Account Creation'!I217</f>
        <v>0</v>
      </c>
      <c r="H217">
        <f>'Account Creation'!K217</f>
        <v>0</v>
      </c>
      <c r="I217">
        <f>'Account Creation'!J217</f>
        <v>0</v>
      </c>
    </row>
    <row r="218" spans="1:9" x14ac:dyDescent="0.25">
      <c r="A218" t="str">
        <f>TRIM('Account Creation'!D218)</f>
        <v/>
      </c>
      <c r="B218" t="str">
        <f>TRIM('Account Creation'!C218)</f>
        <v/>
      </c>
      <c r="C218" t="str">
        <f>TRIM('Account Creation'!B218)</f>
        <v/>
      </c>
      <c r="F218">
        <f>'Account Creation'!H218</f>
        <v>0</v>
      </c>
      <c r="G218">
        <f>'Account Creation'!I218</f>
        <v>0</v>
      </c>
      <c r="H218">
        <f>'Account Creation'!K218</f>
        <v>0</v>
      </c>
      <c r="I218">
        <f>'Account Creation'!J218</f>
        <v>0</v>
      </c>
    </row>
    <row r="219" spans="1:9" x14ac:dyDescent="0.25">
      <c r="A219" t="str">
        <f>TRIM('Account Creation'!D219)</f>
        <v/>
      </c>
      <c r="B219" t="str">
        <f>TRIM('Account Creation'!C219)</f>
        <v/>
      </c>
      <c r="C219" t="str">
        <f>TRIM('Account Creation'!B219)</f>
        <v/>
      </c>
      <c r="F219">
        <f>'Account Creation'!H219</f>
        <v>0</v>
      </c>
      <c r="G219">
        <f>'Account Creation'!I219</f>
        <v>0</v>
      </c>
      <c r="H219">
        <f>'Account Creation'!K219</f>
        <v>0</v>
      </c>
      <c r="I219">
        <f>'Account Creation'!J219</f>
        <v>0</v>
      </c>
    </row>
    <row r="220" spans="1:9" x14ac:dyDescent="0.25">
      <c r="A220" t="str">
        <f>TRIM('Account Creation'!D220)</f>
        <v/>
      </c>
      <c r="B220" t="str">
        <f>TRIM('Account Creation'!C220)</f>
        <v/>
      </c>
      <c r="C220" t="str">
        <f>TRIM('Account Creation'!B220)</f>
        <v/>
      </c>
      <c r="F220">
        <f>'Account Creation'!H220</f>
        <v>0</v>
      </c>
      <c r="G220">
        <f>'Account Creation'!I220</f>
        <v>0</v>
      </c>
      <c r="H220">
        <f>'Account Creation'!K220</f>
        <v>0</v>
      </c>
      <c r="I220">
        <f>'Account Creation'!J220</f>
        <v>0</v>
      </c>
    </row>
    <row r="221" spans="1:9" x14ac:dyDescent="0.25">
      <c r="A221" t="str">
        <f>TRIM('Account Creation'!D221)</f>
        <v/>
      </c>
      <c r="B221" t="str">
        <f>TRIM('Account Creation'!C221)</f>
        <v/>
      </c>
      <c r="C221" t="str">
        <f>TRIM('Account Creation'!B221)</f>
        <v/>
      </c>
      <c r="F221">
        <f>'Account Creation'!H221</f>
        <v>0</v>
      </c>
      <c r="G221">
        <f>'Account Creation'!I221</f>
        <v>0</v>
      </c>
      <c r="H221">
        <f>'Account Creation'!K221</f>
        <v>0</v>
      </c>
      <c r="I221">
        <f>'Account Creation'!J221</f>
        <v>0</v>
      </c>
    </row>
    <row r="222" spans="1:9" x14ac:dyDescent="0.25">
      <c r="A222" t="str">
        <f>TRIM('Account Creation'!D222)</f>
        <v/>
      </c>
      <c r="B222" t="str">
        <f>TRIM('Account Creation'!C222)</f>
        <v/>
      </c>
      <c r="C222" t="str">
        <f>TRIM('Account Creation'!B222)</f>
        <v/>
      </c>
      <c r="F222">
        <f>'Account Creation'!H222</f>
        <v>0</v>
      </c>
      <c r="G222">
        <f>'Account Creation'!I222</f>
        <v>0</v>
      </c>
      <c r="H222">
        <f>'Account Creation'!K222</f>
        <v>0</v>
      </c>
      <c r="I222">
        <f>'Account Creation'!J222</f>
        <v>0</v>
      </c>
    </row>
    <row r="223" spans="1:9" x14ac:dyDescent="0.25">
      <c r="A223" t="str">
        <f>TRIM('Account Creation'!D223)</f>
        <v/>
      </c>
      <c r="B223" t="str">
        <f>TRIM('Account Creation'!C223)</f>
        <v/>
      </c>
      <c r="C223" t="str">
        <f>TRIM('Account Creation'!B223)</f>
        <v/>
      </c>
      <c r="F223">
        <f>'Account Creation'!H223</f>
        <v>0</v>
      </c>
      <c r="G223">
        <f>'Account Creation'!I223</f>
        <v>0</v>
      </c>
      <c r="H223">
        <f>'Account Creation'!K223</f>
        <v>0</v>
      </c>
      <c r="I223">
        <f>'Account Creation'!J223</f>
        <v>0</v>
      </c>
    </row>
    <row r="224" spans="1:9" x14ac:dyDescent="0.25">
      <c r="A224" t="str">
        <f>TRIM('Account Creation'!D224)</f>
        <v/>
      </c>
      <c r="B224" t="str">
        <f>TRIM('Account Creation'!C224)</f>
        <v/>
      </c>
      <c r="C224" t="str">
        <f>TRIM('Account Creation'!B224)</f>
        <v/>
      </c>
      <c r="F224">
        <f>'Account Creation'!H224</f>
        <v>0</v>
      </c>
      <c r="G224">
        <f>'Account Creation'!I224</f>
        <v>0</v>
      </c>
      <c r="H224">
        <f>'Account Creation'!K224</f>
        <v>0</v>
      </c>
      <c r="I224">
        <f>'Account Creation'!J224</f>
        <v>0</v>
      </c>
    </row>
    <row r="225" spans="1:9" x14ac:dyDescent="0.25">
      <c r="A225" t="str">
        <f>TRIM('Account Creation'!D225)</f>
        <v/>
      </c>
      <c r="B225" t="str">
        <f>TRIM('Account Creation'!C225)</f>
        <v/>
      </c>
      <c r="C225" t="str">
        <f>TRIM('Account Creation'!B225)</f>
        <v/>
      </c>
      <c r="F225">
        <f>'Account Creation'!H225</f>
        <v>0</v>
      </c>
      <c r="G225">
        <f>'Account Creation'!I225</f>
        <v>0</v>
      </c>
      <c r="H225">
        <f>'Account Creation'!K225</f>
        <v>0</v>
      </c>
      <c r="I225">
        <f>'Account Creation'!J225</f>
        <v>0</v>
      </c>
    </row>
    <row r="226" spans="1:9" x14ac:dyDescent="0.25">
      <c r="A226" t="str">
        <f>TRIM('Account Creation'!D226)</f>
        <v/>
      </c>
      <c r="B226" t="str">
        <f>TRIM('Account Creation'!C226)</f>
        <v/>
      </c>
      <c r="C226" t="str">
        <f>TRIM('Account Creation'!B226)</f>
        <v/>
      </c>
      <c r="F226">
        <f>'Account Creation'!H226</f>
        <v>0</v>
      </c>
      <c r="G226">
        <f>'Account Creation'!I226</f>
        <v>0</v>
      </c>
      <c r="H226">
        <f>'Account Creation'!K226</f>
        <v>0</v>
      </c>
      <c r="I226">
        <f>'Account Creation'!J226</f>
        <v>0</v>
      </c>
    </row>
    <row r="227" spans="1:9" x14ac:dyDescent="0.25">
      <c r="A227" t="str">
        <f>TRIM('Account Creation'!D227)</f>
        <v/>
      </c>
      <c r="B227" t="str">
        <f>TRIM('Account Creation'!C227)</f>
        <v/>
      </c>
      <c r="C227" t="str">
        <f>TRIM('Account Creation'!B227)</f>
        <v/>
      </c>
      <c r="F227">
        <f>'Account Creation'!H227</f>
        <v>0</v>
      </c>
      <c r="G227">
        <f>'Account Creation'!I227</f>
        <v>0</v>
      </c>
      <c r="H227">
        <f>'Account Creation'!K227</f>
        <v>0</v>
      </c>
      <c r="I227">
        <f>'Account Creation'!J227</f>
        <v>0</v>
      </c>
    </row>
    <row r="228" spans="1:9" x14ac:dyDescent="0.25">
      <c r="A228" t="str">
        <f>TRIM('Account Creation'!D228)</f>
        <v/>
      </c>
      <c r="B228" t="str">
        <f>TRIM('Account Creation'!C228)</f>
        <v/>
      </c>
      <c r="C228" t="str">
        <f>TRIM('Account Creation'!B228)</f>
        <v/>
      </c>
      <c r="F228">
        <f>'Account Creation'!H228</f>
        <v>0</v>
      </c>
      <c r="G228">
        <f>'Account Creation'!I228</f>
        <v>0</v>
      </c>
      <c r="H228">
        <f>'Account Creation'!K228</f>
        <v>0</v>
      </c>
      <c r="I228">
        <f>'Account Creation'!J228</f>
        <v>0</v>
      </c>
    </row>
    <row r="229" spans="1:9" x14ac:dyDescent="0.25">
      <c r="A229" t="str">
        <f>TRIM('Account Creation'!D229)</f>
        <v/>
      </c>
      <c r="B229" t="str">
        <f>TRIM('Account Creation'!C229)</f>
        <v/>
      </c>
      <c r="C229" t="str">
        <f>TRIM('Account Creation'!B229)</f>
        <v/>
      </c>
      <c r="F229">
        <f>'Account Creation'!H229</f>
        <v>0</v>
      </c>
      <c r="G229">
        <f>'Account Creation'!I229</f>
        <v>0</v>
      </c>
      <c r="H229">
        <f>'Account Creation'!K229</f>
        <v>0</v>
      </c>
      <c r="I229">
        <f>'Account Creation'!J229</f>
        <v>0</v>
      </c>
    </row>
    <row r="230" spans="1:9" x14ac:dyDescent="0.25">
      <c r="A230" t="str">
        <f>TRIM('Account Creation'!D230)</f>
        <v/>
      </c>
      <c r="B230" t="str">
        <f>TRIM('Account Creation'!C230)</f>
        <v/>
      </c>
      <c r="C230" t="str">
        <f>TRIM('Account Creation'!B230)</f>
        <v/>
      </c>
      <c r="F230">
        <f>'Account Creation'!H230</f>
        <v>0</v>
      </c>
      <c r="G230">
        <f>'Account Creation'!I230</f>
        <v>0</v>
      </c>
      <c r="H230">
        <f>'Account Creation'!K230</f>
        <v>0</v>
      </c>
      <c r="I230">
        <f>'Account Creation'!J230</f>
        <v>0</v>
      </c>
    </row>
    <row r="231" spans="1:9" x14ac:dyDescent="0.25">
      <c r="A231" t="str">
        <f>TRIM('Account Creation'!D231)</f>
        <v/>
      </c>
      <c r="B231" t="str">
        <f>TRIM('Account Creation'!C231)</f>
        <v/>
      </c>
      <c r="C231" t="str">
        <f>TRIM('Account Creation'!B231)</f>
        <v/>
      </c>
      <c r="F231">
        <f>'Account Creation'!H231</f>
        <v>0</v>
      </c>
      <c r="G231">
        <f>'Account Creation'!I231</f>
        <v>0</v>
      </c>
      <c r="H231">
        <f>'Account Creation'!K231</f>
        <v>0</v>
      </c>
      <c r="I231">
        <f>'Account Creation'!J231</f>
        <v>0</v>
      </c>
    </row>
    <row r="232" spans="1:9" x14ac:dyDescent="0.25">
      <c r="A232" t="str">
        <f>TRIM('Account Creation'!D232)</f>
        <v/>
      </c>
      <c r="B232" t="str">
        <f>TRIM('Account Creation'!C232)</f>
        <v/>
      </c>
      <c r="C232" t="str">
        <f>TRIM('Account Creation'!B232)</f>
        <v/>
      </c>
      <c r="F232">
        <f>'Account Creation'!H232</f>
        <v>0</v>
      </c>
      <c r="G232">
        <f>'Account Creation'!I232</f>
        <v>0</v>
      </c>
      <c r="H232">
        <f>'Account Creation'!K232</f>
        <v>0</v>
      </c>
      <c r="I232">
        <f>'Account Creation'!J232</f>
        <v>0</v>
      </c>
    </row>
    <row r="233" spans="1:9" x14ac:dyDescent="0.25">
      <c r="A233" t="str">
        <f>TRIM('Account Creation'!D233)</f>
        <v/>
      </c>
      <c r="B233" t="str">
        <f>TRIM('Account Creation'!C233)</f>
        <v/>
      </c>
      <c r="C233" t="str">
        <f>TRIM('Account Creation'!B233)</f>
        <v/>
      </c>
      <c r="F233">
        <f>'Account Creation'!H233</f>
        <v>0</v>
      </c>
      <c r="G233">
        <f>'Account Creation'!I233</f>
        <v>0</v>
      </c>
      <c r="H233">
        <f>'Account Creation'!K233</f>
        <v>0</v>
      </c>
      <c r="I233">
        <f>'Account Creation'!J233</f>
        <v>0</v>
      </c>
    </row>
    <row r="234" spans="1:9" x14ac:dyDescent="0.25">
      <c r="A234" t="str">
        <f>TRIM('Account Creation'!D234)</f>
        <v/>
      </c>
      <c r="B234" t="str">
        <f>TRIM('Account Creation'!C234)</f>
        <v/>
      </c>
      <c r="C234" t="str">
        <f>TRIM('Account Creation'!B234)</f>
        <v/>
      </c>
      <c r="F234">
        <f>'Account Creation'!H234</f>
        <v>0</v>
      </c>
      <c r="G234">
        <f>'Account Creation'!I234</f>
        <v>0</v>
      </c>
      <c r="H234">
        <f>'Account Creation'!K234</f>
        <v>0</v>
      </c>
      <c r="I234">
        <f>'Account Creation'!J234</f>
        <v>0</v>
      </c>
    </row>
    <row r="235" spans="1:9" x14ac:dyDescent="0.25">
      <c r="A235" t="str">
        <f>TRIM('Account Creation'!D235)</f>
        <v/>
      </c>
      <c r="B235" t="str">
        <f>TRIM('Account Creation'!C235)</f>
        <v/>
      </c>
      <c r="C235" t="str">
        <f>TRIM('Account Creation'!B235)</f>
        <v/>
      </c>
      <c r="F235">
        <f>'Account Creation'!H235</f>
        <v>0</v>
      </c>
      <c r="G235">
        <f>'Account Creation'!I235</f>
        <v>0</v>
      </c>
      <c r="H235">
        <f>'Account Creation'!K235</f>
        <v>0</v>
      </c>
      <c r="I235">
        <f>'Account Creation'!J235</f>
        <v>0</v>
      </c>
    </row>
    <row r="236" spans="1:9" x14ac:dyDescent="0.25">
      <c r="A236" t="str">
        <f>TRIM('Account Creation'!D236)</f>
        <v/>
      </c>
      <c r="B236" t="str">
        <f>TRIM('Account Creation'!C236)</f>
        <v/>
      </c>
      <c r="C236" t="str">
        <f>TRIM('Account Creation'!B236)</f>
        <v/>
      </c>
      <c r="F236">
        <f>'Account Creation'!H236</f>
        <v>0</v>
      </c>
      <c r="G236">
        <f>'Account Creation'!I236</f>
        <v>0</v>
      </c>
      <c r="H236">
        <f>'Account Creation'!K236</f>
        <v>0</v>
      </c>
      <c r="I236">
        <f>'Account Creation'!J236</f>
        <v>0</v>
      </c>
    </row>
    <row r="237" spans="1:9" x14ac:dyDescent="0.25">
      <c r="A237" t="str">
        <f>TRIM('Account Creation'!D237)</f>
        <v/>
      </c>
      <c r="B237" t="str">
        <f>TRIM('Account Creation'!C237)</f>
        <v/>
      </c>
      <c r="C237" t="str">
        <f>TRIM('Account Creation'!B237)</f>
        <v/>
      </c>
      <c r="F237">
        <f>'Account Creation'!H237</f>
        <v>0</v>
      </c>
      <c r="G237">
        <f>'Account Creation'!I237</f>
        <v>0</v>
      </c>
      <c r="H237">
        <f>'Account Creation'!K237</f>
        <v>0</v>
      </c>
      <c r="I237">
        <f>'Account Creation'!J237</f>
        <v>0</v>
      </c>
    </row>
    <row r="238" spans="1:9" x14ac:dyDescent="0.25">
      <c r="A238" t="str">
        <f>TRIM('Account Creation'!D238)</f>
        <v/>
      </c>
      <c r="B238" t="str">
        <f>TRIM('Account Creation'!C238)</f>
        <v/>
      </c>
      <c r="C238" t="str">
        <f>TRIM('Account Creation'!B238)</f>
        <v/>
      </c>
      <c r="F238">
        <f>'Account Creation'!H238</f>
        <v>0</v>
      </c>
      <c r="G238">
        <f>'Account Creation'!I238</f>
        <v>0</v>
      </c>
      <c r="H238">
        <f>'Account Creation'!K238</f>
        <v>0</v>
      </c>
      <c r="I238">
        <f>'Account Creation'!J238</f>
        <v>0</v>
      </c>
    </row>
    <row r="239" spans="1:9" x14ac:dyDescent="0.25">
      <c r="A239" t="str">
        <f>TRIM('Account Creation'!D239)</f>
        <v/>
      </c>
      <c r="B239" t="str">
        <f>TRIM('Account Creation'!C239)</f>
        <v/>
      </c>
      <c r="C239" t="str">
        <f>TRIM('Account Creation'!B239)</f>
        <v/>
      </c>
      <c r="F239">
        <f>'Account Creation'!H239</f>
        <v>0</v>
      </c>
      <c r="G239">
        <f>'Account Creation'!I239</f>
        <v>0</v>
      </c>
      <c r="H239">
        <f>'Account Creation'!K239</f>
        <v>0</v>
      </c>
      <c r="I239">
        <f>'Account Creation'!J239</f>
        <v>0</v>
      </c>
    </row>
    <row r="240" spans="1:9" x14ac:dyDescent="0.25">
      <c r="A240" t="str">
        <f>TRIM('Account Creation'!D240)</f>
        <v/>
      </c>
      <c r="B240" t="str">
        <f>TRIM('Account Creation'!C240)</f>
        <v/>
      </c>
      <c r="C240" t="str">
        <f>TRIM('Account Creation'!B240)</f>
        <v/>
      </c>
      <c r="F240">
        <f>'Account Creation'!H240</f>
        <v>0</v>
      </c>
      <c r="G240">
        <f>'Account Creation'!I240</f>
        <v>0</v>
      </c>
      <c r="H240">
        <f>'Account Creation'!K240</f>
        <v>0</v>
      </c>
      <c r="I240">
        <f>'Account Creation'!J240</f>
        <v>0</v>
      </c>
    </row>
    <row r="241" spans="1:9" x14ac:dyDescent="0.25">
      <c r="A241" t="str">
        <f>TRIM('Account Creation'!D241)</f>
        <v/>
      </c>
      <c r="B241" t="str">
        <f>TRIM('Account Creation'!C241)</f>
        <v/>
      </c>
      <c r="C241" t="str">
        <f>TRIM('Account Creation'!B241)</f>
        <v/>
      </c>
      <c r="F241">
        <f>'Account Creation'!H241</f>
        <v>0</v>
      </c>
      <c r="G241">
        <f>'Account Creation'!I241</f>
        <v>0</v>
      </c>
      <c r="H241">
        <f>'Account Creation'!K241</f>
        <v>0</v>
      </c>
      <c r="I241">
        <f>'Account Creation'!J241</f>
        <v>0</v>
      </c>
    </row>
    <row r="242" spans="1:9" x14ac:dyDescent="0.25">
      <c r="A242" t="str">
        <f>TRIM('Account Creation'!D242)</f>
        <v/>
      </c>
      <c r="B242" t="str">
        <f>TRIM('Account Creation'!C242)</f>
        <v/>
      </c>
      <c r="C242" t="str">
        <f>TRIM('Account Creation'!B242)</f>
        <v/>
      </c>
      <c r="F242">
        <f>'Account Creation'!H242</f>
        <v>0</v>
      </c>
      <c r="G242">
        <f>'Account Creation'!I242</f>
        <v>0</v>
      </c>
      <c r="H242">
        <f>'Account Creation'!K242</f>
        <v>0</v>
      </c>
      <c r="I242">
        <f>'Account Creation'!J242</f>
        <v>0</v>
      </c>
    </row>
    <row r="243" spans="1:9" x14ac:dyDescent="0.25">
      <c r="A243" t="str">
        <f>TRIM('Account Creation'!D243)</f>
        <v/>
      </c>
      <c r="B243" t="str">
        <f>TRIM('Account Creation'!C243)</f>
        <v/>
      </c>
      <c r="C243" t="str">
        <f>TRIM('Account Creation'!B243)</f>
        <v/>
      </c>
      <c r="F243">
        <f>'Account Creation'!H243</f>
        <v>0</v>
      </c>
      <c r="G243">
        <f>'Account Creation'!I243</f>
        <v>0</v>
      </c>
      <c r="H243">
        <f>'Account Creation'!K243</f>
        <v>0</v>
      </c>
      <c r="I243">
        <f>'Account Creation'!J243</f>
        <v>0</v>
      </c>
    </row>
    <row r="244" spans="1:9" x14ac:dyDescent="0.25">
      <c r="A244" t="str">
        <f>TRIM('Account Creation'!D244)</f>
        <v/>
      </c>
      <c r="B244" t="str">
        <f>TRIM('Account Creation'!C244)</f>
        <v/>
      </c>
      <c r="C244" t="str">
        <f>TRIM('Account Creation'!B244)</f>
        <v/>
      </c>
      <c r="F244">
        <f>'Account Creation'!H244</f>
        <v>0</v>
      </c>
      <c r="G244">
        <f>'Account Creation'!I244</f>
        <v>0</v>
      </c>
      <c r="H244">
        <f>'Account Creation'!K244</f>
        <v>0</v>
      </c>
      <c r="I244">
        <f>'Account Creation'!J244</f>
        <v>0</v>
      </c>
    </row>
    <row r="245" spans="1:9" x14ac:dyDescent="0.25">
      <c r="A245" t="str">
        <f>TRIM('Account Creation'!D245)</f>
        <v/>
      </c>
      <c r="B245" t="str">
        <f>TRIM('Account Creation'!C245)</f>
        <v/>
      </c>
      <c r="C245" t="str">
        <f>TRIM('Account Creation'!B245)</f>
        <v/>
      </c>
      <c r="F245">
        <f>'Account Creation'!H245</f>
        <v>0</v>
      </c>
      <c r="G245">
        <f>'Account Creation'!I245</f>
        <v>0</v>
      </c>
      <c r="H245">
        <f>'Account Creation'!K245</f>
        <v>0</v>
      </c>
      <c r="I245">
        <f>'Account Creation'!J245</f>
        <v>0</v>
      </c>
    </row>
    <row r="246" spans="1:9" x14ac:dyDescent="0.25">
      <c r="A246" t="str">
        <f>TRIM('Account Creation'!D246)</f>
        <v/>
      </c>
      <c r="B246" t="str">
        <f>TRIM('Account Creation'!C246)</f>
        <v/>
      </c>
      <c r="C246" t="str">
        <f>TRIM('Account Creation'!B246)</f>
        <v/>
      </c>
      <c r="F246">
        <f>'Account Creation'!H246</f>
        <v>0</v>
      </c>
      <c r="G246">
        <f>'Account Creation'!I246</f>
        <v>0</v>
      </c>
      <c r="H246">
        <f>'Account Creation'!K246</f>
        <v>0</v>
      </c>
      <c r="I246">
        <f>'Account Creation'!J246</f>
        <v>0</v>
      </c>
    </row>
    <row r="247" spans="1:9" x14ac:dyDescent="0.25">
      <c r="A247" t="str">
        <f>TRIM('Account Creation'!D247)</f>
        <v/>
      </c>
      <c r="B247" t="str">
        <f>TRIM('Account Creation'!C247)</f>
        <v/>
      </c>
      <c r="C247" t="str">
        <f>TRIM('Account Creation'!B247)</f>
        <v/>
      </c>
      <c r="F247">
        <f>'Account Creation'!H247</f>
        <v>0</v>
      </c>
      <c r="G247">
        <f>'Account Creation'!I247</f>
        <v>0</v>
      </c>
      <c r="H247">
        <f>'Account Creation'!K247</f>
        <v>0</v>
      </c>
      <c r="I247">
        <f>'Account Creation'!J247</f>
        <v>0</v>
      </c>
    </row>
    <row r="248" spans="1:9" x14ac:dyDescent="0.25">
      <c r="A248" t="str">
        <f>TRIM('Account Creation'!D248)</f>
        <v/>
      </c>
      <c r="B248" t="str">
        <f>TRIM('Account Creation'!C248)</f>
        <v/>
      </c>
      <c r="C248" t="str">
        <f>TRIM('Account Creation'!B248)</f>
        <v/>
      </c>
      <c r="F248">
        <f>'Account Creation'!H248</f>
        <v>0</v>
      </c>
      <c r="G248">
        <f>'Account Creation'!I248</f>
        <v>0</v>
      </c>
      <c r="H248">
        <f>'Account Creation'!K248</f>
        <v>0</v>
      </c>
      <c r="I248">
        <f>'Account Creation'!J248</f>
        <v>0</v>
      </c>
    </row>
    <row r="249" spans="1:9" x14ac:dyDescent="0.25">
      <c r="A249" t="str">
        <f>TRIM('Account Creation'!D249)</f>
        <v/>
      </c>
      <c r="B249" t="str">
        <f>TRIM('Account Creation'!C249)</f>
        <v/>
      </c>
      <c r="C249" t="str">
        <f>TRIM('Account Creation'!B249)</f>
        <v/>
      </c>
      <c r="F249">
        <f>'Account Creation'!H249</f>
        <v>0</v>
      </c>
      <c r="G249">
        <f>'Account Creation'!I249</f>
        <v>0</v>
      </c>
      <c r="H249">
        <f>'Account Creation'!K249</f>
        <v>0</v>
      </c>
      <c r="I249">
        <f>'Account Creation'!J249</f>
        <v>0</v>
      </c>
    </row>
    <row r="250" spans="1:9" x14ac:dyDescent="0.25">
      <c r="A250" t="str">
        <f>TRIM('Account Creation'!D250)</f>
        <v/>
      </c>
      <c r="B250" t="str">
        <f>TRIM('Account Creation'!C250)</f>
        <v/>
      </c>
      <c r="C250" t="str">
        <f>TRIM('Account Creation'!B250)</f>
        <v/>
      </c>
      <c r="F250">
        <f>'Account Creation'!H250</f>
        <v>0</v>
      </c>
      <c r="I250">
        <f>'Account Creation'!J250</f>
        <v>0</v>
      </c>
    </row>
    <row r="251" spans="1:9" x14ac:dyDescent="0.25">
      <c r="A251" t="str">
        <f>TRIM('Account Creation'!D251)</f>
        <v/>
      </c>
      <c r="B251" t="str">
        <f>TRIM('Account Creation'!C251)</f>
        <v/>
      </c>
      <c r="C251" t="str">
        <f>TRIM('Account Creation'!B251)</f>
        <v/>
      </c>
      <c r="F251">
        <f>'Account Creation'!H251</f>
        <v>0</v>
      </c>
      <c r="I251">
        <f>'Account Creation'!J251</f>
        <v>0</v>
      </c>
    </row>
  </sheetData>
  <phoneticPr fontId="4" type="noConversion"/>
  <conditionalFormatting sqref="A1 C1 A252:I1048576 E1:I1 D40:E251 F2:I251">
    <cfRule type="cellIs" dxfId="33" priority="15" operator="equal">
      <formula>0</formula>
    </cfRule>
  </conditionalFormatting>
  <conditionalFormatting sqref="J1:L1">
    <cfRule type="cellIs" dxfId="32" priority="14" operator="equal">
      <formula>0</formula>
    </cfRule>
  </conditionalFormatting>
  <conditionalFormatting sqref="D1">
    <cfRule type="cellIs" dxfId="31" priority="13" operator="equal">
      <formula>0</formula>
    </cfRule>
  </conditionalFormatting>
  <conditionalFormatting sqref="A2:C251">
    <cfRule type="cellIs" dxfId="30" priority="12" operator="equal">
      <formula>0</formula>
    </cfRule>
  </conditionalFormatting>
  <conditionalFormatting sqref="M1">
    <cfRule type="cellIs" dxfId="29" priority="9" operator="equal">
      <formula>0</formula>
    </cfRule>
  </conditionalFormatting>
  <conditionalFormatting sqref="N1">
    <cfRule type="cellIs" dxfId="28" priority="8" operator="equal">
      <formula>0</formula>
    </cfRule>
  </conditionalFormatting>
  <conditionalFormatting sqref="O1">
    <cfRule type="cellIs" dxfId="27" priority="7" operator="equal">
      <formula>0</formula>
    </cfRule>
  </conditionalFormatting>
  <conditionalFormatting sqref="P1">
    <cfRule type="cellIs" dxfId="26" priority="6" operator="equal">
      <formula>0</formula>
    </cfRule>
  </conditionalFormatting>
  <conditionalFormatting sqref="Q1">
    <cfRule type="cellIs" dxfId="25" priority="5" operator="equal">
      <formula>0</formula>
    </cfRule>
  </conditionalFormatting>
  <conditionalFormatting sqref="E17:E30 D31:E39">
    <cfRule type="cellIs" dxfId="24" priority="2" operator="equal">
      <formula>0</formula>
    </cfRule>
  </conditionalFormatting>
  <conditionalFormatting sqref="D17:D30">
    <cfRule type="cellIs" dxfId="23"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5F8F5-F13C-4005-A757-8A92FB0336DE}">
  <sheetPr codeName="Sheet9"/>
  <dimension ref="A1:T251"/>
  <sheetViews>
    <sheetView workbookViewId="0">
      <selection activeCell="A2" sqref="A2"/>
    </sheetView>
  </sheetViews>
  <sheetFormatPr defaultColWidth="21.42578125" defaultRowHeight="15" x14ac:dyDescent="0.25"/>
  <cols>
    <col min="1" max="9" width="21.42578125" customWidth="1"/>
    <col min="10" max="10" width="41.7109375" bestFit="1" customWidth="1"/>
    <col min="11" max="11" width="23.85546875" bestFit="1" customWidth="1"/>
    <col min="12" max="12" width="107.140625" customWidth="1"/>
    <col min="13" max="13" width="21.42578125" customWidth="1"/>
    <col min="14" max="14" width="20.140625" bestFit="1" customWidth="1"/>
    <col min="15" max="15" width="20.140625" customWidth="1"/>
    <col min="16" max="16" width="25.85546875" bestFit="1" customWidth="1"/>
    <col min="17" max="17" width="25.85546875" customWidth="1"/>
    <col min="18" max="19" width="25.85546875" bestFit="1" customWidth="1"/>
    <col min="20" max="20" width="21.42578125" customWidth="1"/>
  </cols>
  <sheetData>
    <row r="1" spans="1:20" x14ac:dyDescent="0.25">
      <c r="A1" t="s">
        <v>351</v>
      </c>
      <c r="B1" t="s">
        <v>2</v>
      </c>
      <c r="C1" t="s">
        <v>0</v>
      </c>
      <c r="D1" t="s">
        <v>28</v>
      </c>
      <c r="E1" t="s">
        <v>471</v>
      </c>
      <c r="F1" t="s">
        <v>362</v>
      </c>
      <c r="G1" t="s">
        <v>363</v>
      </c>
      <c r="H1" t="s">
        <v>472</v>
      </c>
      <c r="I1" t="s">
        <v>473</v>
      </c>
      <c r="J1" t="s">
        <v>474</v>
      </c>
      <c r="K1" t="s">
        <v>475</v>
      </c>
      <c r="L1" t="s">
        <v>26</v>
      </c>
      <c r="M1" t="s">
        <v>476</v>
      </c>
      <c r="N1" t="s">
        <v>477</v>
      </c>
      <c r="O1" t="s">
        <v>478</v>
      </c>
      <c r="P1" t="s">
        <v>479</v>
      </c>
      <c r="Q1" t="s">
        <v>480</v>
      </c>
      <c r="R1" t="s">
        <v>481</v>
      </c>
      <c r="S1" t="s">
        <v>482</v>
      </c>
      <c r="T1" t="s">
        <v>483</v>
      </c>
    </row>
    <row r="2" spans="1:20" x14ac:dyDescent="0.25">
      <c r="A2" t="str">
        <f>TRIM(CONCATENATE('Help Desk'!D2, 'Account Creation'!AE2))</f>
        <v>vn54tqf@wmt45.com</v>
      </c>
      <c r="B2" t="str">
        <f>IF(A2="","",'Account Creation'!B2)</f>
        <v>Cristian</v>
      </c>
      <c r="C2" t="str">
        <f>IF(A2="","",'Help Desk'!A2)</f>
        <v>Ramirez</v>
      </c>
      <c r="D2" t="str">
        <f>IF(A2="","",'Account Creation'!X2)</f>
        <v>guawmtops@24-7intouch.com</v>
      </c>
      <c r="F2" t="str">
        <f t="shared" ref="F2:F3" si="0">IF(A2="","","America/Chicago")</f>
        <v>America/Chicago</v>
      </c>
      <c r="G2" s="54">
        <f>IF(A2="","",'Account Creation'!G2)</f>
        <v>44851</v>
      </c>
      <c r="I2" t="str">
        <f t="shared" ref="I2:I65" si="1">IF(A2="","","TRUE")</f>
        <v>TRUE</v>
      </c>
      <c r="K2" t="str">
        <f>IF(A2="","",'Account Creation'!W2)</f>
        <v>247Intouch Agent</v>
      </c>
      <c r="L2" t="str">
        <f>IF(A2="","",'Account Creation'!V2)</f>
        <v>24-7Intouch_GTM_GUA_Chat_Nest</v>
      </c>
      <c r="P2" t="str">
        <f>IF('Help Desk'!D2="","",'Help Desk'!D2)</f>
        <v>vn54tqf</v>
      </c>
    </row>
    <row r="3" spans="1:20" x14ac:dyDescent="0.25">
      <c r="A3" t="str">
        <f>CONCATENATE('Help Desk'!D3, 'Account Creation'!AE3)</f>
        <v>vn54tqh@wmt45.com</v>
      </c>
      <c r="B3" t="str">
        <f>IF(A3="","",'Account Creation'!B3)</f>
        <v>Claudia</v>
      </c>
      <c r="C3" t="str">
        <f>IF(A3="","",'Help Desk'!A3)</f>
        <v>Garcia</v>
      </c>
      <c r="D3" t="str">
        <f>IF(A3="","",'Account Creation'!X3)</f>
        <v>guawmtops@24-7intouch.com</v>
      </c>
      <c r="F3" t="str">
        <f t="shared" si="0"/>
        <v>America/Chicago</v>
      </c>
      <c r="G3" s="54">
        <f>IF(A3="","",'Account Creation'!G3)</f>
        <v>44851</v>
      </c>
      <c r="I3" t="str">
        <f t="shared" si="1"/>
        <v>TRUE</v>
      </c>
      <c r="K3" t="str">
        <f>IF(A3="","",'Account Creation'!W3)</f>
        <v>247Intouch Agent</v>
      </c>
      <c r="L3" t="str">
        <f>IF(A3="","",'Account Creation'!V3)</f>
        <v>24-7Intouch_GTM_GUA_Chat_Nest</v>
      </c>
      <c r="P3" s="97" t="str">
        <f>IF('Help Desk'!D3="","",'Help Desk'!D3)</f>
        <v>vn54tqh</v>
      </c>
    </row>
    <row r="4" spans="1:20" x14ac:dyDescent="0.25">
      <c r="A4" t="str">
        <f>CONCATENATE('Help Desk'!D4, 'Account Creation'!AE4)</f>
        <v>vn54tqj@wmt45.com</v>
      </c>
      <c r="B4" t="str">
        <f>IF(A4="","",'Account Creation'!B4)</f>
        <v>Luis</v>
      </c>
      <c r="C4" t="str">
        <f>IF(A4="","",'Help Desk'!A4)</f>
        <v>Hernandez</v>
      </c>
      <c r="D4" t="str">
        <f>IF(A4="","",'Account Creation'!X4)</f>
        <v>guawmtops@24-7intouch.com</v>
      </c>
      <c r="F4" t="str">
        <f>IF(A4="","","America/Chicago")</f>
        <v>America/Chicago</v>
      </c>
      <c r="G4" s="54">
        <f>IF(A4="","",'Account Creation'!G4)</f>
        <v>44851</v>
      </c>
      <c r="I4" t="str">
        <f t="shared" si="1"/>
        <v>TRUE</v>
      </c>
      <c r="K4" t="str">
        <f>IF(A4="","",'Account Creation'!W4)</f>
        <v>247Intouch Agent</v>
      </c>
      <c r="L4" t="str">
        <f>IF(A4="","",'Account Creation'!V4)</f>
        <v>24-7Intouch_GTM_GUA_Chat_Nest</v>
      </c>
      <c r="P4" s="97" t="str">
        <f>IF('Help Desk'!D4="","",'Help Desk'!D4)</f>
        <v>vn54tqj</v>
      </c>
    </row>
    <row r="5" spans="1:20" x14ac:dyDescent="0.25">
      <c r="A5" t="str">
        <f>CONCATENATE('Help Desk'!D5, 'Account Creation'!AE5)</f>
        <v>vn54tql@wmt45.com</v>
      </c>
      <c r="B5" t="str">
        <f>IF(A5="","",'Account Creation'!B5)</f>
        <v>Sofia</v>
      </c>
      <c r="C5" t="str">
        <f>IF(A5="","",'Help Desk'!A5)</f>
        <v>Marroquin</v>
      </c>
      <c r="D5" t="str">
        <f>IF(A5="","",'Account Creation'!X5)</f>
        <v>guawmtops@24-7intouch.com</v>
      </c>
      <c r="F5" t="str">
        <f t="shared" ref="F5:F68" si="2">IF(A5="","","America/Chicago")</f>
        <v>America/Chicago</v>
      </c>
      <c r="G5" s="54">
        <f>IF(A5="","",'Account Creation'!G5)</f>
        <v>44851</v>
      </c>
      <c r="I5" t="str">
        <f t="shared" si="1"/>
        <v>TRUE</v>
      </c>
      <c r="K5" t="str">
        <f>IF(A5="","",'Account Creation'!W5)</f>
        <v>247Intouch Agent</v>
      </c>
      <c r="L5" t="str">
        <f>IF(A5="","",'Account Creation'!V5)</f>
        <v>24-7Intouch_GTM_GUA_Chat_Nest</v>
      </c>
      <c r="P5" s="97" t="str">
        <f>IF('Help Desk'!D5="","",'Help Desk'!D5)</f>
        <v>vn54tql</v>
      </c>
    </row>
    <row r="6" spans="1:20" x14ac:dyDescent="0.25">
      <c r="A6" t="str">
        <f>CONCATENATE('Help Desk'!D6, 'Account Creation'!AE6)</f>
        <v>vn54tqn@wmt45.com</v>
      </c>
      <c r="B6" t="str">
        <f>IF(A6="","",'Account Creation'!B6)</f>
        <v>Guillermo</v>
      </c>
      <c r="C6" t="str">
        <f>IF(A6="","",'Help Desk'!A6)</f>
        <v>Zamora</v>
      </c>
      <c r="D6" t="str">
        <f>IF(A6="","",'Account Creation'!X6)</f>
        <v>guawmtops@24-7intouch.com</v>
      </c>
      <c r="F6" t="str">
        <f t="shared" si="2"/>
        <v>America/Chicago</v>
      </c>
      <c r="G6" s="54">
        <f>IF(A6="","",'Account Creation'!G6)</f>
        <v>44851</v>
      </c>
      <c r="I6" t="str">
        <f t="shared" si="1"/>
        <v>TRUE</v>
      </c>
      <c r="K6" t="str">
        <f>IF(A6="","",'Account Creation'!W6)</f>
        <v>247Intouch Agent</v>
      </c>
      <c r="L6" t="str">
        <f>IF(A6="","",'Account Creation'!V6)</f>
        <v>24-7Intouch_GTM_GUA_Chat_Nest</v>
      </c>
      <c r="P6" s="97" t="str">
        <f>IF('Help Desk'!D6="","",'Help Desk'!D6)</f>
        <v>vn54tqn</v>
      </c>
    </row>
    <row r="7" spans="1:20" x14ac:dyDescent="0.25">
      <c r="A7" t="str">
        <f>CONCATENATE('Help Desk'!D7, 'Account Creation'!AE7)</f>
        <v>vn54tqo@wmt45.com</v>
      </c>
      <c r="B7" t="str">
        <f>IF(A7="","",'Account Creation'!B7)</f>
        <v>Katherine</v>
      </c>
      <c r="C7" t="str">
        <f>IF(A7="","",'Help Desk'!A7)</f>
        <v>Santizo</v>
      </c>
      <c r="D7" t="str">
        <f>IF(A7="","",'Account Creation'!X7)</f>
        <v>guawmtops@24-7intouch.com</v>
      </c>
      <c r="F7" t="str">
        <f t="shared" si="2"/>
        <v>America/Chicago</v>
      </c>
      <c r="G7" s="54">
        <f>IF(A7="","",'Account Creation'!G7)</f>
        <v>44851</v>
      </c>
      <c r="I7" t="str">
        <f t="shared" si="1"/>
        <v>TRUE</v>
      </c>
      <c r="K7" t="str">
        <f>IF(A7="","",'Account Creation'!W7)</f>
        <v>247Intouch Agent</v>
      </c>
      <c r="L7" t="str">
        <f>IF(A7="","",'Account Creation'!V7)</f>
        <v>24-7Intouch_GTM_GUA_Chat_Nest</v>
      </c>
      <c r="P7" s="97" t="str">
        <f>IF('Help Desk'!D7="","",'Help Desk'!D7)</f>
        <v>vn54tqo</v>
      </c>
    </row>
    <row r="8" spans="1:20" x14ac:dyDescent="0.25">
      <c r="A8" t="str">
        <f>CONCATENATE('Help Desk'!D8, 'Account Creation'!AE8)</f>
        <v>vn54tqq@wmt45.com</v>
      </c>
      <c r="B8" t="str">
        <f>IF(A8="","",'Account Creation'!B8)</f>
        <v>Josue</v>
      </c>
      <c r="C8" t="str">
        <f>IF(A8="","",'Help Desk'!A8)</f>
        <v>Manrique</v>
      </c>
      <c r="D8" t="str">
        <f>IF(A8="","",'Account Creation'!X8)</f>
        <v>guawmtops@24-7intouch.com</v>
      </c>
      <c r="F8" t="str">
        <f t="shared" si="2"/>
        <v>America/Chicago</v>
      </c>
      <c r="G8" s="54">
        <f>IF(A8="","",'Account Creation'!G8)</f>
        <v>44851</v>
      </c>
      <c r="I8" t="str">
        <f t="shared" si="1"/>
        <v>TRUE</v>
      </c>
      <c r="K8" t="str">
        <f>IF(A8="","",'Account Creation'!W8)</f>
        <v>247Intouch Agent</v>
      </c>
      <c r="L8" t="str">
        <f>IF(A8="","",'Account Creation'!V8)</f>
        <v>24-7Intouch_GTM_GUA_Chat_Nest</v>
      </c>
      <c r="P8" s="97" t="str">
        <f>IF('Help Desk'!D8="","",'Help Desk'!D8)</f>
        <v>vn54tqq</v>
      </c>
    </row>
    <row r="9" spans="1:20" x14ac:dyDescent="0.25">
      <c r="A9" t="str">
        <f>CONCATENATE('Help Desk'!D9, 'Account Creation'!AE9)</f>
        <v>vn54tqs@wmt45.com</v>
      </c>
      <c r="B9" t="str">
        <f>IF(A9="","",'Account Creation'!B9)</f>
        <v>Kristtel</v>
      </c>
      <c r="C9" t="str">
        <f>IF(A9="","",'Help Desk'!A9)</f>
        <v>Hernandez</v>
      </c>
      <c r="D9" t="str">
        <f>IF(A9="","",'Account Creation'!X9)</f>
        <v>guawmtops@24-7intouch.com</v>
      </c>
      <c r="F9" t="str">
        <f t="shared" si="2"/>
        <v>America/Chicago</v>
      </c>
      <c r="G9" s="54">
        <f>IF(A9="","",'Account Creation'!G9)</f>
        <v>44851</v>
      </c>
      <c r="I9" t="str">
        <f t="shared" si="1"/>
        <v>TRUE</v>
      </c>
      <c r="K9" t="str">
        <f>IF(A9="","",'Account Creation'!W9)</f>
        <v>247Intouch Agent</v>
      </c>
      <c r="L9" t="str">
        <f>IF(A9="","",'Account Creation'!V9)</f>
        <v>24-7Intouch_GTM_GUA_Chat_Nest</v>
      </c>
      <c r="P9" s="97" t="str">
        <f>IF('Help Desk'!D9="","",'Help Desk'!D9)</f>
        <v>vn54tqs</v>
      </c>
    </row>
    <row r="10" spans="1:20" x14ac:dyDescent="0.25">
      <c r="A10" t="str">
        <f>CONCATENATE('Help Desk'!D10, 'Account Creation'!AE10)</f>
        <v>vn54tqu@wmt45.com</v>
      </c>
      <c r="B10" t="str">
        <f>IF(A10="","",'Account Creation'!B10)</f>
        <v>Juan</v>
      </c>
      <c r="C10" t="str">
        <f>IF(A10="","",'Help Desk'!A10)</f>
        <v>Flores</v>
      </c>
      <c r="D10" t="str">
        <f>IF(A10="","",'Account Creation'!X10)</f>
        <v>guawmtops@24-7intouch.com</v>
      </c>
      <c r="F10" t="str">
        <f t="shared" si="2"/>
        <v>America/Chicago</v>
      </c>
      <c r="G10" s="54">
        <f>IF(A10="","",'Account Creation'!G10)</f>
        <v>44851</v>
      </c>
      <c r="I10" t="str">
        <f t="shared" si="1"/>
        <v>TRUE</v>
      </c>
      <c r="K10" t="str">
        <f>IF(A10="","",'Account Creation'!W10)</f>
        <v>247Intouch Agent</v>
      </c>
      <c r="L10" t="str">
        <f>IF(A10="","",'Account Creation'!V10)</f>
        <v>24-7Intouch_GTM_GUA_Chat_Nest</v>
      </c>
      <c r="P10" s="97" t="str">
        <f>IF('Help Desk'!D10="","",'Help Desk'!D10)</f>
        <v>vn54tqu</v>
      </c>
    </row>
    <row r="11" spans="1:20" x14ac:dyDescent="0.25">
      <c r="A11" t="str">
        <f>CONCATENATE('Help Desk'!D11, 'Account Creation'!AE11)</f>
        <v>vn54tqw@wmt45.com</v>
      </c>
      <c r="B11" t="str">
        <f>IF(A11="","",'Account Creation'!B11)</f>
        <v>Gabriel</v>
      </c>
      <c r="C11" t="str">
        <f>IF(A11="","",'Help Desk'!A11)</f>
        <v>Morales</v>
      </c>
      <c r="D11" t="str">
        <f>IF(A11="","",'Account Creation'!X11)</f>
        <v>guawmtops@24-7intouch.com</v>
      </c>
      <c r="F11" t="str">
        <f t="shared" si="2"/>
        <v>America/Chicago</v>
      </c>
      <c r="G11" s="54">
        <f>IF(A11="","",'Account Creation'!G11)</f>
        <v>44851</v>
      </c>
      <c r="I11" t="str">
        <f t="shared" si="1"/>
        <v>TRUE</v>
      </c>
      <c r="K11" t="str">
        <f>IF(A11="","",'Account Creation'!W11)</f>
        <v>247Intouch Agent</v>
      </c>
      <c r="L11" t="str">
        <f>IF(A11="","",'Account Creation'!V11)</f>
        <v>24-7Intouch_GTM_GUA_Chat_Nest</v>
      </c>
      <c r="P11" s="97" t="str">
        <f>IF('Help Desk'!D11="","",'Help Desk'!D11)</f>
        <v>vn54tqw</v>
      </c>
    </row>
    <row r="12" spans="1:20" x14ac:dyDescent="0.25">
      <c r="A12" t="str">
        <f>CONCATENATE('Help Desk'!D12, 'Account Creation'!AE12)</f>
        <v>vn54tqy@wmt45.com</v>
      </c>
      <c r="B12" t="str">
        <f>IF(A12="","",'Account Creation'!B12)</f>
        <v>Mercedez</v>
      </c>
      <c r="C12" t="str">
        <f>IF(A12="","",'Help Desk'!A12)</f>
        <v>De Leon</v>
      </c>
      <c r="D12" t="str">
        <f>IF(A12="","",'Account Creation'!X12)</f>
        <v>guawmtops@24-7intouch.com</v>
      </c>
      <c r="F12" t="str">
        <f t="shared" si="2"/>
        <v>America/Chicago</v>
      </c>
      <c r="G12" s="54">
        <f>IF(A12="","",'Account Creation'!G12)</f>
        <v>44851</v>
      </c>
      <c r="I12" t="str">
        <f t="shared" si="1"/>
        <v>TRUE</v>
      </c>
      <c r="K12" t="str">
        <f>IF(A12="","",'Account Creation'!W12)</f>
        <v>247Intouch Agent</v>
      </c>
      <c r="L12" t="str">
        <f>IF(A12="","",'Account Creation'!V12)</f>
        <v>24-7Intouch_GTM_GUA_Chat_Nest</v>
      </c>
      <c r="P12" s="97" t="str">
        <f>IF('Help Desk'!D12="","",'Help Desk'!D12)</f>
        <v>vn54tqy</v>
      </c>
    </row>
    <row r="13" spans="1:20" x14ac:dyDescent="0.25">
      <c r="A13" t="str">
        <f>CONCATENATE('Help Desk'!D13, 'Account Creation'!AE13)</f>
        <v>vn54tr0@wmt45.com</v>
      </c>
      <c r="B13" t="str">
        <f>IF(A13="","",'Account Creation'!B13)</f>
        <v>Eduardo</v>
      </c>
      <c r="C13" t="str">
        <f>IF(A13="","",'Help Desk'!A13)</f>
        <v>Prera</v>
      </c>
      <c r="D13" t="str">
        <f>IF(A13="","",'Account Creation'!X13)</f>
        <v>guawmtops@24-7intouch.com</v>
      </c>
      <c r="F13" t="str">
        <f t="shared" si="2"/>
        <v>America/Chicago</v>
      </c>
      <c r="G13" s="54">
        <f>IF(A13="","",'Account Creation'!G13)</f>
        <v>44851</v>
      </c>
      <c r="I13" t="str">
        <f t="shared" si="1"/>
        <v>TRUE</v>
      </c>
      <c r="K13" t="str">
        <f>IF(A13="","",'Account Creation'!W13)</f>
        <v>247Intouch Agent</v>
      </c>
      <c r="L13" t="str">
        <f>IF(A13="","",'Account Creation'!V13)</f>
        <v>24-7Intouch_GTM_GUA_Chat_Nest</v>
      </c>
      <c r="P13" s="97" t="str">
        <f>IF('Help Desk'!D13="","",'Help Desk'!D13)</f>
        <v>vn54tr0</v>
      </c>
    </row>
    <row r="14" spans="1:20" x14ac:dyDescent="0.25">
      <c r="A14" t="str">
        <f>CONCATENATE('Help Desk'!D14, 'Account Creation'!AE14)</f>
        <v>vn54tr2@wmt45.com</v>
      </c>
      <c r="B14" t="str">
        <f>IF(A14="","",'Account Creation'!B14)</f>
        <v>Madelin</v>
      </c>
      <c r="C14" t="str">
        <f>IF(A14="","",'Help Desk'!A14)</f>
        <v>Abal</v>
      </c>
      <c r="D14" t="str">
        <f>IF(A14="","",'Account Creation'!X14)</f>
        <v>guawmtops@24-7intouch.com</v>
      </c>
      <c r="F14" t="str">
        <f t="shared" si="2"/>
        <v>America/Chicago</v>
      </c>
      <c r="G14" s="54">
        <f>IF(A14="","",'Account Creation'!G14)</f>
        <v>44851</v>
      </c>
      <c r="I14" t="str">
        <f t="shared" si="1"/>
        <v>TRUE</v>
      </c>
      <c r="K14" t="str">
        <f>IF(A14="","",'Account Creation'!W14)</f>
        <v>247Intouch Agent</v>
      </c>
      <c r="L14" t="str">
        <f>IF(A14="","",'Account Creation'!V14)</f>
        <v>24-7Intouch_GTM_GUA_Chat_Nest</v>
      </c>
      <c r="P14" s="97" t="str">
        <f>IF('Help Desk'!D14="","",'Help Desk'!D14)</f>
        <v>vn54tr2</v>
      </c>
    </row>
    <row r="15" spans="1:20" x14ac:dyDescent="0.25">
      <c r="A15" t="str">
        <f>CONCATENATE('Help Desk'!D15, 'Account Creation'!AE15)</f>
        <v>vn54tr4@wmt45.com</v>
      </c>
      <c r="B15" t="str">
        <f>IF(A15="","",'Account Creation'!B15)</f>
        <v>Dyana</v>
      </c>
      <c r="C15" t="str">
        <f>IF(A15="","",'Help Desk'!A15)</f>
        <v>Calicio</v>
      </c>
      <c r="D15" t="str">
        <f>IF(A15="","",'Account Creation'!X15)</f>
        <v>guawmtops@24-7intouch.com</v>
      </c>
      <c r="F15" t="str">
        <f t="shared" si="2"/>
        <v>America/Chicago</v>
      </c>
      <c r="G15" s="54">
        <f>IF(A15="","",'Account Creation'!G15)</f>
        <v>44851</v>
      </c>
      <c r="I15" t="str">
        <f t="shared" si="1"/>
        <v>TRUE</v>
      </c>
      <c r="K15" t="str">
        <f>IF(A15="","",'Account Creation'!W15)</f>
        <v>247Intouch Agent</v>
      </c>
      <c r="L15" t="str">
        <f>IF(A15="","",'Account Creation'!V15)</f>
        <v>24-7Intouch_GTM_GUA_Chat_Nest</v>
      </c>
      <c r="P15" s="97" t="str">
        <f>IF('Help Desk'!D15="","",'Help Desk'!D15)</f>
        <v>vn54tr4</v>
      </c>
    </row>
    <row r="16" spans="1:20" x14ac:dyDescent="0.25">
      <c r="A16" t="str">
        <f>CONCATENATE('Help Desk'!D16, 'Account Creation'!AE16)</f>
        <v>vn54tr6@wmt45.com</v>
      </c>
      <c r="B16" t="str">
        <f>IF(A16="","",'Account Creation'!B16)</f>
        <v>Sandra</v>
      </c>
      <c r="C16" t="str">
        <f>IF(A16="","",'Help Desk'!A16)</f>
        <v>Arango</v>
      </c>
      <c r="D16" t="str">
        <f>IF(A16="","",'Account Creation'!X16)</f>
        <v>guawmtops@24-7intouch.com</v>
      </c>
      <c r="F16" t="str">
        <f t="shared" si="2"/>
        <v>America/Chicago</v>
      </c>
      <c r="G16" s="54">
        <f>IF(A16="","",'Account Creation'!G16)</f>
        <v>44851</v>
      </c>
      <c r="I16" t="str">
        <f t="shared" si="1"/>
        <v>TRUE</v>
      </c>
      <c r="K16" t="str">
        <f>IF(A16="","",'Account Creation'!W16)</f>
        <v>247Intouch Agent</v>
      </c>
      <c r="L16" t="str">
        <f>IF(A16="","",'Account Creation'!V16)</f>
        <v>24-7Intouch_GTM_GUA_Chat_Nest</v>
      </c>
      <c r="P16" s="97" t="str">
        <f>IF('Help Desk'!D16="","",'Help Desk'!D16)</f>
        <v>vn54tr6</v>
      </c>
    </row>
    <row r="17" spans="1:16" x14ac:dyDescent="0.25">
      <c r="A17" t="str">
        <f>CONCATENATE('Help Desk'!D17, 'Account Creation'!AE17)</f>
        <v/>
      </c>
      <c r="B17" t="str">
        <f>IF(A17="","",'Account Creation'!B17)</f>
        <v/>
      </c>
      <c r="C17" t="str">
        <f>IF(A17="","",'Help Desk'!A17)</f>
        <v/>
      </c>
      <c r="D17" t="str">
        <f>IF(A17="","",'Account Creation'!X17)</f>
        <v/>
      </c>
      <c r="F17" t="str">
        <f t="shared" si="2"/>
        <v/>
      </c>
      <c r="G17" s="54" t="str">
        <f>IF(A17="","",'Account Creation'!G17)</f>
        <v/>
      </c>
      <c r="I17" t="str">
        <f t="shared" si="1"/>
        <v/>
      </c>
      <c r="K17" t="str">
        <f>IF(A17="","",'Account Creation'!W17)</f>
        <v/>
      </c>
      <c r="L17" t="str">
        <f>IF(A17="","",'Account Creation'!V17)</f>
        <v/>
      </c>
      <c r="P17" s="97" t="str">
        <f>IF('Help Desk'!D17="","",'Help Desk'!D17)</f>
        <v/>
      </c>
    </row>
    <row r="18" spans="1:16" x14ac:dyDescent="0.25">
      <c r="A18" t="str">
        <f>CONCATENATE('Help Desk'!D18, 'Account Creation'!AE18)</f>
        <v/>
      </c>
      <c r="B18" t="str">
        <f>IF(A18="","",'Account Creation'!B18)</f>
        <v/>
      </c>
      <c r="C18" t="str">
        <f>IF(A18="","",'Help Desk'!A18)</f>
        <v/>
      </c>
      <c r="D18" t="str">
        <f>IF(A18="","",'Account Creation'!X18)</f>
        <v/>
      </c>
      <c r="F18" t="str">
        <f t="shared" si="2"/>
        <v/>
      </c>
      <c r="G18" s="54" t="str">
        <f>IF(A18="","",'Account Creation'!G18)</f>
        <v/>
      </c>
      <c r="I18" t="str">
        <f t="shared" si="1"/>
        <v/>
      </c>
      <c r="K18" t="str">
        <f>IF(A18="","",'Account Creation'!W18)</f>
        <v/>
      </c>
      <c r="L18" t="str">
        <f>IF(A18="","",'Account Creation'!V18)</f>
        <v/>
      </c>
      <c r="P18" s="97" t="str">
        <f>IF('Help Desk'!D18="","",'Help Desk'!D18)</f>
        <v/>
      </c>
    </row>
    <row r="19" spans="1:16" x14ac:dyDescent="0.25">
      <c r="A19" t="str">
        <f>CONCATENATE('Help Desk'!D19, 'Account Creation'!AE19)</f>
        <v/>
      </c>
      <c r="B19" t="str">
        <f>IF(A19="","",'Account Creation'!B19)</f>
        <v/>
      </c>
      <c r="C19" t="str">
        <f>IF(A19="","",'Help Desk'!A19)</f>
        <v/>
      </c>
      <c r="D19" t="str">
        <f>IF(A19="","",'Account Creation'!X19)</f>
        <v/>
      </c>
      <c r="F19" t="str">
        <f t="shared" si="2"/>
        <v/>
      </c>
      <c r="G19" s="54" t="str">
        <f>IF(A19="","",'Account Creation'!G19)</f>
        <v/>
      </c>
      <c r="I19" t="str">
        <f t="shared" si="1"/>
        <v/>
      </c>
      <c r="K19" t="str">
        <f>IF(A19="","",'Account Creation'!W19)</f>
        <v/>
      </c>
      <c r="L19" t="str">
        <f>IF(A19="","",'Account Creation'!V19)</f>
        <v/>
      </c>
      <c r="P19" s="97" t="str">
        <f>IF('Help Desk'!D19="","",'Help Desk'!D19)</f>
        <v/>
      </c>
    </row>
    <row r="20" spans="1:16" x14ac:dyDescent="0.25">
      <c r="A20" t="str">
        <f>CONCATENATE('Help Desk'!D20, 'Account Creation'!AE20)</f>
        <v/>
      </c>
      <c r="B20" t="str">
        <f>IF(A20="","",'Account Creation'!B20)</f>
        <v/>
      </c>
      <c r="C20" t="str">
        <f>IF(A20="","",'Help Desk'!A20)</f>
        <v/>
      </c>
      <c r="D20" t="str">
        <f>IF(A20="","",'Account Creation'!X20)</f>
        <v/>
      </c>
      <c r="F20" t="str">
        <f t="shared" si="2"/>
        <v/>
      </c>
      <c r="G20" s="54" t="str">
        <f>IF(A20="","",'Account Creation'!G20)</f>
        <v/>
      </c>
      <c r="I20" t="str">
        <f t="shared" si="1"/>
        <v/>
      </c>
      <c r="K20" t="str">
        <f>IF(A20="","",'Account Creation'!W20)</f>
        <v/>
      </c>
      <c r="L20" t="str">
        <f>IF(A20="","",'Account Creation'!V20)</f>
        <v/>
      </c>
      <c r="P20" s="97" t="str">
        <f>IF('Help Desk'!D20="","",'Help Desk'!D20)</f>
        <v/>
      </c>
    </row>
    <row r="21" spans="1:16" x14ac:dyDescent="0.25">
      <c r="A21" t="str">
        <f>CONCATENATE('Help Desk'!D21, 'Account Creation'!AE21)</f>
        <v/>
      </c>
      <c r="B21" t="str">
        <f>IF(A21="","",'Account Creation'!B21)</f>
        <v/>
      </c>
      <c r="C21" t="str">
        <f>IF(A21="","",'Help Desk'!A21)</f>
        <v/>
      </c>
      <c r="D21" t="str">
        <f>IF(A21="","",'Account Creation'!X21)</f>
        <v/>
      </c>
      <c r="F21" t="str">
        <f t="shared" si="2"/>
        <v/>
      </c>
      <c r="G21" s="54" t="str">
        <f>IF(A21="","",'Account Creation'!G21)</f>
        <v/>
      </c>
      <c r="I21" t="str">
        <f t="shared" si="1"/>
        <v/>
      </c>
      <c r="K21" t="str">
        <f>IF(A21="","",'Account Creation'!W21)</f>
        <v/>
      </c>
      <c r="L21" t="str">
        <f>IF(A21="","",'Account Creation'!V21)</f>
        <v/>
      </c>
      <c r="P21" s="97" t="str">
        <f>IF('Help Desk'!D21="","",'Help Desk'!D21)</f>
        <v/>
      </c>
    </row>
    <row r="22" spans="1:16" x14ac:dyDescent="0.25">
      <c r="A22" t="str">
        <f>CONCATENATE('Help Desk'!D22, 'Account Creation'!AE22)</f>
        <v/>
      </c>
      <c r="B22" t="str">
        <f>IF(A22="","",'Account Creation'!B22)</f>
        <v/>
      </c>
      <c r="C22" t="str">
        <f>IF(A22="","",'Help Desk'!A22)</f>
        <v/>
      </c>
      <c r="D22" t="str">
        <f>IF(A22="","",'Account Creation'!X22)</f>
        <v/>
      </c>
      <c r="F22" t="str">
        <f t="shared" si="2"/>
        <v/>
      </c>
      <c r="G22" s="54" t="str">
        <f>IF(A22="","",'Account Creation'!G22)</f>
        <v/>
      </c>
      <c r="I22" t="str">
        <f t="shared" si="1"/>
        <v/>
      </c>
      <c r="K22" t="str">
        <f>IF(A22="","",'Account Creation'!W22)</f>
        <v/>
      </c>
      <c r="L22" t="str">
        <f>IF(A22="","",'Account Creation'!V22)</f>
        <v/>
      </c>
      <c r="P22" s="97" t="str">
        <f>IF('Help Desk'!D22="","",'Help Desk'!D22)</f>
        <v/>
      </c>
    </row>
    <row r="23" spans="1:16" x14ac:dyDescent="0.25">
      <c r="A23" t="str">
        <f>CONCATENATE('Help Desk'!D23, 'Account Creation'!AE23)</f>
        <v/>
      </c>
      <c r="B23" t="str">
        <f>IF(A23="","",'Account Creation'!B23)</f>
        <v/>
      </c>
      <c r="C23" t="str">
        <f>IF(A23="","",'Help Desk'!A23)</f>
        <v/>
      </c>
      <c r="D23" t="str">
        <f>IF(A23="","",'Account Creation'!X23)</f>
        <v/>
      </c>
      <c r="F23" t="str">
        <f t="shared" si="2"/>
        <v/>
      </c>
      <c r="G23" s="54" t="str">
        <f>IF(A23="","",'Account Creation'!G23)</f>
        <v/>
      </c>
      <c r="I23" t="str">
        <f t="shared" si="1"/>
        <v/>
      </c>
      <c r="K23" t="str">
        <f>IF(A23="","",'Account Creation'!W23)</f>
        <v/>
      </c>
      <c r="L23" t="str">
        <f>IF(A23="","",'Account Creation'!V23)</f>
        <v/>
      </c>
      <c r="P23" s="97" t="str">
        <f>IF('Help Desk'!D23="","",'Help Desk'!D23)</f>
        <v/>
      </c>
    </row>
    <row r="24" spans="1:16" x14ac:dyDescent="0.25">
      <c r="A24" t="str">
        <f>CONCATENATE('Help Desk'!D24, 'Account Creation'!AE24)</f>
        <v/>
      </c>
      <c r="B24" t="str">
        <f>IF(A24="","",'Account Creation'!B24)</f>
        <v/>
      </c>
      <c r="C24" t="str">
        <f>IF(A24="","",'Help Desk'!A24)</f>
        <v/>
      </c>
      <c r="D24" t="str">
        <f>IF(A24="","",'Account Creation'!X24)</f>
        <v/>
      </c>
      <c r="F24" t="str">
        <f t="shared" si="2"/>
        <v/>
      </c>
      <c r="G24" s="54" t="str">
        <f>IF(A24="","",'Account Creation'!G24)</f>
        <v/>
      </c>
      <c r="I24" t="str">
        <f t="shared" si="1"/>
        <v/>
      </c>
      <c r="K24" t="str">
        <f>IF(A24="","",'Account Creation'!W24)</f>
        <v/>
      </c>
      <c r="L24" t="str">
        <f>IF(A24="","",'Account Creation'!V24)</f>
        <v/>
      </c>
      <c r="P24" s="97" t="str">
        <f>IF('Help Desk'!D24="","",'Help Desk'!D24)</f>
        <v/>
      </c>
    </row>
    <row r="25" spans="1:16" x14ac:dyDescent="0.25">
      <c r="A25" t="str">
        <f>CONCATENATE('Help Desk'!D25, 'Account Creation'!AE25)</f>
        <v/>
      </c>
      <c r="B25" t="str">
        <f>IF(A25="","",'Account Creation'!B25)</f>
        <v/>
      </c>
      <c r="C25" t="str">
        <f>IF(A25="","",'Help Desk'!A25)</f>
        <v/>
      </c>
      <c r="D25" t="str">
        <f>IF(A25="","",'Account Creation'!X25)</f>
        <v/>
      </c>
      <c r="F25" t="str">
        <f t="shared" si="2"/>
        <v/>
      </c>
      <c r="G25" s="54" t="str">
        <f>IF(A25="","",'Account Creation'!G25)</f>
        <v/>
      </c>
      <c r="I25" t="str">
        <f t="shared" si="1"/>
        <v/>
      </c>
      <c r="K25" t="str">
        <f>IF(A25="","",'Account Creation'!W25)</f>
        <v/>
      </c>
      <c r="L25" t="str">
        <f>IF(A25="","",'Account Creation'!V25)</f>
        <v/>
      </c>
      <c r="P25" s="97" t="str">
        <f>IF('Help Desk'!D25="","",'Help Desk'!D25)</f>
        <v/>
      </c>
    </row>
    <row r="26" spans="1:16" x14ac:dyDescent="0.25">
      <c r="A26" t="str">
        <f>CONCATENATE('Help Desk'!D26, 'Account Creation'!AE26)</f>
        <v/>
      </c>
      <c r="B26" t="str">
        <f>IF(A26="","",'Account Creation'!B26)</f>
        <v/>
      </c>
      <c r="C26" t="str">
        <f>IF(A26="","",'Help Desk'!A26)</f>
        <v/>
      </c>
      <c r="D26" t="str">
        <f>IF(A26="","",'Account Creation'!X26)</f>
        <v/>
      </c>
      <c r="F26" t="str">
        <f t="shared" si="2"/>
        <v/>
      </c>
      <c r="G26" s="54" t="str">
        <f>IF(A26="","",'Account Creation'!G26)</f>
        <v/>
      </c>
      <c r="I26" t="str">
        <f t="shared" si="1"/>
        <v/>
      </c>
      <c r="K26" t="str">
        <f>IF(A26="","",'Account Creation'!W26)</f>
        <v/>
      </c>
      <c r="L26" t="str">
        <f>IF(A26="","",'Account Creation'!V26)</f>
        <v/>
      </c>
      <c r="P26" s="97" t="str">
        <f>IF('Help Desk'!D26="","",'Help Desk'!D26)</f>
        <v/>
      </c>
    </row>
    <row r="27" spans="1:16" x14ac:dyDescent="0.25">
      <c r="A27" t="str">
        <f>CONCATENATE('Help Desk'!D27, 'Account Creation'!AE27)</f>
        <v/>
      </c>
      <c r="B27" t="str">
        <f>IF(A27="","",'Account Creation'!B27)</f>
        <v/>
      </c>
      <c r="C27" t="str">
        <f>IF(A27="","",'Help Desk'!A27)</f>
        <v/>
      </c>
      <c r="D27" t="str">
        <f>IF(A27="","",'Account Creation'!X27)</f>
        <v/>
      </c>
      <c r="F27" t="str">
        <f t="shared" si="2"/>
        <v/>
      </c>
      <c r="G27" s="54" t="str">
        <f>IF(A27="","",'Account Creation'!G27)</f>
        <v/>
      </c>
      <c r="I27" t="str">
        <f t="shared" si="1"/>
        <v/>
      </c>
      <c r="K27" t="str">
        <f>IF(A27="","",'Account Creation'!W27)</f>
        <v/>
      </c>
      <c r="L27" t="str">
        <f>IF(A27="","",'Account Creation'!V27)</f>
        <v/>
      </c>
      <c r="P27" s="97" t="str">
        <f>IF('Help Desk'!D27="","",'Help Desk'!D27)</f>
        <v/>
      </c>
    </row>
    <row r="28" spans="1:16" x14ac:dyDescent="0.25">
      <c r="A28" t="str">
        <f>CONCATENATE('Help Desk'!D28, 'Account Creation'!AE28)</f>
        <v/>
      </c>
      <c r="B28" t="str">
        <f>IF(A28="","",'Account Creation'!B28)</f>
        <v/>
      </c>
      <c r="C28" t="str">
        <f>IF(A28="","",'Help Desk'!A28)</f>
        <v/>
      </c>
      <c r="D28" t="str">
        <f>IF(A28="","",'Account Creation'!X28)</f>
        <v/>
      </c>
      <c r="F28" t="str">
        <f t="shared" si="2"/>
        <v/>
      </c>
      <c r="G28" s="54" t="str">
        <f>IF(A28="","",'Account Creation'!G28)</f>
        <v/>
      </c>
      <c r="I28" t="str">
        <f t="shared" si="1"/>
        <v/>
      </c>
      <c r="K28" t="str">
        <f>IF(A28="","",'Account Creation'!W28)</f>
        <v/>
      </c>
      <c r="L28" t="str">
        <f>IF(A28="","",'Account Creation'!V28)</f>
        <v/>
      </c>
      <c r="P28" s="97" t="str">
        <f>IF('Help Desk'!D28="","",'Help Desk'!D28)</f>
        <v/>
      </c>
    </row>
    <row r="29" spans="1:16" x14ac:dyDescent="0.25">
      <c r="A29" t="str">
        <f>CONCATENATE('Help Desk'!D29, 'Account Creation'!AE29)</f>
        <v/>
      </c>
      <c r="B29" t="str">
        <f>IF(A29="","",'Account Creation'!B29)</f>
        <v/>
      </c>
      <c r="C29" t="str">
        <f>IF(A29="","",'Help Desk'!A29)</f>
        <v/>
      </c>
      <c r="D29" t="str">
        <f>IF(A29="","",'Account Creation'!X29)</f>
        <v/>
      </c>
      <c r="F29" t="str">
        <f t="shared" si="2"/>
        <v/>
      </c>
      <c r="G29" s="54" t="str">
        <f>IF(A29="","",'Account Creation'!G29)</f>
        <v/>
      </c>
      <c r="I29" t="str">
        <f t="shared" si="1"/>
        <v/>
      </c>
      <c r="K29" t="str">
        <f>IF(A29="","",'Account Creation'!W29)</f>
        <v/>
      </c>
      <c r="L29" t="str">
        <f>IF(A29="","",'Account Creation'!V29)</f>
        <v/>
      </c>
      <c r="P29" s="97" t="str">
        <f>IF('Help Desk'!D29="","",'Help Desk'!D29)</f>
        <v/>
      </c>
    </row>
    <row r="30" spans="1:16" x14ac:dyDescent="0.25">
      <c r="A30" t="str">
        <f>CONCATENATE('Help Desk'!D30, 'Account Creation'!AE30)</f>
        <v/>
      </c>
      <c r="B30" t="str">
        <f>IF(A30="","",'Account Creation'!B30)</f>
        <v/>
      </c>
      <c r="C30" t="str">
        <f>IF(A30="","",'Help Desk'!A30)</f>
        <v/>
      </c>
      <c r="D30" t="str">
        <f>IF(A30="","",'Account Creation'!X30)</f>
        <v/>
      </c>
      <c r="F30" t="str">
        <f t="shared" si="2"/>
        <v/>
      </c>
      <c r="G30" s="54" t="str">
        <f>IF(A30="","",'Account Creation'!G30)</f>
        <v/>
      </c>
      <c r="I30" t="str">
        <f t="shared" si="1"/>
        <v/>
      </c>
      <c r="K30" t="str">
        <f>IF(A30="","",'Account Creation'!W30)</f>
        <v/>
      </c>
      <c r="L30" t="str">
        <f>IF(A30="","",'Account Creation'!V30)</f>
        <v/>
      </c>
      <c r="P30" s="97" t="str">
        <f>IF('Help Desk'!D30="","",'Help Desk'!D30)</f>
        <v/>
      </c>
    </row>
    <row r="31" spans="1:16" x14ac:dyDescent="0.25">
      <c r="A31" t="str">
        <f>CONCATENATE('Help Desk'!D31, 'Account Creation'!AE31)</f>
        <v/>
      </c>
      <c r="B31" t="str">
        <f>IF(A31="","",'Account Creation'!B31)</f>
        <v/>
      </c>
      <c r="C31" t="str">
        <f>IF(A31="","",'Help Desk'!A31)</f>
        <v/>
      </c>
      <c r="D31" t="str">
        <f>IF(A31="","",'Account Creation'!X31)</f>
        <v/>
      </c>
      <c r="F31" t="str">
        <f t="shared" si="2"/>
        <v/>
      </c>
      <c r="G31" s="54" t="str">
        <f>IF(A31="","",'Account Creation'!G31)</f>
        <v/>
      </c>
      <c r="I31" t="str">
        <f t="shared" si="1"/>
        <v/>
      </c>
      <c r="K31" t="str">
        <f>IF(A31="","",'Account Creation'!W31)</f>
        <v/>
      </c>
      <c r="L31" t="str">
        <f>IF(A31="","",'Account Creation'!V31)</f>
        <v/>
      </c>
      <c r="P31" s="97" t="str">
        <f>IF('Help Desk'!D31="","",'Help Desk'!D31)</f>
        <v/>
      </c>
    </row>
    <row r="32" spans="1:16" x14ac:dyDescent="0.25">
      <c r="A32" t="str">
        <f>CONCATENATE('Help Desk'!D32, 'Account Creation'!AE32)</f>
        <v/>
      </c>
      <c r="B32" t="str">
        <f>IF(A32="","",'Account Creation'!B32)</f>
        <v/>
      </c>
      <c r="C32" t="str">
        <f>IF(A32="","",'Help Desk'!A32)</f>
        <v/>
      </c>
      <c r="D32" t="str">
        <f>IF(A32="","",'Account Creation'!X32)</f>
        <v/>
      </c>
      <c r="F32" t="str">
        <f t="shared" si="2"/>
        <v/>
      </c>
      <c r="G32" s="54" t="str">
        <f>IF(A32="","",'Account Creation'!G32)</f>
        <v/>
      </c>
      <c r="I32" t="str">
        <f t="shared" si="1"/>
        <v/>
      </c>
      <c r="K32" t="str">
        <f>IF(A32="","",'Account Creation'!W32)</f>
        <v/>
      </c>
      <c r="L32" t="str">
        <f>IF(A32="","",'Account Creation'!V32)</f>
        <v/>
      </c>
      <c r="P32" s="97" t="str">
        <f>IF('Help Desk'!D32="","",'Help Desk'!D32)</f>
        <v/>
      </c>
    </row>
    <row r="33" spans="1:16" x14ac:dyDescent="0.25">
      <c r="A33" t="str">
        <f>CONCATENATE('Help Desk'!D33, 'Account Creation'!AE33)</f>
        <v/>
      </c>
      <c r="B33" t="str">
        <f>IF(A33="","",'Account Creation'!B33)</f>
        <v/>
      </c>
      <c r="C33" t="str">
        <f>IF(A33="","",'Help Desk'!A33)</f>
        <v/>
      </c>
      <c r="D33" t="str">
        <f>IF(A33="","",'Account Creation'!X33)</f>
        <v/>
      </c>
      <c r="F33" t="str">
        <f t="shared" si="2"/>
        <v/>
      </c>
      <c r="G33" s="54" t="str">
        <f>IF(A33="","",'Account Creation'!G33)</f>
        <v/>
      </c>
      <c r="I33" t="str">
        <f t="shared" si="1"/>
        <v/>
      </c>
      <c r="K33" t="str">
        <f>IF(A33="","",'Account Creation'!W33)</f>
        <v/>
      </c>
      <c r="L33" t="str">
        <f>IF(A33="","",'Account Creation'!V33)</f>
        <v/>
      </c>
      <c r="P33" s="97" t="str">
        <f>IF('Help Desk'!D33="","",'Help Desk'!D33)</f>
        <v/>
      </c>
    </row>
    <row r="34" spans="1:16" x14ac:dyDescent="0.25">
      <c r="A34" t="str">
        <f>CONCATENATE('Help Desk'!D34, 'Account Creation'!AE34)</f>
        <v/>
      </c>
      <c r="B34" t="str">
        <f>IF(A34="","",'Account Creation'!B34)</f>
        <v/>
      </c>
      <c r="C34" t="str">
        <f>IF(A34="","",'Help Desk'!A34)</f>
        <v/>
      </c>
      <c r="D34" t="str">
        <f>IF(A34="","",'Account Creation'!X34)</f>
        <v/>
      </c>
      <c r="F34" t="str">
        <f t="shared" si="2"/>
        <v/>
      </c>
      <c r="G34" s="54" t="str">
        <f>IF(A34="","",'Account Creation'!G34)</f>
        <v/>
      </c>
      <c r="I34" t="str">
        <f t="shared" si="1"/>
        <v/>
      </c>
      <c r="K34" t="str">
        <f>IF(A34="","",'Account Creation'!W34)</f>
        <v/>
      </c>
      <c r="L34" t="str">
        <f>IF(A34="","",'Account Creation'!V34)</f>
        <v/>
      </c>
      <c r="P34" s="97" t="str">
        <f>IF('Help Desk'!D34="","",'Help Desk'!D34)</f>
        <v/>
      </c>
    </row>
    <row r="35" spans="1:16" x14ac:dyDescent="0.25">
      <c r="A35" t="str">
        <f>CONCATENATE('Help Desk'!D35, 'Account Creation'!AE35)</f>
        <v/>
      </c>
      <c r="B35" t="str">
        <f>IF(A35="","",'Account Creation'!B35)</f>
        <v/>
      </c>
      <c r="C35" t="str">
        <f>IF(A35="","",'Help Desk'!A35)</f>
        <v/>
      </c>
      <c r="D35" t="str">
        <f>IF(A35="","",'Account Creation'!X35)</f>
        <v/>
      </c>
      <c r="F35" t="str">
        <f t="shared" si="2"/>
        <v/>
      </c>
      <c r="G35" s="54" t="str">
        <f>IF(A35="","",'Account Creation'!G35)</f>
        <v/>
      </c>
      <c r="I35" t="str">
        <f t="shared" si="1"/>
        <v/>
      </c>
      <c r="K35" t="str">
        <f>IF(A35="","",'Account Creation'!W35)</f>
        <v/>
      </c>
      <c r="L35" t="str">
        <f>IF(A35="","",'Account Creation'!V35)</f>
        <v/>
      </c>
      <c r="P35" s="97" t="str">
        <f>IF('Help Desk'!D35="","",'Help Desk'!D35)</f>
        <v/>
      </c>
    </row>
    <row r="36" spans="1:16" x14ac:dyDescent="0.25">
      <c r="A36" t="str">
        <f>CONCATENATE('Help Desk'!D36, 'Account Creation'!AE36)</f>
        <v/>
      </c>
      <c r="B36" t="str">
        <f>IF(A36="","",'Account Creation'!B36)</f>
        <v/>
      </c>
      <c r="C36" t="str">
        <f>IF(A36="","",'Help Desk'!A36)</f>
        <v/>
      </c>
      <c r="D36" t="str">
        <f>IF(A36="","",'Account Creation'!X36)</f>
        <v/>
      </c>
      <c r="F36" t="str">
        <f t="shared" si="2"/>
        <v/>
      </c>
      <c r="G36" s="54" t="str">
        <f>IF(A36="","",'Account Creation'!G36)</f>
        <v/>
      </c>
      <c r="I36" t="str">
        <f t="shared" si="1"/>
        <v/>
      </c>
      <c r="K36" t="str">
        <f>IF(A36="","",'Account Creation'!W36)</f>
        <v/>
      </c>
      <c r="L36" t="str">
        <f>IF(A36="","",'Account Creation'!V36)</f>
        <v/>
      </c>
      <c r="P36" s="97" t="str">
        <f>IF('Help Desk'!D36="","",'Help Desk'!D36)</f>
        <v/>
      </c>
    </row>
    <row r="37" spans="1:16" x14ac:dyDescent="0.25">
      <c r="A37" t="str">
        <f>CONCATENATE('Help Desk'!D37, 'Account Creation'!AE37)</f>
        <v/>
      </c>
      <c r="B37" t="str">
        <f>IF(A37="","",'Account Creation'!B37)</f>
        <v/>
      </c>
      <c r="C37" t="str">
        <f>IF(A37="","",'Help Desk'!A37)</f>
        <v/>
      </c>
      <c r="D37" t="str">
        <f>IF(A37="","",'Account Creation'!X37)</f>
        <v/>
      </c>
      <c r="F37" t="str">
        <f t="shared" si="2"/>
        <v/>
      </c>
      <c r="G37" s="54" t="str">
        <f>IF(A37="","",'Account Creation'!G37)</f>
        <v/>
      </c>
      <c r="I37" t="str">
        <f t="shared" si="1"/>
        <v/>
      </c>
      <c r="K37" t="str">
        <f>IF(A37="","",'Account Creation'!W37)</f>
        <v/>
      </c>
      <c r="L37" t="str">
        <f>IF(A37="","",'Account Creation'!V37)</f>
        <v/>
      </c>
      <c r="P37" s="97" t="str">
        <f>IF('Help Desk'!D37="","",'Help Desk'!D37)</f>
        <v/>
      </c>
    </row>
    <row r="38" spans="1:16" x14ac:dyDescent="0.25">
      <c r="A38" t="str">
        <f>CONCATENATE('Help Desk'!D38, 'Account Creation'!AE38)</f>
        <v/>
      </c>
      <c r="B38" t="str">
        <f>IF(A38="","",'Account Creation'!B38)</f>
        <v/>
      </c>
      <c r="C38" t="str">
        <f>IF(A38="","",'Help Desk'!A38)</f>
        <v/>
      </c>
      <c r="D38" t="str">
        <f>IF(A38="","",'Account Creation'!X38)</f>
        <v/>
      </c>
      <c r="F38" t="str">
        <f t="shared" si="2"/>
        <v/>
      </c>
      <c r="G38" s="54" t="str">
        <f>IF(A38="","",'Account Creation'!G38)</f>
        <v/>
      </c>
      <c r="I38" t="str">
        <f t="shared" si="1"/>
        <v/>
      </c>
      <c r="K38" t="str">
        <f>IF(A38="","",'Account Creation'!W38)</f>
        <v/>
      </c>
      <c r="L38" t="str">
        <f>IF(A38="","",'Account Creation'!V38)</f>
        <v/>
      </c>
      <c r="P38" s="97" t="str">
        <f>IF('Help Desk'!D38="","",'Help Desk'!D38)</f>
        <v/>
      </c>
    </row>
    <row r="39" spans="1:16" x14ac:dyDescent="0.25">
      <c r="A39" t="str">
        <f>CONCATENATE('Help Desk'!D39, 'Account Creation'!AE39)</f>
        <v/>
      </c>
      <c r="B39" t="str">
        <f>IF(A39="","",'Account Creation'!B39)</f>
        <v/>
      </c>
      <c r="C39" t="str">
        <f>IF(A39="","",'Help Desk'!A39)</f>
        <v/>
      </c>
      <c r="D39" t="str">
        <f>IF(A39="","",'Account Creation'!X39)</f>
        <v/>
      </c>
      <c r="F39" t="str">
        <f t="shared" si="2"/>
        <v/>
      </c>
      <c r="G39" s="54" t="str">
        <f>IF(A39="","",'Account Creation'!G39)</f>
        <v/>
      </c>
      <c r="I39" t="str">
        <f t="shared" si="1"/>
        <v/>
      </c>
      <c r="K39" t="str">
        <f>IF(A39="","",'Account Creation'!W39)</f>
        <v/>
      </c>
      <c r="L39" t="str">
        <f>IF(A39="","",'Account Creation'!V39)</f>
        <v/>
      </c>
      <c r="P39" s="97" t="str">
        <f>IF('Help Desk'!D39="","",'Help Desk'!D39)</f>
        <v/>
      </c>
    </row>
    <row r="40" spans="1:16" x14ac:dyDescent="0.25">
      <c r="A40" t="str">
        <f>CONCATENATE('Help Desk'!D40, 'Account Creation'!AE40)</f>
        <v/>
      </c>
      <c r="B40" t="str">
        <f>IF(A40="","",'Account Creation'!B40)</f>
        <v/>
      </c>
      <c r="C40" t="str">
        <f>IF(A40="","",'Help Desk'!A40)</f>
        <v/>
      </c>
      <c r="D40" t="str">
        <f>IF(A40="","",'Account Creation'!X40)</f>
        <v/>
      </c>
      <c r="F40" t="str">
        <f t="shared" si="2"/>
        <v/>
      </c>
      <c r="G40" s="54" t="str">
        <f>IF(A40="","",'Account Creation'!G40)</f>
        <v/>
      </c>
      <c r="I40" t="str">
        <f t="shared" si="1"/>
        <v/>
      </c>
      <c r="K40" t="str">
        <f>IF(A40="","",'Account Creation'!W40)</f>
        <v/>
      </c>
      <c r="L40" t="str">
        <f>IF(A40="","",'Account Creation'!V40)</f>
        <v/>
      </c>
      <c r="P40" s="97" t="str">
        <f>IF('Help Desk'!D40="","",'Help Desk'!D40)</f>
        <v/>
      </c>
    </row>
    <row r="41" spans="1:16" x14ac:dyDescent="0.25">
      <c r="A41" t="str">
        <f>CONCATENATE('Help Desk'!D41, 'Account Creation'!AE41)</f>
        <v/>
      </c>
      <c r="B41" t="str">
        <f>IF(A41="","",'Account Creation'!B41)</f>
        <v/>
      </c>
      <c r="C41" t="str">
        <f>IF(A41="","",'Help Desk'!A41)</f>
        <v/>
      </c>
      <c r="D41" t="str">
        <f>IF(A41="","",'Account Creation'!X41)</f>
        <v/>
      </c>
      <c r="F41" t="str">
        <f t="shared" si="2"/>
        <v/>
      </c>
      <c r="G41" s="54" t="str">
        <f>IF(A41="","",'Account Creation'!G41)</f>
        <v/>
      </c>
      <c r="I41" t="str">
        <f t="shared" si="1"/>
        <v/>
      </c>
      <c r="K41" t="str">
        <f>IF(A41="","",'Account Creation'!W41)</f>
        <v/>
      </c>
      <c r="L41" t="str">
        <f>IF(A41="","",'Account Creation'!V41)</f>
        <v/>
      </c>
      <c r="P41" s="97" t="str">
        <f>IF('Help Desk'!D41="","",'Help Desk'!D41)</f>
        <v/>
      </c>
    </row>
    <row r="42" spans="1:16" x14ac:dyDescent="0.25">
      <c r="A42" t="str">
        <f>CONCATENATE('Help Desk'!D42, 'Account Creation'!AE42)</f>
        <v/>
      </c>
      <c r="B42" t="str">
        <f>IF(A42="","",'Account Creation'!B42)</f>
        <v/>
      </c>
      <c r="C42" t="str">
        <f>IF(A42="","",'Help Desk'!A42)</f>
        <v/>
      </c>
      <c r="D42" t="str">
        <f>IF(A42="","",'Account Creation'!X42)</f>
        <v/>
      </c>
      <c r="F42" t="str">
        <f t="shared" si="2"/>
        <v/>
      </c>
      <c r="G42" s="54" t="str">
        <f>IF(A42="","",'Account Creation'!G42)</f>
        <v/>
      </c>
      <c r="I42" t="str">
        <f t="shared" si="1"/>
        <v/>
      </c>
      <c r="K42" t="str">
        <f>IF(A42="","",'Account Creation'!W42)</f>
        <v/>
      </c>
      <c r="L42" t="str">
        <f>IF(A42="","",'Account Creation'!V42)</f>
        <v/>
      </c>
      <c r="P42" s="97" t="str">
        <f>IF('Help Desk'!D42="","",'Help Desk'!D42)</f>
        <v/>
      </c>
    </row>
    <row r="43" spans="1:16" x14ac:dyDescent="0.25">
      <c r="A43" t="str">
        <f>CONCATENATE('Help Desk'!D43, 'Account Creation'!AE43)</f>
        <v/>
      </c>
      <c r="B43" t="str">
        <f>IF(A43="","",'Account Creation'!B43)</f>
        <v/>
      </c>
      <c r="C43" t="str">
        <f>IF(A43="","",'Help Desk'!A43)</f>
        <v/>
      </c>
      <c r="D43" t="str">
        <f>IF(A43="","",'Account Creation'!X43)</f>
        <v/>
      </c>
      <c r="F43" t="str">
        <f t="shared" si="2"/>
        <v/>
      </c>
      <c r="G43" s="54" t="str">
        <f>IF(A43="","",'Account Creation'!G43)</f>
        <v/>
      </c>
      <c r="I43" t="str">
        <f t="shared" si="1"/>
        <v/>
      </c>
      <c r="K43" t="str">
        <f>IF(A43="","",'Account Creation'!W43)</f>
        <v/>
      </c>
      <c r="L43" t="str">
        <f>IF(A43="","",'Account Creation'!V43)</f>
        <v/>
      </c>
      <c r="P43" s="97" t="str">
        <f>IF('Help Desk'!D43="","",'Help Desk'!D43)</f>
        <v/>
      </c>
    </row>
    <row r="44" spans="1:16" x14ac:dyDescent="0.25">
      <c r="A44" t="str">
        <f>CONCATENATE('Help Desk'!D44, 'Account Creation'!AE44)</f>
        <v/>
      </c>
      <c r="B44" t="str">
        <f>IF(A44="","",'Account Creation'!B44)</f>
        <v/>
      </c>
      <c r="C44" t="str">
        <f>IF(A44="","",'Help Desk'!A44)</f>
        <v/>
      </c>
      <c r="D44" t="str">
        <f>IF(A44="","",'Account Creation'!X44)</f>
        <v/>
      </c>
      <c r="F44" t="str">
        <f t="shared" si="2"/>
        <v/>
      </c>
      <c r="G44" s="54" t="str">
        <f>IF(A44="","",'Account Creation'!G44)</f>
        <v/>
      </c>
      <c r="I44" t="str">
        <f t="shared" si="1"/>
        <v/>
      </c>
      <c r="K44" t="str">
        <f>IF(A44="","",'Account Creation'!W44)</f>
        <v/>
      </c>
      <c r="L44" t="str">
        <f>IF(A44="","",'Account Creation'!V44)</f>
        <v/>
      </c>
      <c r="P44" s="97" t="str">
        <f>IF('Help Desk'!D44="","",'Help Desk'!D44)</f>
        <v/>
      </c>
    </row>
    <row r="45" spans="1:16" x14ac:dyDescent="0.25">
      <c r="A45" t="str">
        <f>CONCATENATE('Help Desk'!D45, 'Account Creation'!AE45)</f>
        <v/>
      </c>
      <c r="B45" t="str">
        <f>IF(A45="","",'Account Creation'!B45)</f>
        <v/>
      </c>
      <c r="C45" t="str">
        <f>IF(A45="","",'Help Desk'!A45)</f>
        <v/>
      </c>
      <c r="D45" t="str">
        <f>IF(A45="","",'Account Creation'!X45)</f>
        <v/>
      </c>
      <c r="F45" t="str">
        <f t="shared" si="2"/>
        <v/>
      </c>
      <c r="G45" s="54" t="str">
        <f>IF(A45="","",'Account Creation'!G45)</f>
        <v/>
      </c>
      <c r="I45" t="str">
        <f t="shared" si="1"/>
        <v/>
      </c>
      <c r="K45" t="str">
        <f>IF(A45="","",'Account Creation'!W45)</f>
        <v/>
      </c>
      <c r="L45" t="str">
        <f>IF(A45="","",'Account Creation'!V45)</f>
        <v/>
      </c>
      <c r="P45" s="97" t="str">
        <f>IF('Help Desk'!D45="","",'Help Desk'!D45)</f>
        <v/>
      </c>
    </row>
    <row r="46" spans="1:16" x14ac:dyDescent="0.25">
      <c r="A46" t="str">
        <f>CONCATENATE('Help Desk'!D46, 'Account Creation'!AE46)</f>
        <v/>
      </c>
      <c r="B46" t="str">
        <f>IF(A46="","",'Account Creation'!B46)</f>
        <v/>
      </c>
      <c r="C46" t="str">
        <f>IF(A46="","",'Help Desk'!A46)</f>
        <v/>
      </c>
      <c r="D46" t="str">
        <f>IF(A46="","",'Account Creation'!X46)</f>
        <v/>
      </c>
      <c r="F46" t="str">
        <f t="shared" si="2"/>
        <v/>
      </c>
      <c r="G46" s="54" t="str">
        <f>IF(A46="","",'Account Creation'!G46)</f>
        <v/>
      </c>
      <c r="I46" t="str">
        <f t="shared" si="1"/>
        <v/>
      </c>
      <c r="K46" t="str">
        <f>IF(A46="","",'Account Creation'!W46)</f>
        <v/>
      </c>
      <c r="L46" t="str">
        <f>IF(A46="","",'Account Creation'!V46)</f>
        <v/>
      </c>
      <c r="P46" s="97" t="str">
        <f>IF('Help Desk'!D46="","",'Help Desk'!D46)</f>
        <v/>
      </c>
    </row>
    <row r="47" spans="1:16" x14ac:dyDescent="0.25">
      <c r="A47" t="str">
        <f>CONCATENATE('Help Desk'!D47, 'Account Creation'!AE47)</f>
        <v/>
      </c>
      <c r="B47" t="str">
        <f>IF(A47="","",'Account Creation'!B47)</f>
        <v/>
      </c>
      <c r="C47" t="str">
        <f>IF(A47="","",'Help Desk'!A47)</f>
        <v/>
      </c>
      <c r="D47" t="str">
        <f>IF(A47="","",'Account Creation'!X47)</f>
        <v/>
      </c>
      <c r="F47" t="str">
        <f t="shared" si="2"/>
        <v/>
      </c>
      <c r="G47" s="54" t="str">
        <f>IF(A47="","",'Account Creation'!G47)</f>
        <v/>
      </c>
      <c r="I47" t="str">
        <f t="shared" si="1"/>
        <v/>
      </c>
      <c r="K47" t="str">
        <f>IF(A47="","",'Account Creation'!W47)</f>
        <v/>
      </c>
      <c r="L47" t="str">
        <f>IF(A47="","",'Account Creation'!V47)</f>
        <v/>
      </c>
      <c r="P47" s="97" t="str">
        <f>IF('Help Desk'!D47="","",'Help Desk'!D47)</f>
        <v/>
      </c>
    </row>
    <row r="48" spans="1:16" x14ac:dyDescent="0.25">
      <c r="A48" t="str">
        <f>CONCATENATE('Help Desk'!D48, 'Account Creation'!AE48)</f>
        <v/>
      </c>
      <c r="B48" t="str">
        <f>IF(A48="","",'Account Creation'!B48)</f>
        <v/>
      </c>
      <c r="C48" t="str">
        <f>IF(A48="","",'Help Desk'!A48)</f>
        <v/>
      </c>
      <c r="D48" t="str">
        <f>IF(A48="","",'Account Creation'!X48)</f>
        <v/>
      </c>
      <c r="F48" t="str">
        <f t="shared" si="2"/>
        <v/>
      </c>
      <c r="G48" s="54" t="str">
        <f>IF(A48="","",'Account Creation'!G48)</f>
        <v/>
      </c>
      <c r="I48" t="str">
        <f t="shared" si="1"/>
        <v/>
      </c>
      <c r="K48" t="str">
        <f>IF(A48="","",'Account Creation'!W48)</f>
        <v/>
      </c>
      <c r="L48" t="str">
        <f>IF(A48="","",'Account Creation'!V48)</f>
        <v/>
      </c>
      <c r="P48" s="97" t="str">
        <f>IF('Help Desk'!D48="","",'Help Desk'!D48)</f>
        <v/>
      </c>
    </row>
    <row r="49" spans="1:16" x14ac:dyDescent="0.25">
      <c r="A49" t="str">
        <f>CONCATENATE('Help Desk'!D49, 'Account Creation'!AE49)</f>
        <v/>
      </c>
      <c r="B49" t="str">
        <f>IF(A49="","",'Account Creation'!B49)</f>
        <v/>
      </c>
      <c r="C49" t="str">
        <f>IF(A49="","",'Help Desk'!A49)</f>
        <v/>
      </c>
      <c r="D49" t="str">
        <f>IF(A49="","",'Account Creation'!X49)</f>
        <v/>
      </c>
      <c r="F49" t="str">
        <f t="shared" si="2"/>
        <v/>
      </c>
      <c r="G49" s="54" t="str">
        <f>IF(A49="","",'Account Creation'!G49)</f>
        <v/>
      </c>
      <c r="I49" t="str">
        <f t="shared" si="1"/>
        <v/>
      </c>
      <c r="K49" t="str">
        <f>IF(A49="","",'Account Creation'!W49)</f>
        <v/>
      </c>
      <c r="L49" t="str">
        <f>IF(A49="","",'Account Creation'!V49)</f>
        <v/>
      </c>
      <c r="P49" s="97" t="str">
        <f>IF('Help Desk'!D49="","",'Help Desk'!D49)</f>
        <v/>
      </c>
    </row>
    <row r="50" spans="1:16" x14ac:dyDescent="0.25">
      <c r="A50" t="str">
        <f>CONCATENATE('Help Desk'!D50, 'Account Creation'!AE50)</f>
        <v/>
      </c>
      <c r="B50" t="str">
        <f>IF(A50="","",'Account Creation'!B50)</f>
        <v/>
      </c>
      <c r="C50" t="str">
        <f>IF(A50="","",'Help Desk'!A50)</f>
        <v/>
      </c>
      <c r="D50" t="str">
        <f>IF(A50="","",'Account Creation'!X50)</f>
        <v/>
      </c>
      <c r="F50" t="str">
        <f t="shared" si="2"/>
        <v/>
      </c>
      <c r="G50" s="54" t="str">
        <f>IF(A50="","",'Account Creation'!G50)</f>
        <v/>
      </c>
      <c r="I50" t="str">
        <f t="shared" si="1"/>
        <v/>
      </c>
      <c r="K50" t="str">
        <f>IF(A50="","",'Account Creation'!W50)</f>
        <v/>
      </c>
      <c r="L50" t="str">
        <f>IF(A50="","",'Account Creation'!V50)</f>
        <v/>
      </c>
      <c r="P50" s="97" t="str">
        <f>IF('Help Desk'!D50="","",'Help Desk'!D50)</f>
        <v/>
      </c>
    </row>
    <row r="51" spans="1:16" x14ac:dyDescent="0.25">
      <c r="A51" t="str">
        <f>CONCATENATE('Help Desk'!D51, 'Account Creation'!AE51)</f>
        <v/>
      </c>
      <c r="B51" t="str">
        <f>IF(A51="","",'Account Creation'!B51)</f>
        <v/>
      </c>
      <c r="C51" t="str">
        <f>IF(A51="","",'Help Desk'!A51)</f>
        <v/>
      </c>
      <c r="D51" t="str">
        <f>IF(A51="","",'Account Creation'!X51)</f>
        <v/>
      </c>
      <c r="F51" t="str">
        <f t="shared" si="2"/>
        <v/>
      </c>
      <c r="G51" s="54" t="str">
        <f>IF(A51="","",'Account Creation'!G51)</f>
        <v/>
      </c>
      <c r="I51" t="str">
        <f t="shared" si="1"/>
        <v/>
      </c>
      <c r="K51" t="str">
        <f>IF(A51="","",'Account Creation'!W51)</f>
        <v/>
      </c>
      <c r="L51" t="str">
        <f>IF(A51="","",'Account Creation'!V51)</f>
        <v/>
      </c>
      <c r="P51" s="97" t="str">
        <f>IF('Help Desk'!D51="","",'Help Desk'!D51)</f>
        <v/>
      </c>
    </row>
    <row r="52" spans="1:16" x14ac:dyDescent="0.25">
      <c r="A52" t="str">
        <f>CONCATENATE('Help Desk'!D52, 'Account Creation'!AE52)</f>
        <v/>
      </c>
      <c r="B52" t="str">
        <f>IF(A52="","",'Account Creation'!B52)</f>
        <v/>
      </c>
      <c r="C52" t="str">
        <f>IF(A52="","",'Help Desk'!A52)</f>
        <v/>
      </c>
      <c r="D52" t="str">
        <f>IF(A52="","",'Account Creation'!X52)</f>
        <v/>
      </c>
      <c r="F52" t="str">
        <f t="shared" si="2"/>
        <v/>
      </c>
      <c r="G52" s="54" t="str">
        <f>IF(A52="","",'Account Creation'!G52)</f>
        <v/>
      </c>
      <c r="I52" t="str">
        <f t="shared" si="1"/>
        <v/>
      </c>
      <c r="K52" t="str">
        <f>IF(A52="","",'Account Creation'!W52)</f>
        <v/>
      </c>
      <c r="L52" t="str">
        <f>IF(A52="","",'Account Creation'!V52)</f>
        <v/>
      </c>
      <c r="P52" s="97" t="str">
        <f>IF('Help Desk'!D52="","",'Help Desk'!D52)</f>
        <v/>
      </c>
    </row>
    <row r="53" spans="1:16" x14ac:dyDescent="0.25">
      <c r="A53" t="str">
        <f>CONCATENATE('Help Desk'!D53, 'Account Creation'!AE53)</f>
        <v/>
      </c>
      <c r="B53" t="str">
        <f>IF(A53="","",'Account Creation'!B53)</f>
        <v/>
      </c>
      <c r="C53" t="str">
        <f>IF(A53="","",'Help Desk'!A53)</f>
        <v/>
      </c>
      <c r="D53" t="str">
        <f>IF(A53="","",'Account Creation'!X53)</f>
        <v/>
      </c>
      <c r="F53" t="str">
        <f t="shared" si="2"/>
        <v/>
      </c>
      <c r="G53" s="54" t="str">
        <f>IF(A53="","",'Account Creation'!G53)</f>
        <v/>
      </c>
      <c r="I53" t="str">
        <f t="shared" si="1"/>
        <v/>
      </c>
      <c r="K53" t="str">
        <f>IF(A53="","",'Account Creation'!W53)</f>
        <v/>
      </c>
      <c r="L53" t="str">
        <f>IF(A53="","",'Account Creation'!V53)</f>
        <v/>
      </c>
      <c r="P53" s="97" t="str">
        <f>IF('Help Desk'!D53="","",'Help Desk'!D53)</f>
        <v/>
      </c>
    </row>
    <row r="54" spans="1:16" x14ac:dyDescent="0.25">
      <c r="A54" t="str">
        <f>CONCATENATE('Help Desk'!D54, 'Account Creation'!AE54)</f>
        <v/>
      </c>
      <c r="B54" t="str">
        <f>IF(A54="","",'Account Creation'!B54)</f>
        <v/>
      </c>
      <c r="C54" t="str">
        <f>IF(A54="","",'Help Desk'!A54)</f>
        <v/>
      </c>
      <c r="D54" t="str">
        <f>IF(A54="","",'Account Creation'!X54)</f>
        <v/>
      </c>
      <c r="F54" t="str">
        <f t="shared" si="2"/>
        <v/>
      </c>
      <c r="G54" s="54" t="str">
        <f>IF(A54="","",'Account Creation'!G54)</f>
        <v/>
      </c>
      <c r="I54" t="str">
        <f t="shared" si="1"/>
        <v/>
      </c>
      <c r="K54" t="str">
        <f>IF(A54="","",'Account Creation'!W54)</f>
        <v/>
      </c>
      <c r="L54" t="str">
        <f>IF(A54="","",'Account Creation'!V54)</f>
        <v/>
      </c>
      <c r="P54" s="97" t="str">
        <f>IF('Help Desk'!D54="","",'Help Desk'!D54)</f>
        <v/>
      </c>
    </row>
    <row r="55" spans="1:16" x14ac:dyDescent="0.25">
      <c r="A55" t="str">
        <f>CONCATENATE('Help Desk'!D55, 'Account Creation'!AE55)</f>
        <v/>
      </c>
      <c r="B55" t="str">
        <f>IF(A55="","",'Account Creation'!B55)</f>
        <v/>
      </c>
      <c r="C55" t="str">
        <f>IF(A55="","",'Help Desk'!A55)</f>
        <v/>
      </c>
      <c r="D55" t="str">
        <f>IF(A55="","",'Account Creation'!X55)</f>
        <v/>
      </c>
      <c r="F55" t="str">
        <f t="shared" si="2"/>
        <v/>
      </c>
      <c r="G55" s="54" t="str">
        <f>IF(A55="","",'Account Creation'!G55)</f>
        <v/>
      </c>
      <c r="I55" t="str">
        <f t="shared" si="1"/>
        <v/>
      </c>
      <c r="K55" t="str">
        <f>IF(A55="","",'Account Creation'!W55)</f>
        <v/>
      </c>
      <c r="L55" t="str">
        <f>IF(A55="","",'Account Creation'!V55)</f>
        <v/>
      </c>
      <c r="P55" s="97" t="str">
        <f>IF('Help Desk'!D55="","",'Help Desk'!D55)</f>
        <v/>
      </c>
    </row>
    <row r="56" spans="1:16" x14ac:dyDescent="0.25">
      <c r="A56" t="str">
        <f>CONCATENATE('Help Desk'!D56, 'Account Creation'!AE56)</f>
        <v/>
      </c>
      <c r="B56" t="str">
        <f>IF(A56="","",'Account Creation'!B56)</f>
        <v/>
      </c>
      <c r="C56" t="str">
        <f>IF(A56="","",'Help Desk'!A56)</f>
        <v/>
      </c>
      <c r="D56" t="str">
        <f>IF(A56="","",'Account Creation'!X56)</f>
        <v/>
      </c>
      <c r="F56" t="str">
        <f t="shared" si="2"/>
        <v/>
      </c>
      <c r="G56" s="54" t="str">
        <f>IF(A56="","",'Account Creation'!G56)</f>
        <v/>
      </c>
      <c r="I56" t="str">
        <f t="shared" si="1"/>
        <v/>
      </c>
      <c r="K56" t="str">
        <f>IF(A56="","",'Account Creation'!W56)</f>
        <v/>
      </c>
      <c r="L56" t="str">
        <f>IF(A56="","",'Account Creation'!V56)</f>
        <v/>
      </c>
      <c r="P56" s="97" t="str">
        <f>IF('Help Desk'!D56="","",'Help Desk'!D56)</f>
        <v/>
      </c>
    </row>
    <row r="57" spans="1:16" x14ac:dyDescent="0.25">
      <c r="A57" t="str">
        <f>CONCATENATE('Help Desk'!D57, 'Account Creation'!AE57)</f>
        <v/>
      </c>
      <c r="B57" t="str">
        <f>IF(A57="","",'Account Creation'!B57)</f>
        <v/>
      </c>
      <c r="C57" t="str">
        <f>IF(A57="","",'Help Desk'!A57)</f>
        <v/>
      </c>
      <c r="D57" t="str">
        <f>IF(A57="","",'Account Creation'!X57)</f>
        <v/>
      </c>
      <c r="F57" t="str">
        <f t="shared" si="2"/>
        <v/>
      </c>
      <c r="G57" s="54" t="str">
        <f>IF(A57="","",'Account Creation'!G57)</f>
        <v/>
      </c>
      <c r="I57" t="str">
        <f t="shared" si="1"/>
        <v/>
      </c>
      <c r="K57" t="str">
        <f>IF(A57="","",'Account Creation'!W57)</f>
        <v/>
      </c>
      <c r="L57" t="str">
        <f>IF(A57="","",'Account Creation'!V57)</f>
        <v/>
      </c>
      <c r="P57" s="97" t="str">
        <f>IF('Help Desk'!D57="","",'Help Desk'!D57)</f>
        <v/>
      </c>
    </row>
    <row r="58" spans="1:16" x14ac:dyDescent="0.25">
      <c r="A58" t="str">
        <f>CONCATENATE('Help Desk'!D58, 'Account Creation'!AE58)</f>
        <v/>
      </c>
      <c r="B58" t="str">
        <f>IF(A58="","",'Account Creation'!B58)</f>
        <v/>
      </c>
      <c r="C58" t="str">
        <f>IF(A58="","",'Help Desk'!A58)</f>
        <v/>
      </c>
      <c r="D58" t="str">
        <f>IF(A58="","",'Account Creation'!X58)</f>
        <v/>
      </c>
      <c r="F58" t="str">
        <f t="shared" si="2"/>
        <v/>
      </c>
      <c r="G58" s="54" t="str">
        <f>IF(A58="","",'Account Creation'!G58)</f>
        <v/>
      </c>
      <c r="I58" t="str">
        <f t="shared" si="1"/>
        <v/>
      </c>
      <c r="K58" t="str">
        <f>IF(A58="","",'Account Creation'!W58)</f>
        <v/>
      </c>
      <c r="L58" t="str">
        <f>IF(A58="","",'Account Creation'!V58)</f>
        <v/>
      </c>
      <c r="P58" s="97" t="str">
        <f>IF('Help Desk'!D58="","",'Help Desk'!D58)</f>
        <v/>
      </c>
    </row>
    <row r="59" spans="1:16" x14ac:dyDescent="0.25">
      <c r="A59" t="str">
        <f>CONCATENATE('Help Desk'!D59, 'Account Creation'!AE59)</f>
        <v/>
      </c>
      <c r="B59" t="str">
        <f>IF(A59="","",'Account Creation'!B59)</f>
        <v/>
      </c>
      <c r="C59" t="str">
        <f>IF(A59="","",'Help Desk'!A59)</f>
        <v/>
      </c>
      <c r="D59" t="str">
        <f>IF(A59="","",'Account Creation'!X59)</f>
        <v/>
      </c>
      <c r="F59" t="str">
        <f t="shared" si="2"/>
        <v/>
      </c>
      <c r="G59" s="54" t="str">
        <f>IF(A59="","",'Account Creation'!G59)</f>
        <v/>
      </c>
      <c r="I59" t="str">
        <f t="shared" si="1"/>
        <v/>
      </c>
      <c r="K59" t="str">
        <f>IF(A59="","",'Account Creation'!W59)</f>
        <v/>
      </c>
      <c r="L59" t="str">
        <f>IF(A59="","",'Account Creation'!V59)</f>
        <v/>
      </c>
      <c r="P59" s="97" t="str">
        <f>IF('Help Desk'!D59="","",'Help Desk'!D59)</f>
        <v/>
      </c>
    </row>
    <row r="60" spans="1:16" x14ac:dyDescent="0.25">
      <c r="A60" t="str">
        <f>CONCATENATE('Help Desk'!D60, 'Account Creation'!AE60)</f>
        <v/>
      </c>
      <c r="B60" t="str">
        <f>IF(A60="","",'Account Creation'!B60)</f>
        <v/>
      </c>
      <c r="C60" t="str">
        <f>IF(A60="","",'Help Desk'!A60)</f>
        <v/>
      </c>
      <c r="D60" t="str">
        <f>IF(A60="","",'Account Creation'!X60)</f>
        <v/>
      </c>
      <c r="F60" t="str">
        <f t="shared" si="2"/>
        <v/>
      </c>
      <c r="G60" s="54" t="str">
        <f>IF(A60="","",'Account Creation'!G60)</f>
        <v/>
      </c>
      <c r="I60" t="str">
        <f t="shared" si="1"/>
        <v/>
      </c>
      <c r="K60" t="str">
        <f>IF(A60="","",'Account Creation'!W60)</f>
        <v/>
      </c>
      <c r="L60" t="str">
        <f>IF(A60="","",'Account Creation'!V60)</f>
        <v/>
      </c>
      <c r="P60" s="97" t="str">
        <f>IF('Help Desk'!D60="","",'Help Desk'!D60)</f>
        <v/>
      </c>
    </row>
    <row r="61" spans="1:16" x14ac:dyDescent="0.25">
      <c r="A61" t="str">
        <f>CONCATENATE('Help Desk'!D61, 'Account Creation'!AE61)</f>
        <v/>
      </c>
      <c r="B61" t="str">
        <f>IF(A61="","",'Account Creation'!B61)</f>
        <v/>
      </c>
      <c r="C61" t="str">
        <f>IF(A61="","",'Help Desk'!A61)</f>
        <v/>
      </c>
      <c r="D61" t="str">
        <f>IF(A61="","",'Account Creation'!X61)</f>
        <v/>
      </c>
      <c r="F61" t="str">
        <f t="shared" si="2"/>
        <v/>
      </c>
      <c r="G61" s="54" t="str">
        <f>IF(A61="","",'Account Creation'!G61)</f>
        <v/>
      </c>
      <c r="I61" t="str">
        <f t="shared" si="1"/>
        <v/>
      </c>
      <c r="K61" t="str">
        <f>IF(A61="","",'Account Creation'!W61)</f>
        <v/>
      </c>
      <c r="L61" t="str">
        <f>IF(A61="","",'Account Creation'!V61)</f>
        <v/>
      </c>
      <c r="P61" s="97" t="str">
        <f>IF('Help Desk'!D61="","",'Help Desk'!D61)</f>
        <v/>
      </c>
    </row>
    <row r="62" spans="1:16" x14ac:dyDescent="0.25">
      <c r="A62" t="str">
        <f>CONCATENATE('Help Desk'!D62, 'Account Creation'!AE62)</f>
        <v/>
      </c>
      <c r="B62" t="str">
        <f>IF(A62="","",'Account Creation'!B62)</f>
        <v/>
      </c>
      <c r="C62" t="str">
        <f>IF(A62="","",'Help Desk'!A62)</f>
        <v/>
      </c>
      <c r="D62" t="str">
        <f>IF(A62="","",'Account Creation'!X62)</f>
        <v/>
      </c>
      <c r="F62" t="str">
        <f t="shared" si="2"/>
        <v/>
      </c>
      <c r="G62" s="54" t="str">
        <f>IF(A62="","",'Account Creation'!G62)</f>
        <v/>
      </c>
      <c r="I62" t="str">
        <f t="shared" si="1"/>
        <v/>
      </c>
      <c r="K62" t="str">
        <f>IF(A62="","",'Account Creation'!W62)</f>
        <v/>
      </c>
      <c r="L62" t="str">
        <f>IF(A62="","",'Account Creation'!V62)</f>
        <v/>
      </c>
      <c r="P62" s="97" t="str">
        <f>IF('Help Desk'!D62="","",'Help Desk'!D62)</f>
        <v/>
      </c>
    </row>
    <row r="63" spans="1:16" x14ac:dyDescent="0.25">
      <c r="A63" t="str">
        <f>CONCATENATE('Help Desk'!D63, 'Account Creation'!AE63)</f>
        <v/>
      </c>
      <c r="B63" t="str">
        <f>IF(A63="","",'Account Creation'!B63)</f>
        <v/>
      </c>
      <c r="C63" t="str">
        <f>IF(A63="","",'Help Desk'!A63)</f>
        <v/>
      </c>
      <c r="D63" t="str">
        <f>IF(A63="","",'Account Creation'!X63)</f>
        <v/>
      </c>
      <c r="F63" t="str">
        <f t="shared" si="2"/>
        <v/>
      </c>
      <c r="G63" s="54" t="str">
        <f>IF(A63="","",'Account Creation'!G63)</f>
        <v/>
      </c>
      <c r="I63" t="str">
        <f t="shared" si="1"/>
        <v/>
      </c>
      <c r="K63" t="str">
        <f>IF(A63="","",'Account Creation'!W63)</f>
        <v/>
      </c>
      <c r="L63" t="str">
        <f>IF(A63="","",'Account Creation'!V63)</f>
        <v/>
      </c>
      <c r="P63" s="97" t="str">
        <f>IF('Help Desk'!D63="","",'Help Desk'!D63)</f>
        <v/>
      </c>
    </row>
    <row r="64" spans="1:16" x14ac:dyDescent="0.25">
      <c r="A64" t="str">
        <f>CONCATENATE('Help Desk'!D64, 'Account Creation'!AE64)</f>
        <v/>
      </c>
      <c r="B64" t="str">
        <f>IF(A64="","",'Account Creation'!B64)</f>
        <v/>
      </c>
      <c r="C64" t="str">
        <f>IF(A64="","",'Help Desk'!A64)</f>
        <v/>
      </c>
      <c r="D64" t="str">
        <f>IF(A64="","",'Account Creation'!X64)</f>
        <v/>
      </c>
      <c r="F64" t="str">
        <f t="shared" si="2"/>
        <v/>
      </c>
      <c r="G64" s="54" t="str">
        <f>IF(A64="","",'Account Creation'!G64)</f>
        <v/>
      </c>
      <c r="I64" t="str">
        <f t="shared" si="1"/>
        <v/>
      </c>
      <c r="K64" t="str">
        <f>IF(A64="","",'Account Creation'!W64)</f>
        <v/>
      </c>
      <c r="L64" t="str">
        <f>IF(A64="","",'Account Creation'!V64)</f>
        <v/>
      </c>
      <c r="P64" s="97" t="str">
        <f>IF('Help Desk'!D64="","",'Help Desk'!D64)</f>
        <v/>
      </c>
    </row>
    <row r="65" spans="1:16" x14ac:dyDescent="0.25">
      <c r="A65" t="str">
        <f>CONCATENATE('Help Desk'!D65, 'Account Creation'!AE65)</f>
        <v/>
      </c>
      <c r="B65" t="str">
        <f>IF(A65="","",'Account Creation'!B65)</f>
        <v/>
      </c>
      <c r="C65" t="str">
        <f>IF(A65="","",'Help Desk'!A65)</f>
        <v/>
      </c>
      <c r="D65" t="str">
        <f>IF(A65="","",'Account Creation'!X65)</f>
        <v/>
      </c>
      <c r="F65" t="str">
        <f t="shared" si="2"/>
        <v/>
      </c>
      <c r="G65" s="54" t="str">
        <f>IF(A65="","",'Account Creation'!G65)</f>
        <v/>
      </c>
      <c r="I65" t="str">
        <f t="shared" si="1"/>
        <v/>
      </c>
      <c r="K65" t="str">
        <f>IF(A65="","",'Account Creation'!W65)</f>
        <v/>
      </c>
      <c r="L65" t="str">
        <f>IF(A65="","",'Account Creation'!V65)</f>
        <v/>
      </c>
      <c r="P65" s="97" t="str">
        <f>IF('Help Desk'!D65="","",'Help Desk'!D65)</f>
        <v/>
      </c>
    </row>
    <row r="66" spans="1:16" x14ac:dyDescent="0.25">
      <c r="A66" t="str">
        <f>CONCATENATE('Help Desk'!D66, 'Account Creation'!AE66)</f>
        <v/>
      </c>
      <c r="B66" t="str">
        <f>IF(A66="","",'Account Creation'!B66)</f>
        <v/>
      </c>
      <c r="C66" t="str">
        <f>IF(A66="","",'Help Desk'!A66)</f>
        <v/>
      </c>
      <c r="D66" t="str">
        <f>IF(A66="","",'Account Creation'!X66)</f>
        <v/>
      </c>
      <c r="F66" t="str">
        <f t="shared" si="2"/>
        <v/>
      </c>
      <c r="G66" s="54" t="str">
        <f>IF(A66="","",'Account Creation'!G66)</f>
        <v/>
      </c>
      <c r="I66" t="str">
        <f t="shared" ref="I66:I129" si="3">IF(A66="","","TRUE")</f>
        <v/>
      </c>
      <c r="K66" t="str">
        <f>IF(A66="","",'Account Creation'!W66)</f>
        <v/>
      </c>
      <c r="L66" t="str">
        <f>IF(A66="","",'Account Creation'!V66)</f>
        <v/>
      </c>
      <c r="P66" s="97" t="str">
        <f>IF('Help Desk'!D66="","",'Help Desk'!D66)</f>
        <v/>
      </c>
    </row>
    <row r="67" spans="1:16" x14ac:dyDescent="0.25">
      <c r="A67" t="str">
        <f>CONCATENATE('Help Desk'!D67, 'Account Creation'!AE67)</f>
        <v/>
      </c>
      <c r="B67" t="str">
        <f>IF(A67="","",'Account Creation'!B67)</f>
        <v/>
      </c>
      <c r="C67" t="str">
        <f>IF(A67="","",'Help Desk'!A67)</f>
        <v/>
      </c>
      <c r="D67" t="str">
        <f>IF(A67="","",'Account Creation'!X67)</f>
        <v/>
      </c>
      <c r="F67" t="str">
        <f t="shared" si="2"/>
        <v/>
      </c>
      <c r="G67" s="54" t="str">
        <f>IF(A67="","",'Account Creation'!G67)</f>
        <v/>
      </c>
      <c r="I67" t="str">
        <f t="shared" si="3"/>
        <v/>
      </c>
      <c r="K67" t="str">
        <f>IF(A67="","",'Account Creation'!W67)</f>
        <v/>
      </c>
      <c r="L67" t="str">
        <f>IF(A67="","",'Account Creation'!V67)</f>
        <v/>
      </c>
      <c r="P67" s="97" t="str">
        <f>IF('Help Desk'!D67="","",'Help Desk'!D67)</f>
        <v/>
      </c>
    </row>
    <row r="68" spans="1:16" x14ac:dyDescent="0.25">
      <c r="A68" t="str">
        <f>CONCATENATE('Help Desk'!D68, 'Account Creation'!AE68)</f>
        <v/>
      </c>
      <c r="B68" t="str">
        <f>IF(A68="","",'Account Creation'!B68)</f>
        <v/>
      </c>
      <c r="C68" t="str">
        <f>IF(A68="","",'Help Desk'!A68)</f>
        <v/>
      </c>
      <c r="D68" t="str">
        <f>IF(A68="","",'Account Creation'!X68)</f>
        <v/>
      </c>
      <c r="F68" t="str">
        <f t="shared" si="2"/>
        <v/>
      </c>
      <c r="G68" s="54" t="str">
        <f>IF(A68="","",'Account Creation'!G68)</f>
        <v/>
      </c>
      <c r="I68" t="str">
        <f t="shared" si="3"/>
        <v/>
      </c>
      <c r="K68" t="str">
        <f>IF(A68="","",'Account Creation'!W68)</f>
        <v/>
      </c>
      <c r="L68" t="str">
        <f>IF(A68="","",'Account Creation'!V68)</f>
        <v/>
      </c>
      <c r="P68" s="97" t="str">
        <f>IF('Help Desk'!D68="","",'Help Desk'!D68)</f>
        <v/>
      </c>
    </row>
    <row r="69" spans="1:16" x14ac:dyDescent="0.25">
      <c r="A69" t="str">
        <f>CONCATENATE('Help Desk'!D69, 'Account Creation'!AE69)</f>
        <v/>
      </c>
      <c r="B69" t="str">
        <f>IF(A69="","",'Account Creation'!B69)</f>
        <v/>
      </c>
      <c r="C69" t="str">
        <f>IF(A69="","",'Help Desk'!A69)</f>
        <v/>
      </c>
      <c r="D69" t="str">
        <f>IF(A69="","",'Account Creation'!X69)</f>
        <v/>
      </c>
      <c r="F69" t="str">
        <f t="shared" ref="F69:F132" si="4">IF(A69="","","America/Chicago")</f>
        <v/>
      </c>
      <c r="G69" s="54" t="str">
        <f>IF(A69="","",'Account Creation'!G69)</f>
        <v/>
      </c>
      <c r="I69" t="str">
        <f t="shared" si="3"/>
        <v/>
      </c>
      <c r="K69" t="str">
        <f>IF(A69="","",'Account Creation'!W69)</f>
        <v/>
      </c>
      <c r="L69" t="str">
        <f>IF(A69="","",'Account Creation'!V69)</f>
        <v/>
      </c>
      <c r="P69" s="97" t="str">
        <f>IF('Help Desk'!D69="","",'Help Desk'!D69)</f>
        <v/>
      </c>
    </row>
    <row r="70" spans="1:16" x14ac:dyDescent="0.25">
      <c r="A70" t="str">
        <f>CONCATENATE('Help Desk'!D70, 'Account Creation'!AE70)</f>
        <v/>
      </c>
      <c r="B70" t="str">
        <f>IF(A70="","",'Account Creation'!B70)</f>
        <v/>
      </c>
      <c r="C70" t="str">
        <f>IF(A70="","",'Help Desk'!A70)</f>
        <v/>
      </c>
      <c r="D70" t="str">
        <f>IF(A70="","",'Account Creation'!X70)</f>
        <v/>
      </c>
      <c r="F70" t="str">
        <f t="shared" si="4"/>
        <v/>
      </c>
      <c r="G70" s="54" t="str">
        <f>IF(A70="","",'Account Creation'!G70)</f>
        <v/>
      </c>
      <c r="I70" t="str">
        <f t="shared" si="3"/>
        <v/>
      </c>
      <c r="K70" t="str">
        <f>IF(A70="","",'Account Creation'!W70)</f>
        <v/>
      </c>
      <c r="L70" t="str">
        <f>IF(A70="","",'Account Creation'!V70)</f>
        <v/>
      </c>
      <c r="P70" s="97" t="str">
        <f>IF('Help Desk'!D70="","",'Help Desk'!D70)</f>
        <v/>
      </c>
    </row>
    <row r="71" spans="1:16" x14ac:dyDescent="0.25">
      <c r="A71" t="str">
        <f>CONCATENATE('Help Desk'!D71, 'Account Creation'!AE71)</f>
        <v/>
      </c>
      <c r="B71" t="str">
        <f>IF(A71="","",'Account Creation'!B71)</f>
        <v/>
      </c>
      <c r="C71" t="str">
        <f>IF(A71="","",'Help Desk'!A71)</f>
        <v/>
      </c>
      <c r="D71" t="str">
        <f>IF(A71="","",'Account Creation'!X71)</f>
        <v/>
      </c>
      <c r="F71" t="str">
        <f t="shared" si="4"/>
        <v/>
      </c>
      <c r="G71" s="54" t="str">
        <f>IF(A71="","",'Account Creation'!G71)</f>
        <v/>
      </c>
      <c r="I71" t="str">
        <f t="shared" si="3"/>
        <v/>
      </c>
      <c r="K71" t="str">
        <f>IF(A71="","",'Account Creation'!W71)</f>
        <v/>
      </c>
      <c r="L71" t="str">
        <f>IF(A71="","",'Account Creation'!V71)</f>
        <v/>
      </c>
      <c r="P71" s="97" t="str">
        <f>IF('Help Desk'!D71="","",'Help Desk'!D71)</f>
        <v/>
      </c>
    </row>
    <row r="72" spans="1:16" x14ac:dyDescent="0.25">
      <c r="A72" t="str">
        <f>CONCATENATE('Help Desk'!D72, 'Account Creation'!AE72)</f>
        <v/>
      </c>
      <c r="B72" t="str">
        <f>IF(A72="","",'Account Creation'!B72)</f>
        <v/>
      </c>
      <c r="C72" t="str">
        <f>IF(A72="","",'Help Desk'!A72)</f>
        <v/>
      </c>
      <c r="D72" t="str">
        <f>IF(A72="","",'Account Creation'!X72)</f>
        <v/>
      </c>
      <c r="F72" t="str">
        <f t="shared" si="4"/>
        <v/>
      </c>
      <c r="G72" s="54" t="str">
        <f>IF(A72="","",'Account Creation'!G72)</f>
        <v/>
      </c>
      <c r="I72" t="str">
        <f t="shared" si="3"/>
        <v/>
      </c>
      <c r="K72" t="str">
        <f>IF(A72="","",'Account Creation'!W72)</f>
        <v/>
      </c>
      <c r="L72" t="str">
        <f>IF(A72="","",'Account Creation'!V72)</f>
        <v/>
      </c>
      <c r="P72" s="97" t="str">
        <f>IF('Help Desk'!D72="","",'Help Desk'!D72)</f>
        <v/>
      </c>
    </row>
    <row r="73" spans="1:16" x14ac:dyDescent="0.25">
      <c r="A73" t="str">
        <f>CONCATENATE('Help Desk'!D73, 'Account Creation'!AE73)</f>
        <v/>
      </c>
      <c r="B73" t="str">
        <f>IF(A73="","",'Account Creation'!B73)</f>
        <v/>
      </c>
      <c r="C73" t="str">
        <f>IF(A73="","",'Help Desk'!A73)</f>
        <v/>
      </c>
      <c r="D73" t="str">
        <f>IF(A73="","",'Account Creation'!X73)</f>
        <v/>
      </c>
      <c r="F73" t="str">
        <f t="shared" si="4"/>
        <v/>
      </c>
      <c r="G73" s="54" t="str">
        <f>IF(A73="","",'Account Creation'!G73)</f>
        <v/>
      </c>
      <c r="I73" t="str">
        <f t="shared" si="3"/>
        <v/>
      </c>
      <c r="K73" t="str">
        <f>IF(A73="","",'Account Creation'!W73)</f>
        <v/>
      </c>
      <c r="L73" t="str">
        <f>IF(A73="","",'Account Creation'!V73)</f>
        <v/>
      </c>
      <c r="P73" s="97" t="str">
        <f>IF('Help Desk'!D73="","",'Help Desk'!D73)</f>
        <v/>
      </c>
    </row>
    <row r="74" spans="1:16" x14ac:dyDescent="0.25">
      <c r="A74" t="str">
        <f>CONCATENATE('Help Desk'!D74, 'Account Creation'!AE74)</f>
        <v/>
      </c>
      <c r="B74" t="str">
        <f>IF(A74="","",'Account Creation'!B74)</f>
        <v/>
      </c>
      <c r="C74" t="str">
        <f>IF(A74="","",'Help Desk'!A74)</f>
        <v/>
      </c>
      <c r="D74" t="str">
        <f>IF(A74="","",'Account Creation'!X74)</f>
        <v/>
      </c>
      <c r="F74" t="str">
        <f t="shared" si="4"/>
        <v/>
      </c>
      <c r="G74" s="54" t="str">
        <f>IF(A74="","",'Account Creation'!G74)</f>
        <v/>
      </c>
      <c r="I74" t="str">
        <f t="shared" si="3"/>
        <v/>
      </c>
      <c r="K74" t="str">
        <f>IF(A74="","",'Account Creation'!W74)</f>
        <v/>
      </c>
      <c r="L74" t="str">
        <f>IF(A74="","",'Account Creation'!V74)</f>
        <v/>
      </c>
      <c r="P74" s="97" t="str">
        <f>IF('Help Desk'!D74="","",'Help Desk'!D74)</f>
        <v/>
      </c>
    </row>
    <row r="75" spans="1:16" x14ac:dyDescent="0.25">
      <c r="A75" t="str">
        <f>CONCATENATE('Help Desk'!D75, 'Account Creation'!AE75)</f>
        <v/>
      </c>
      <c r="B75" t="str">
        <f>IF(A75="","",'Account Creation'!B75)</f>
        <v/>
      </c>
      <c r="C75" t="str">
        <f>IF(A75="","",'Help Desk'!A75)</f>
        <v/>
      </c>
      <c r="D75" t="str">
        <f>IF(A75="","",'Account Creation'!X75)</f>
        <v/>
      </c>
      <c r="F75" t="str">
        <f t="shared" si="4"/>
        <v/>
      </c>
      <c r="G75" s="54" t="str">
        <f>IF(A75="","",'Account Creation'!G75)</f>
        <v/>
      </c>
      <c r="I75" t="str">
        <f t="shared" si="3"/>
        <v/>
      </c>
      <c r="K75" t="str">
        <f>IF(A75="","",'Account Creation'!W75)</f>
        <v/>
      </c>
      <c r="L75" t="str">
        <f>IF(A75="","",'Account Creation'!V75)</f>
        <v/>
      </c>
      <c r="P75" s="97" t="str">
        <f>IF('Help Desk'!D75="","",'Help Desk'!D75)</f>
        <v/>
      </c>
    </row>
    <row r="76" spans="1:16" x14ac:dyDescent="0.25">
      <c r="A76" t="str">
        <f>CONCATENATE('Help Desk'!D76, 'Account Creation'!AE76)</f>
        <v/>
      </c>
      <c r="B76" t="str">
        <f>IF(A76="","",'Account Creation'!B76)</f>
        <v/>
      </c>
      <c r="C76" t="str">
        <f>IF(A76="","",'Help Desk'!A76)</f>
        <v/>
      </c>
      <c r="D76" t="str">
        <f>IF(A76="","",'Account Creation'!X76)</f>
        <v/>
      </c>
      <c r="F76" t="str">
        <f t="shared" si="4"/>
        <v/>
      </c>
      <c r="G76" s="54" t="str">
        <f>IF(A76="","",'Account Creation'!G76)</f>
        <v/>
      </c>
      <c r="I76" t="str">
        <f t="shared" si="3"/>
        <v/>
      </c>
      <c r="K76" t="str">
        <f>IF(A76="","",'Account Creation'!W76)</f>
        <v/>
      </c>
      <c r="L76" t="str">
        <f>IF(A76="","",'Account Creation'!V76)</f>
        <v/>
      </c>
      <c r="P76" s="97" t="str">
        <f>IF('Help Desk'!D76="","",'Help Desk'!D76)</f>
        <v/>
      </c>
    </row>
    <row r="77" spans="1:16" x14ac:dyDescent="0.25">
      <c r="A77" t="str">
        <f>CONCATENATE('Help Desk'!D77, 'Account Creation'!AE77)</f>
        <v/>
      </c>
      <c r="B77" t="str">
        <f>IF(A77="","",'Account Creation'!B77)</f>
        <v/>
      </c>
      <c r="C77" t="str">
        <f>IF(A77="","",'Help Desk'!A77)</f>
        <v/>
      </c>
      <c r="D77" t="str">
        <f>IF(A77="","",'Account Creation'!X77)</f>
        <v/>
      </c>
      <c r="F77" t="str">
        <f t="shared" si="4"/>
        <v/>
      </c>
      <c r="G77" s="54" t="str">
        <f>IF(A77="","",'Account Creation'!G77)</f>
        <v/>
      </c>
      <c r="I77" t="str">
        <f t="shared" si="3"/>
        <v/>
      </c>
      <c r="K77" t="str">
        <f>IF(A77="","",'Account Creation'!W77)</f>
        <v/>
      </c>
      <c r="L77" t="str">
        <f>IF(A77="","",'Account Creation'!V77)</f>
        <v/>
      </c>
      <c r="P77" s="97" t="str">
        <f>IF('Help Desk'!D77="","",'Help Desk'!D77)</f>
        <v/>
      </c>
    </row>
    <row r="78" spans="1:16" x14ac:dyDescent="0.25">
      <c r="A78" t="str">
        <f>CONCATENATE('Help Desk'!D78, 'Account Creation'!AE78)</f>
        <v/>
      </c>
      <c r="B78" t="str">
        <f>IF(A78="","",'Account Creation'!B78)</f>
        <v/>
      </c>
      <c r="C78" t="str">
        <f>IF(A78="","",'Help Desk'!A78)</f>
        <v/>
      </c>
      <c r="D78" t="str">
        <f>IF(A78="","",'Account Creation'!X78)</f>
        <v/>
      </c>
      <c r="F78" t="str">
        <f t="shared" si="4"/>
        <v/>
      </c>
      <c r="G78" s="54" t="str">
        <f>IF(A78="","",'Account Creation'!G78)</f>
        <v/>
      </c>
      <c r="I78" t="str">
        <f t="shared" si="3"/>
        <v/>
      </c>
      <c r="K78" t="str">
        <f>IF(A78="","",'Account Creation'!W78)</f>
        <v/>
      </c>
      <c r="L78" t="str">
        <f>IF(A78="","",'Account Creation'!V78)</f>
        <v/>
      </c>
      <c r="P78" s="97" t="str">
        <f>IF('Help Desk'!D78="","",'Help Desk'!D78)</f>
        <v/>
      </c>
    </row>
    <row r="79" spans="1:16" x14ac:dyDescent="0.25">
      <c r="A79" t="str">
        <f>CONCATENATE('Help Desk'!D79, 'Account Creation'!AE79)</f>
        <v/>
      </c>
      <c r="B79" t="str">
        <f>IF(A79="","",'Account Creation'!B79)</f>
        <v/>
      </c>
      <c r="C79" t="str">
        <f>IF(A79="","",'Help Desk'!A79)</f>
        <v/>
      </c>
      <c r="D79" t="str">
        <f>IF(A79="","",'Account Creation'!X79)</f>
        <v/>
      </c>
      <c r="F79" t="str">
        <f t="shared" si="4"/>
        <v/>
      </c>
      <c r="G79" s="54" t="str">
        <f>IF(A79="","",'Account Creation'!G79)</f>
        <v/>
      </c>
      <c r="I79" t="str">
        <f t="shared" si="3"/>
        <v/>
      </c>
      <c r="K79" t="str">
        <f>IF(A79="","",'Account Creation'!W79)</f>
        <v/>
      </c>
      <c r="L79" t="str">
        <f>IF(A79="","",'Account Creation'!V79)</f>
        <v/>
      </c>
      <c r="P79" s="97" t="str">
        <f>IF('Help Desk'!D79="","",'Help Desk'!D79)</f>
        <v/>
      </c>
    </row>
    <row r="80" spans="1:16" x14ac:dyDescent="0.25">
      <c r="A80" t="str">
        <f>CONCATENATE('Help Desk'!D80, 'Account Creation'!AE80)</f>
        <v/>
      </c>
      <c r="B80" t="str">
        <f>IF(A80="","",'Account Creation'!B80)</f>
        <v/>
      </c>
      <c r="C80" t="str">
        <f>IF(A80="","",'Help Desk'!A80)</f>
        <v/>
      </c>
      <c r="D80" t="str">
        <f>IF(A80="","",'Account Creation'!X80)</f>
        <v/>
      </c>
      <c r="F80" t="str">
        <f t="shared" si="4"/>
        <v/>
      </c>
      <c r="G80" s="54" t="str">
        <f>IF(A80="","",'Account Creation'!G80)</f>
        <v/>
      </c>
      <c r="I80" t="str">
        <f t="shared" si="3"/>
        <v/>
      </c>
      <c r="K80" t="str">
        <f>IF(A80="","",'Account Creation'!W80)</f>
        <v/>
      </c>
      <c r="L80" t="str">
        <f>IF(A80="","",'Account Creation'!V80)</f>
        <v/>
      </c>
      <c r="P80" s="97" t="str">
        <f>IF('Help Desk'!D80="","",'Help Desk'!D80)</f>
        <v/>
      </c>
    </row>
    <row r="81" spans="1:16" x14ac:dyDescent="0.25">
      <c r="A81" t="str">
        <f>CONCATENATE('Help Desk'!D81, 'Account Creation'!AE81)</f>
        <v/>
      </c>
      <c r="B81" t="str">
        <f>IF(A81="","",'Account Creation'!B81)</f>
        <v/>
      </c>
      <c r="C81" t="str">
        <f>IF(A81="","",'Help Desk'!A81)</f>
        <v/>
      </c>
      <c r="D81" t="str">
        <f>IF(A81="","",'Account Creation'!X81)</f>
        <v/>
      </c>
      <c r="F81" t="str">
        <f t="shared" si="4"/>
        <v/>
      </c>
      <c r="G81" s="54" t="str">
        <f>IF(A81="","",'Account Creation'!G81)</f>
        <v/>
      </c>
      <c r="I81" t="str">
        <f t="shared" si="3"/>
        <v/>
      </c>
      <c r="K81" t="str">
        <f>IF(A81="","",'Account Creation'!W81)</f>
        <v/>
      </c>
      <c r="L81" t="str">
        <f>IF(A81="","",'Account Creation'!V81)</f>
        <v/>
      </c>
      <c r="P81" s="97" t="str">
        <f>IF('Help Desk'!D81="","",'Help Desk'!D81)</f>
        <v/>
      </c>
    </row>
    <row r="82" spans="1:16" x14ac:dyDescent="0.25">
      <c r="A82" t="str">
        <f>CONCATENATE('Help Desk'!D82, 'Account Creation'!AE82)</f>
        <v/>
      </c>
      <c r="B82" t="str">
        <f>IF(A82="","",'Account Creation'!B82)</f>
        <v/>
      </c>
      <c r="C82" t="str">
        <f>IF(A82="","",'Help Desk'!A82)</f>
        <v/>
      </c>
      <c r="D82" t="str">
        <f>IF(A82="","",'Account Creation'!X82)</f>
        <v/>
      </c>
      <c r="F82" t="str">
        <f t="shared" si="4"/>
        <v/>
      </c>
      <c r="G82" s="54" t="str">
        <f>IF(A82="","",'Account Creation'!G82)</f>
        <v/>
      </c>
      <c r="I82" t="str">
        <f t="shared" si="3"/>
        <v/>
      </c>
      <c r="K82" t="str">
        <f>IF(A82="","",'Account Creation'!W82)</f>
        <v/>
      </c>
      <c r="L82" t="str">
        <f>IF(A82="","",'Account Creation'!V82)</f>
        <v/>
      </c>
      <c r="P82" s="97" t="str">
        <f>IF('Help Desk'!D82="","",'Help Desk'!D82)</f>
        <v/>
      </c>
    </row>
    <row r="83" spans="1:16" x14ac:dyDescent="0.25">
      <c r="A83" t="str">
        <f>CONCATENATE('Help Desk'!D83, 'Account Creation'!AE83)</f>
        <v/>
      </c>
      <c r="B83" t="str">
        <f>IF(A83="","",'Account Creation'!B83)</f>
        <v/>
      </c>
      <c r="C83" t="str">
        <f>IF(A83="","",'Help Desk'!A83)</f>
        <v/>
      </c>
      <c r="D83" t="str">
        <f>IF(A83="","",'Account Creation'!X83)</f>
        <v/>
      </c>
      <c r="F83" t="str">
        <f t="shared" si="4"/>
        <v/>
      </c>
      <c r="G83" s="54" t="str">
        <f>IF(A83="","",'Account Creation'!G83)</f>
        <v/>
      </c>
      <c r="I83" t="str">
        <f t="shared" si="3"/>
        <v/>
      </c>
      <c r="K83" t="str">
        <f>IF(A83="","",'Account Creation'!W83)</f>
        <v/>
      </c>
      <c r="L83" t="str">
        <f>IF(A83="","",'Account Creation'!V83)</f>
        <v/>
      </c>
      <c r="P83" s="97" t="str">
        <f>IF('Help Desk'!D83="","",'Help Desk'!D83)</f>
        <v/>
      </c>
    </row>
    <row r="84" spans="1:16" x14ac:dyDescent="0.25">
      <c r="A84" t="str">
        <f>CONCATENATE('Help Desk'!D84, 'Account Creation'!AE84)</f>
        <v/>
      </c>
      <c r="B84" t="str">
        <f>IF(A84="","",'Account Creation'!B84)</f>
        <v/>
      </c>
      <c r="C84" t="str">
        <f>IF(A84="","",'Help Desk'!A84)</f>
        <v/>
      </c>
      <c r="D84" t="str">
        <f>IF(A84="","",'Account Creation'!X84)</f>
        <v/>
      </c>
      <c r="F84" t="str">
        <f t="shared" si="4"/>
        <v/>
      </c>
      <c r="G84" s="54" t="str">
        <f>IF(A84="","",'Account Creation'!G84)</f>
        <v/>
      </c>
      <c r="I84" t="str">
        <f t="shared" si="3"/>
        <v/>
      </c>
      <c r="K84" t="str">
        <f>IF(A84="","",'Account Creation'!W84)</f>
        <v/>
      </c>
      <c r="L84" t="str">
        <f>IF(A84="","",'Account Creation'!V84)</f>
        <v/>
      </c>
      <c r="P84" s="97" t="str">
        <f>IF('Help Desk'!D84="","",'Help Desk'!D84)</f>
        <v/>
      </c>
    </row>
    <row r="85" spans="1:16" x14ac:dyDescent="0.25">
      <c r="A85" t="str">
        <f>CONCATENATE('Help Desk'!D85, 'Account Creation'!AE85)</f>
        <v/>
      </c>
      <c r="B85" t="str">
        <f>IF(A85="","",'Account Creation'!B85)</f>
        <v/>
      </c>
      <c r="C85" t="str">
        <f>IF(A85="","",'Help Desk'!A85)</f>
        <v/>
      </c>
      <c r="D85" t="str">
        <f>IF(A85="","",'Account Creation'!X85)</f>
        <v/>
      </c>
      <c r="F85" t="str">
        <f t="shared" si="4"/>
        <v/>
      </c>
      <c r="G85" s="54" t="str">
        <f>IF(A85="","",'Account Creation'!G85)</f>
        <v/>
      </c>
      <c r="I85" t="str">
        <f t="shared" si="3"/>
        <v/>
      </c>
      <c r="K85" t="str">
        <f>IF(A85="","",'Account Creation'!W85)</f>
        <v/>
      </c>
      <c r="L85" t="str">
        <f>IF(A85="","",'Account Creation'!V85)</f>
        <v/>
      </c>
      <c r="P85" s="97" t="str">
        <f>IF('Help Desk'!D85="","",'Help Desk'!D85)</f>
        <v/>
      </c>
    </row>
    <row r="86" spans="1:16" x14ac:dyDescent="0.25">
      <c r="A86" t="str">
        <f>CONCATENATE('Help Desk'!D86, 'Account Creation'!AE86)</f>
        <v/>
      </c>
      <c r="B86" t="str">
        <f>IF(A86="","",'Account Creation'!B86)</f>
        <v/>
      </c>
      <c r="C86" t="str">
        <f>IF(A86="","",'Help Desk'!A86)</f>
        <v/>
      </c>
      <c r="D86" t="str">
        <f>IF(A86="","",'Account Creation'!X86)</f>
        <v/>
      </c>
      <c r="F86" t="str">
        <f t="shared" si="4"/>
        <v/>
      </c>
      <c r="G86" s="54" t="str">
        <f>IF(A86="","",'Account Creation'!G86)</f>
        <v/>
      </c>
      <c r="I86" t="str">
        <f t="shared" si="3"/>
        <v/>
      </c>
      <c r="K86" t="str">
        <f>IF(A86="","",'Account Creation'!W86)</f>
        <v/>
      </c>
      <c r="L86" t="str">
        <f>IF(A86="","",'Account Creation'!V86)</f>
        <v/>
      </c>
      <c r="P86" s="97" t="str">
        <f>IF('Help Desk'!D86="","",'Help Desk'!D86)</f>
        <v/>
      </c>
    </row>
    <row r="87" spans="1:16" x14ac:dyDescent="0.25">
      <c r="A87" t="str">
        <f>CONCATENATE('Help Desk'!D87, 'Account Creation'!AE87)</f>
        <v/>
      </c>
      <c r="B87" t="str">
        <f>IF(A87="","",'Account Creation'!B87)</f>
        <v/>
      </c>
      <c r="C87" t="str">
        <f>IF(A87="","",'Help Desk'!A87)</f>
        <v/>
      </c>
      <c r="D87" t="str">
        <f>IF(A87="","",'Account Creation'!X87)</f>
        <v/>
      </c>
      <c r="F87" t="str">
        <f t="shared" si="4"/>
        <v/>
      </c>
      <c r="G87" s="54" t="str">
        <f>IF(A87="","",'Account Creation'!G87)</f>
        <v/>
      </c>
      <c r="I87" t="str">
        <f t="shared" si="3"/>
        <v/>
      </c>
      <c r="K87" t="str">
        <f>IF(A87="","",'Account Creation'!W87)</f>
        <v/>
      </c>
      <c r="L87" t="str">
        <f>IF(A87="","",'Account Creation'!V87)</f>
        <v/>
      </c>
      <c r="P87" s="97" t="str">
        <f>IF('Help Desk'!D87="","",'Help Desk'!D87)</f>
        <v/>
      </c>
    </row>
    <row r="88" spans="1:16" x14ac:dyDescent="0.25">
      <c r="A88" t="str">
        <f>CONCATENATE('Help Desk'!D88, 'Account Creation'!AE88)</f>
        <v/>
      </c>
      <c r="B88" t="str">
        <f>IF(A88="","",'Account Creation'!B88)</f>
        <v/>
      </c>
      <c r="C88" t="str">
        <f>IF(A88="","",'Help Desk'!A88)</f>
        <v/>
      </c>
      <c r="D88" t="str">
        <f>IF(A88="","",'Account Creation'!X88)</f>
        <v/>
      </c>
      <c r="F88" t="str">
        <f t="shared" si="4"/>
        <v/>
      </c>
      <c r="G88" s="54" t="str">
        <f>IF(A88="","",'Account Creation'!G88)</f>
        <v/>
      </c>
      <c r="I88" t="str">
        <f t="shared" si="3"/>
        <v/>
      </c>
      <c r="K88" t="str">
        <f>IF(A88="","",'Account Creation'!W88)</f>
        <v/>
      </c>
      <c r="L88" t="str">
        <f>IF(A88="","",'Account Creation'!V88)</f>
        <v/>
      </c>
      <c r="P88" s="97" t="str">
        <f>IF('Help Desk'!D88="","",'Help Desk'!D88)</f>
        <v/>
      </c>
    </row>
    <row r="89" spans="1:16" x14ac:dyDescent="0.25">
      <c r="A89" t="str">
        <f>CONCATENATE('Help Desk'!D89, 'Account Creation'!AE89)</f>
        <v/>
      </c>
      <c r="B89" t="str">
        <f>IF(A89="","",'Account Creation'!B89)</f>
        <v/>
      </c>
      <c r="C89" t="str">
        <f>IF(A89="","",'Help Desk'!A89)</f>
        <v/>
      </c>
      <c r="D89" t="str">
        <f>IF(A89="","",'Account Creation'!X89)</f>
        <v/>
      </c>
      <c r="F89" t="str">
        <f t="shared" si="4"/>
        <v/>
      </c>
      <c r="G89" s="54" t="str">
        <f>IF(A89="","",'Account Creation'!G89)</f>
        <v/>
      </c>
      <c r="I89" t="str">
        <f t="shared" si="3"/>
        <v/>
      </c>
      <c r="K89" t="str">
        <f>IF(A89="","",'Account Creation'!W89)</f>
        <v/>
      </c>
      <c r="L89" t="str">
        <f>IF(A89="","",'Account Creation'!V89)</f>
        <v/>
      </c>
      <c r="P89" s="97" t="str">
        <f>IF('Help Desk'!D89="","",'Help Desk'!D89)</f>
        <v/>
      </c>
    </row>
    <row r="90" spans="1:16" x14ac:dyDescent="0.25">
      <c r="A90" t="str">
        <f>CONCATENATE('Help Desk'!D90, 'Account Creation'!AE90)</f>
        <v/>
      </c>
      <c r="B90" t="str">
        <f>IF(A90="","",'Account Creation'!B90)</f>
        <v/>
      </c>
      <c r="C90" t="str">
        <f>IF(A90="","",'Help Desk'!A90)</f>
        <v/>
      </c>
      <c r="D90" t="str">
        <f>IF(A90="","",'Account Creation'!X90)</f>
        <v/>
      </c>
      <c r="F90" t="str">
        <f t="shared" si="4"/>
        <v/>
      </c>
      <c r="G90" s="54" t="str">
        <f>IF(A90="","",'Account Creation'!G90)</f>
        <v/>
      </c>
      <c r="I90" t="str">
        <f t="shared" si="3"/>
        <v/>
      </c>
      <c r="K90" t="str">
        <f>IF(A90="","",'Account Creation'!W90)</f>
        <v/>
      </c>
      <c r="L90" t="str">
        <f>IF(A90="","",'Account Creation'!V90)</f>
        <v/>
      </c>
      <c r="P90" s="97" t="str">
        <f>IF('Help Desk'!D90="","",'Help Desk'!D90)</f>
        <v/>
      </c>
    </row>
    <row r="91" spans="1:16" x14ac:dyDescent="0.25">
      <c r="A91" t="str">
        <f>CONCATENATE('Help Desk'!D91, 'Account Creation'!AE91)</f>
        <v/>
      </c>
      <c r="B91" t="str">
        <f>IF(A91="","",'Account Creation'!B91)</f>
        <v/>
      </c>
      <c r="C91" t="str">
        <f>IF(A91="","",'Help Desk'!A91)</f>
        <v/>
      </c>
      <c r="D91" t="str">
        <f>IF(A91="","",'Account Creation'!X91)</f>
        <v/>
      </c>
      <c r="F91" t="str">
        <f t="shared" si="4"/>
        <v/>
      </c>
      <c r="G91" s="54" t="str">
        <f>IF(A91="","",'Account Creation'!G91)</f>
        <v/>
      </c>
      <c r="I91" t="str">
        <f t="shared" si="3"/>
        <v/>
      </c>
      <c r="K91" t="str">
        <f>IF(A91="","",'Account Creation'!W91)</f>
        <v/>
      </c>
      <c r="L91" t="str">
        <f>IF(A91="","",'Account Creation'!V91)</f>
        <v/>
      </c>
      <c r="P91" s="97" t="str">
        <f>IF('Help Desk'!D91="","",'Help Desk'!D91)</f>
        <v/>
      </c>
    </row>
    <row r="92" spans="1:16" x14ac:dyDescent="0.25">
      <c r="A92" t="str">
        <f>CONCATENATE('Help Desk'!D92, 'Account Creation'!AE92)</f>
        <v/>
      </c>
      <c r="B92" t="str">
        <f>IF(A92="","",'Account Creation'!B92)</f>
        <v/>
      </c>
      <c r="C92" t="str">
        <f>IF(A92="","",'Help Desk'!A92)</f>
        <v/>
      </c>
      <c r="D92" t="str">
        <f>IF(A92="","",'Account Creation'!X92)</f>
        <v/>
      </c>
      <c r="F92" t="str">
        <f t="shared" si="4"/>
        <v/>
      </c>
      <c r="G92" s="54" t="str">
        <f>IF(A92="","",'Account Creation'!G92)</f>
        <v/>
      </c>
      <c r="I92" t="str">
        <f t="shared" si="3"/>
        <v/>
      </c>
      <c r="K92" t="str">
        <f>IF(A92="","",'Account Creation'!W92)</f>
        <v/>
      </c>
      <c r="L92" t="str">
        <f>IF(A92="","",'Account Creation'!V92)</f>
        <v/>
      </c>
      <c r="P92" s="97" t="str">
        <f>IF('Help Desk'!D92="","",'Help Desk'!D92)</f>
        <v/>
      </c>
    </row>
    <row r="93" spans="1:16" x14ac:dyDescent="0.25">
      <c r="A93" t="str">
        <f>CONCATENATE('Help Desk'!D93, 'Account Creation'!AE93)</f>
        <v/>
      </c>
      <c r="B93" t="str">
        <f>IF(A93="","",'Account Creation'!B93)</f>
        <v/>
      </c>
      <c r="C93" t="str">
        <f>IF(A93="","",'Help Desk'!A93)</f>
        <v/>
      </c>
      <c r="D93" t="str">
        <f>IF(A93="","",'Account Creation'!X93)</f>
        <v/>
      </c>
      <c r="F93" t="str">
        <f t="shared" si="4"/>
        <v/>
      </c>
      <c r="G93" s="54" t="str">
        <f>IF(A93="","",'Account Creation'!G93)</f>
        <v/>
      </c>
      <c r="I93" t="str">
        <f t="shared" si="3"/>
        <v/>
      </c>
      <c r="K93" t="str">
        <f>IF(A93="","",'Account Creation'!W93)</f>
        <v/>
      </c>
      <c r="L93" t="str">
        <f>IF(A93="","",'Account Creation'!V93)</f>
        <v/>
      </c>
      <c r="P93" s="97" t="str">
        <f>IF('Help Desk'!D93="","",'Help Desk'!D93)</f>
        <v/>
      </c>
    </row>
    <row r="94" spans="1:16" x14ac:dyDescent="0.25">
      <c r="A94" t="str">
        <f>CONCATENATE('Help Desk'!D94, 'Account Creation'!AE94)</f>
        <v/>
      </c>
      <c r="B94" t="str">
        <f>IF(A94="","",'Account Creation'!B94)</f>
        <v/>
      </c>
      <c r="C94" t="str">
        <f>IF(A94="","",'Help Desk'!A94)</f>
        <v/>
      </c>
      <c r="D94" t="str">
        <f>IF(A94="","",'Account Creation'!X94)</f>
        <v/>
      </c>
      <c r="F94" t="str">
        <f t="shared" si="4"/>
        <v/>
      </c>
      <c r="G94" s="54" t="str">
        <f>IF(A94="","",'Account Creation'!G94)</f>
        <v/>
      </c>
      <c r="I94" t="str">
        <f t="shared" si="3"/>
        <v/>
      </c>
      <c r="K94" t="str">
        <f>IF(A94="","",'Account Creation'!W94)</f>
        <v/>
      </c>
      <c r="L94" t="str">
        <f>IF(A94="","",'Account Creation'!V94)</f>
        <v/>
      </c>
      <c r="P94" s="97" t="str">
        <f>IF('Help Desk'!D94="","",'Help Desk'!D94)</f>
        <v/>
      </c>
    </row>
    <row r="95" spans="1:16" x14ac:dyDescent="0.25">
      <c r="A95" t="str">
        <f>CONCATENATE('Help Desk'!D95, 'Account Creation'!AE95)</f>
        <v/>
      </c>
      <c r="B95" t="str">
        <f>IF(A95="","",'Account Creation'!B95)</f>
        <v/>
      </c>
      <c r="C95" t="str">
        <f>IF(A95="","",'Help Desk'!A95)</f>
        <v/>
      </c>
      <c r="D95" t="str">
        <f>IF(A95="","",'Account Creation'!X95)</f>
        <v/>
      </c>
      <c r="F95" t="str">
        <f t="shared" si="4"/>
        <v/>
      </c>
      <c r="G95" s="54" t="str">
        <f>IF(A95="","",'Account Creation'!G95)</f>
        <v/>
      </c>
      <c r="I95" t="str">
        <f t="shared" si="3"/>
        <v/>
      </c>
      <c r="K95" t="str">
        <f>IF(A95="","",'Account Creation'!W95)</f>
        <v/>
      </c>
      <c r="L95" t="str">
        <f>IF(A95="","",'Account Creation'!V95)</f>
        <v/>
      </c>
      <c r="P95" s="97" t="str">
        <f>IF('Help Desk'!D95="","",'Help Desk'!D95)</f>
        <v/>
      </c>
    </row>
    <row r="96" spans="1:16" x14ac:dyDescent="0.25">
      <c r="A96" t="str">
        <f>CONCATENATE('Help Desk'!D96, 'Account Creation'!AE96)</f>
        <v/>
      </c>
      <c r="B96" t="str">
        <f>IF(A96="","",'Account Creation'!B96)</f>
        <v/>
      </c>
      <c r="C96" t="str">
        <f>IF(A96="","",'Help Desk'!A96)</f>
        <v/>
      </c>
      <c r="D96" t="str">
        <f>IF(A96="","",'Account Creation'!X96)</f>
        <v/>
      </c>
      <c r="F96" t="str">
        <f t="shared" si="4"/>
        <v/>
      </c>
      <c r="G96" s="54" t="str">
        <f>IF(A96="","",'Account Creation'!G96)</f>
        <v/>
      </c>
      <c r="I96" t="str">
        <f t="shared" si="3"/>
        <v/>
      </c>
      <c r="K96" t="str">
        <f>IF(A96="","",'Account Creation'!W96)</f>
        <v/>
      </c>
      <c r="L96" t="str">
        <f>IF(A96="","",'Account Creation'!V96)</f>
        <v/>
      </c>
      <c r="P96" s="97" t="str">
        <f>IF('Help Desk'!D96="","",'Help Desk'!D96)</f>
        <v/>
      </c>
    </row>
    <row r="97" spans="1:16" x14ac:dyDescent="0.25">
      <c r="A97" t="str">
        <f>CONCATENATE('Help Desk'!D97, 'Account Creation'!AE97)</f>
        <v/>
      </c>
      <c r="B97" t="str">
        <f>IF(A97="","",'Account Creation'!B97)</f>
        <v/>
      </c>
      <c r="C97" t="str">
        <f>IF(A97="","",'Help Desk'!A97)</f>
        <v/>
      </c>
      <c r="D97" t="str">
        <f>IF(A97="","",'Account Creation'!X97)</f>
        <v/>
      </c>
      <c r="F97" t="str">
        <f t="shared" si="4"/>
        <v/>
      </c>
      <c r="G97" s="54" t="str">
        <f>IF(A97="","",'Account Creation'!G97)</f>
        <v/>
      </c>
      <c r="I97" t="str">
        <f t="shared" si="3"/>
        <v/>
      </c>
      <c r="K97" t="str">
        <f>IF(A97="","",'Account Creation'!W97)</f>
        <v/>
      </c>
      <c r="L97" t="str">
        <f>IF(A97="","",'Account Creation'!V97)</f>
        <v/>
      </c>
      <c r="P97" s="97" t="str">
        <f>IF('Help Desk'!D97="","",'Help Desk'!D97)</f>
        <v/>
      </c>
    </row>
    <row r="98" spans="1:16" x14ac:dyDescent="0.25">
      <c r="A98" t="str">
        <f>CONCATENATE('Help Desk'!D98, 'Account Creation'!AE98)</f>
        <v/>
      </c>
      <c r="B98" t="str">
        <f>IF(A98="","",'Account Creation'!B98)</f>
        <v/>
      </c>
      <c r="C98" t="str">
        <f>IF(A98="","",'Help Desk'!A98)</f>
        <v/>
      </c>
      <c r="D98" t="str">
        <f>IF(A98="","",'Account Creation'!X98)</f>
        <v/>
      </c>
      <c r="F98" t="str">
        <f t="shared" si="4"/>
        <v/>
      </c>
      <c r="G98" s="54" t="str">
        <f>IF(A98="","",'Account Creation'!G98)</f>
        <v/>
      </c>
      <c r="I98" t="str">
        <f t="shared" si="3"/>
        <v/>
      </c>
      <c r="K98" t="str">
        <f>IF(A98="","",'Account Creation'!W98)</f>
        <v/>
      </c>
      <c r="L98" t="str">
        <f>IF(A98="","",'Account Creation'!V98)</f>
        <v/>
      </c>
      <c r="P98" s="97" t="str">
        <f>IF('Help Desk'!D98="","",'Help Desk'!D98)</f>
        <v/>
      </c>
    </row>
    <row r="99" spans="1:16" x14ac:dyDescent="0.25">
      <c r="A99" t="str">
        <f>CONCATENATE('Help Desk'!D99, 'Account Creation'!AE99)</f>
        <v/>
      </c>
      <c r="B99" t="str">
        <f>IF(A99="","",'Account Creation'!B99)</f>
        <v/>
      </c>
      <c r="C99" t="str">
        <f>IF(A99="","",'Help Desk'!A99)</f>
        <v/>
      </c>
      <c r="D99" t="str">
        <f>IF(A99="","",'Account Creation'!X99)</f>
        <v/>
      </c>
      <c r="F99" t="str">
        <f t="shared" si="4"/>
        <v/>
      </c>
      <c r="G99" s="54" t="str">
        <f>IF(A99="","",'Account Creation'!G99)</f>
        <v/>
      </c>
      <c r="I99" t="str">
        <f t="shared" si="3"/>
        <v/>
      </c>
      <c r="K99" t="str">
        <f>IF(A99="","",'Account Creation'!W99)</f>
        <v/>
      </c>
      <c r="L99" t="str">
        <f>IF(A99="","",'Account Creation'!V99)</f>
        <v/>
      </c>
      <c r="P99" s="97" t="str">
        <f>IF('Help Desk'!D99="","",'Help Desk'!D99)</f>
        <v/>
      </c>
    </row>
    <row r="100" spans="1:16" x14ac:dyDescent="0.25">
      <c r="A100" t="str">
        <f>CONCATENATE('Help Desk'!D100, 'Account Creation'!AE100)</f>
        <v/>
      </c>
      <c r="B100" t="str">
        <f>IF(A100="","",'Account Creation'!B100)</f>
        <v/>
      </c>
      <c r="C100" t="str">
        <f>IF(A100="","",'Help Desk'!A100)</f>
        <v/>
      </c>
      <c r="D100" t="str">
        <f>IF(A100="","",'Account Creation'!X100)</f>
        <v/>
      </c>
      <c r="F100" t="str">
        <f t="shared" si="4"/>
        <v/>
      </c>
      <c r="G100" s="54" t="str">
        <f>IF(A100="","",'Account Creation'!G100)</f>
        <v/>
      </c>
      <c r="I100" t="str">
        <f t="shared" si="3"/>
        <v/>
      </c>
      <c r="K100" t="str">
        <f>IF(A100="","",'Account Creation'!W100)</f>
        <v/>
      </c>
      <c r="L100" t="str">
        <f>IF(A100="","",'Account Creation'!V100)</f>
        <v/>
      </c>
      <c r="P100" s="97" t="str">
        <f>IF('Help Desk'!D100="","",'Help Desk'!D100)</f>
        <v/>
      </c>
    </row>
    <row r="101" spans="1:16" x14ac:dyDescent="0.25">
      <c r="A101" t="str">
        <f>CONCATENATE('Help Desk'!D101, 'Account Creation'!AE101)</f>
        <v/>
      </c>
      <c r="B101" t="str">
        <f>IF(A101="","",'Account Creation'!B101)</f>
        <v/>
      </c>
      <c r="C101" t="str">
        <f>IF(A101="","",'Help Desk'!A101)</f>
        <v/>
      </c>
      <c r="D101" t="str">
        <f>IF(A101="","",'Account Creation'!X101)</f>
        <v/>
      </c>
      <c r="F101" t="str">
        <f t="shared" si="4"/>
        <v/>
      </c>
      <c r="G101" s="54" t="str">
        <f>IF(A101="","",'Account Creation'!G101)</f>
        <v/>
      </c>
      <c r="I101" t="str">
        <f t="shared" si="3"/>
        <v/>
      </c>
      <c r="K101" t="str">
        <f>IF(A101="","",'Account Creation'!W101)</f>
        <v/>
      </c>
      <c r="L101" t="str">
        <f>IF(A101="","",'Account Creation'!V101)</f>
        <v/>
      </c>
      <c r="P101" s="97" t="str">
        <f>IF('Help Desk'!D101="","",'Help Desk'!D101)</f>
        <v/>
      </c>
    </row>
    <row r="102" spans="1:16" x14ac:dyDescent="0.25">
      <c r="A102" t="str">
        <f>CONCATENATE('Help Desk'!D102, 'Account Creation'!AE102)</f>
        <v/>
      </c>
      <c r="B102" t="str">
        <f>IF(A102="","",'Account Creation'!B102)</f>
        <v/>
      </c>
      <c r="C102" t="str">
        <f>IF(A102="","",'Help Desk'!A102)</f>
        <v/>
      </c>
      <c r="D102" t="str">
        <f>IF(A102="","",'Account Creation'!X102)</f>
        <v/>
      </c>
      <c r="F102" t="str">
        <f t="shared" si="4"/>
        <v/>
      </c>
      <c r="G102" s="54" t="str">
        <f>IF(A102="","",'Account Creation'!G102)</f>
        <v/>
      </c>
      <c r="I102" t="str">
        <f t="shared" si="3"/>
        <v/>
      </c>
      <c r="K102" t="str">
        <f>IF(A102="","",'Account Creation'!W102)</f>
        <v/>
      </c>
      <c r="L102" t="str">
        <f>IF(A102="","",'Account Creation'!V102)</f>
        <v/>
      </c>
      <c r="P102" s="97" t="str">
        <f>IF('Help Desk'!D102="","",'Help Desk'!D102)</f>
        <v/>
      </c>
    </row>
    <row r="103" spans="1:16" x14ac:dyDescent="0.25">
      <c r="A103" t="str">
        <f>CONCATENATE('Help Desk'!D103, 'Account Creation'!AE103)</f>
        <v/>
      </c>
      <c r="B103" t="str">
        <f>IF(A103="","",'Account Creation'!B103)</f>
        <v/>
      </c>
      <c r="C103" t="str">
        <f>IF(A103="","",'Help Desk'!A103)</f>
        <v/>
      </c>
      <c r="D103" t="str">
        <f>IF(A103="","",'Account Creation'!X103)</f>
        <v/>
      </c>
      <c r="F103" t="str">
        <f t="shared" si="4"/>
        <v/>
      </c>
      <c r="G103" s="54" t="str">
        <f>IF(A103="","",'Account Creation'!G103)</f>
        <v/>
      </c>
      <c r="I103" t="str">
        <f t="shared" si="3"/>
        <v/>
      </c>
      <c r="K103" t="str">
        <f>IF(A103="","",'Account Creation'!W103)</f>
        <v/>
      </c>
      <c r="L103" t="str">
        <f>IF(A103="","",'Account Creation'!V103)</f>
        <v/>
      </c>
      <c r="P103" s="97" t="str">
        <f>IF('Help Desk'!D103="","",'Help Desk'!D103)</f>
        <v/>
      </c>
    </row>
    <row r="104" spans="1:16" x14ac:dyDescent="0.25">
      <c r="A104" t="str">
        <f>CONCATENATE('Help Desk'!D104, 'Account Creation'!AE104)</f>
        <v/>
      </c>
      <c r="B104" t="str">
        <f>IF(A104="","",'Account Creation'!B104)</f>
        <v/>
      </c>
      <c r="C104" t="str">
        <f>IF(A104="","",'Help Desk'!A104)</f>
        <v/>
      </c>
      <c r="D104" t="str">
        <f>IF(A104="","",'Account Creation'!X104)</f>
        <v/>
      </c>
      <c r="F104" t="str">
        <f t="shared" si="4"/>
        <v/>
      </c>
      <c r="G104" s="54" t="str">
        <f>IF(A104="","",'Account Creation'!G104)</f>
        <v/>
      </c>
      <c r="I104" t="str">
        <f t="shared" si="3"/>
        <v/>
      </c>
      <c r="K104" t="str">
        <f>IF(A104="","",'Account Creation'!W104)</f>
        <v/>
      </c>
      <c r="L104" t="str">
        <f>IF(A104="","",'Account Creation'!V104)</f>
        <v/>
      </c>
      <c r="P104" s="97" t="str">
        <f>IF('Help Desk'!D104="","",'Help Desk'!D104)</f>
        <v/>
      </c>
    </row>
    <row r="105" spans="1:16" x14ac:dyDescent="0.25">
      <c r="A105" t="str">
        <f>CONCATENATE('Help Desk'!D105, 'Account Creation'!AE105)</f>
        <v/>
      </c>
      <c r="B105" t="str">
        <f>IF(A105="","",'Account Creation'!B105)</f>
        <v/>
      </c>
      <c r="C105" t="str">
        <f>IF(A105="","",'Help Desk'!A105)</f>
        <v/>
      </c>
      <c r="D105" t="str">
        <f>IF(A105="","",'Account Creation'!X105)</f>
        <v/>
      </c>
      <c r="F105" t="str">
        <f t="shared" si="4"/>
        <v/>
      </c>
      <c r="G105" s="54" t="str">
        <f>IF(A105="","",'Account Creation'!G105)</f>
        <v/>
      </c>
      <c r="I105" t="str">
        <f t="shared" si="3"/>
        <v/>
      </c>
      <c r="K105" t="str">
        <f>IF(A105="","",'Account Creation'!W105)</f>
        <v/>
      </c>
      <c r="L105" t="str">
        <f>IF(A105="","",'Account Creation'!V105)</f>
        <v/>
      </c>
      <c r="P105" s="97" t="str">
        <f>IF('Help Desk'!D105="","",'Help Desk'!D105)</f>
        <v/>
      </c>
    </row>
    <row r="106" spans="1:16" x14ac:dyDescent="0.25">
      <c r="A106" t="str">
        <f>CONCATENATE('Help Desk'!D106, 'Account Creation'!AE106)</f>
        <v/>
      </c>
      <c r="B106" t="str">
        <f>IF(A106="","",'Account Creation'!B106)</f>
        <v/>
      </c>
      <c r="C106" t="str">
        <f>IF(A106="","",'Help Desk'!A106)</f>
        <v/>
      </c>
      <c r="D106" t="str">
        <f>IF(A106="","",'Account Creation'!X106)</f>
        <v/>
      </c>
      <c r="F106" t="str">
        <f t="shared" si="4"/>
        <v/>
      </c>
      <c r="G106" s="54" t="str">
        <f>IF(A106="","",'Account Creation'!G106)</f>
        <v/>
      </c>
      <c r="I106" t="str">
        <f t="shared" si="3"/>
        <v/>
      </c>
      <c r="K106" t="str">
        <f>IF(A106="","",'Account Creation'!W106)</f>
        <v/>
      </c>
      <c r="L106" t="str">
        <f>IF(A106="","",'Account Creation'!V106)</f>
        <v/>
      </c>
      <c r="P106" s="97" t="str">
        <f>IF('Help Desk'!D106="","",'Help Desk'!D106)</f>
        <v/>
      </c>
    </row>
    <row r="107" spans="1:16" x14ac:dyDescent="0.25">
      <c r="A107" t="str">
        <f>CONCATENATE('Help Desk'!D107, 'Account Creation'!AE107)</f>
        <v/>
      </c>
      <c r="B107" t="str">
        <f>IF(A107="","",'Account Creation'!B107)</f>
        <v/>
      </c>
      <c r="C107" t="str">
        <f>IF(A107="","",'Help Desk'!A107)</f>
        <v/>
      </c>
      <c r="D107" t="str">
        <f>IF(A107="","",'Account Creation'!X107)</f>
        <v/>
      </c>
      <c r="F107" t="str">
        <f t="shared" si="4"/>
        <v/>
      </c>
      <c r="G107" s="54" t="str">
        <f>IF(A107="","",'Account Creation'!G107)</f>
        <v/>
      </c>
      <c r="I107" t="str">
        <f t="shared" si="3"/>
        <v/>
      </c>
      <c r="K107" t="str">
        <f>IF(A107="","",'Account Creation'!W107)</f>
        <v/>
      </c>
      <c r="L107" t="str">
        <f>IF(A107="","",'Account Creation'!V107)</f>
        <v/>
      </c>
      <c r="P107" s="97" t="str">
        <f>IF('Help Desk'!D107="","",'Help Desk'!D107)</f>
        <v/>
      </c>
    </row>
    <row r="108" spans="1:16" x14ac:dyDescent="0.25">
      <c r="A108" t="str">
        <f>CONCATENATE('Help Desk'!D108, 'Account Creation'!AE108)</f>
        <v/>
      </c>
      <c r="B108" t="str">
        <f>IF(A108="","",'Account Creation'!B108)</f>
        <v/>
      </c>
      <c r="C108" t="str">
        <f>IF(A108="","",'Help Desk'!A108)</f>
        <v/>
      </c>
      <c r="D108" t="str">
        <f>IF(A108="","",'Account Creation'!X108)</f>
        <v/>
      </c>
      <c r="F108" t="str">
        <f t="shared" si="4"/>
        <v/>
      </c>
      <c r="G108" s="54" t="str">
        <f>IF(A108="","",'Account Creation'!G108)</f>
        <v/>
      </c>
      <c r="I108" t="str">
        <f t="shared" si="3"/>
        <v/>
      </c>
      <c r="K108" t="str">
        <f>IF(A108="","",'Account Creation'!W108)</f>
        <v/>
      </c>
      <c r="L108" t="str">
        <f>IF(A108="","",'Account Creation'!V108)</f>
        <v/>
      </c>
      <c r="P108" s="97" t="str">
        <f>IF('Help Desk'!D108="","",'Help Desk'!D108)</f>
        <v/>
      </c>
    </row>
    <row r="109" spans="1:16" x14ac:dyDescent="0.25">
      <c r="A109" t="str">
        <f>CONCATENATE('Help Desk'!D109, 'Account Creation'!AE109)</f>
        <v/>
      </c>
      <c r="B109" t="str">
        <f>IF(A109="","",'Account Creation'!B109)</f>
        <v/>
      </c>
      <c r="C109" t="str">
        <f>IF(A109="","",'Help Desk'!A109)</f>
        <v/>
      </c>
      <c r="D109" t="str">
        <f>IF(A109="","",'Account Creation'!X109)</f>
        <v/>
      </c>
      <c r="F109" t="str">
        <f t="shared" si="4"/>
        <v/>
      </c>
      <c r="G109" s="54" t="str">
        <f>IF(A109="","",'Account Creation'!G109)</f>
        <v/>
      </c>
      <c r="I109" t="str">
        <f t="shared" si="3"/>
        <v/>
      </c>
      <c r="K109" t="str">
        <f>IF(A109="","",'Account Creation'!W109)</f>
        <v/>
      </c>
      <c r="L109" t="str">
        <f>IF(A109="","",'Account Creation'!V109)</f>
        <v/>
      </c>
      <c r="P109" s="97" t="str">
        <f>IF('Help Desk'!D109="","",'Help Desk'!D109)</f>
        <v/>
      </c>
    </row>
    <row r="110" spans="1:16" x14ac:dyDescent="0.25">
      <c r="A110" t="str">
        <f>CONCATENATE('Help Desk'!D110, 'Account Creation'!AE110)</f>
        <v/>
      </c>
      <c r="B110" t="str">
        <f>IF(A110="","",'Account Creation'!B110)</f>
        <v/>
      </c>
      <c r="C110" t="str">
        <f>IF(A110="","",'Help Desk'!A110)</f>
        <v/>
      </c>
      <c r="D110" t="str">
        <f>IF(A110="","",'Account Creation'!X110)</f>
        <v/>
      </c>
      <c r="F110" t="str">
        <f t="shared" si="4"/>
        <v/>
      </c>
      <c r="G110" s="54" t="str">
        <f>IF(A110="","",'Account Creation'!G110)</f>
        <v/>
      </c>
      <c r="I110" t="str">
        <f t="shared" si="3"/>
        <v/>
      </c>
      <c r="K110" t="str">
        <f>IF(A110="","",'Account Creation'!W110)</f>
        <v/>
      </c>
      <c r="L110" t="str">
        <f>IF(A110="","",'Account Creation'!V110)</f>
        <v/>
      </c>
      <c r="P110" s="97" t="str">
        <f>IF('Help Desk'!D110="","",'Help Desk'!D110)</f>
        <v/>
      </c>
    </row>
    <row r="111" spans="1:16" x14ac:dyDescent="0.25">
      <c r="A111" t="str">
        <f>CONCATENATE('Help Desk'!D111, 'Account Creation'!AE111)</f>
        <v/>
      </c>
      <c r="B111" t="str">
        <f>IF(A111="","",'Account Creation'!B111)</f>
        <v/>
      </c>
      <c r="C111" t="str">
        <f>IF(A111="","",'Help Desk'!A111)</f>
        <v/>
      </c>
      <c r="D111" t="str">
        <f>IF(A111="","",'Account Creation'!X111)</f>
        <v/>
      </c>
      <c r="F111" t="str">
        <f t="shared" si="4"/>
        <v/>
      </c>
      <c r="G111" s="54" t="str">
        <f>IF(A111="","",'Account Creation'!G111)</f>
        <v/>
      </c>
      <c r="I111" t="str">
        <f t="shared" si="3"/>
        <v/>
      </c>
      <c r="K111" t="str">
        <f>IF(A111="","",'Account Creation'!W111)</f>
        <v/>
      </c>
      <c r="L111" t="str">
        <f>IF(A111="","",'Account Creation'!V111)</f>
        <v/>
      </c>
      <c r="P111" s="97" t="str">
        <f>IF('Help Desk'!D111="","",'Help Desk'!D111)</f>
        <v/>
      </c>
    </row>
    <row r="112" spans="1:16" x14ac:dyDescent="0.25">
      <c r="A112" t="str">
        <f>CONCATENATE('Help Desk'!D112, 'Account Creation'!AE112)</f>
        <v/>
      </c>
      <c r="B112" t="str">
        <f>IF(A112="","",'Account Creation'!B112)</f>
        <v/>
      </c>
      <c r="C112" t="str">
        <f>IF(A112="","",'Help Desk'!A112)</f>
        <v/>
      </c>
      <c r="D112" t="str">
        <f>IF(A112="","",'Account Creation'!X112)</f>
        <v/>
      </c>
      <c r="F112" t="str">
        <f t="shared" si="4"/>
        <v/>
      </c>
      <c r="G112" s="54" t="str">
        <f>IF(A112="","",'Account Creation'!G112)</f>
        <v/>
      </c>
      <c r="I112" t="str">
        <f t="shared" si="3"/>
        <v/>
      </c>
      <c r="K112" t="str">
        <f>IF(A112="","",'Account Creation'!W112)</f>
        <v/>
      </c>
      <c r="L112" t="str">
        <f>IF(A112="","",'Account Creation'!V112)</f>
        <v/>
      </c>
      <c r="P112" s="97" t="str">
        <f>IF('Help Desk'!D112="","",'Help Desk'!D112)</f>
        <v/>
      </c>
    </row>
    <row r="113" spans="1:16" x14ac:dyDescent="0.25">
      <c r="A113" t="str">
        <f>CONCATENATE('Help Desk'!D113, 'Account Creation'!AE113)</f>
        <v/>
      </c>
      <c r="B113" t="str">
        <f>IF(A113="","",'Account Creation'!B113)</f>
        <v/>
      </c>
      <c r="C113" t="str">
        <f>IF(A113="","",'Help Desk'!A113)</f>
        <v/>
      </c>
      <c r="D113" t="str">
        <f>IF(A113="","",'Account Creation'!X113)</f>
        <v/>
      </c>
      <c r="F113" t="str">
        <f t="shared" si="4"/>
        <v/>
      </c>
      <c r="G113" s="54" t="str">
        <f>IF(A113="","",'Account Creation'!G113)</f>
        <v/>
      </c>
      <c r="I113" t="str">
        <f t="shared" si="3"/>
        <v/>
      </c>
      <c r="K113" t="str">
        <f>IF(A113="","",'Account Creation'!W113)</f>
        <v/>
      </c>
      <c r="L113" t="str">
        <f>IF(A113="","",'Account Creation'!V113)</f>
        <v/>
      </c>
      <c r="P113" s="97" t="str">
        <f>IF('Help Desk'!D113="","",'Help Desk'!D113)</f>
        <v/>
      </c>
    </row>
    <row r="114" spans="1:16" x14ac:dyDescent="0.25">
      <c r="A114" t="str">
        <f>CONCATENATE('Help Desk'!D114, 'Account Creation'!AE114)</f>
        <v/>
      </c>
      <c r="B114" t="str">
        <f>IF(A114="","",'Account Creation'!B114)</f>
        <v/>
      </c>
      <c r="C114" t="str">
        <f>IF(A114="","",'Help Desk'!A114)</f>
        <v/>
      </c>
      <c r="D114" t="str">
        <f>IF(A114="","",'Account Creation'!X114)</f>
        <v/>
      </c>
      <c r="F114" t="str">
        <f t="shared" si="4"/>
        <v/>
      </c>
      <c r="G114" s="54" t="str">
        <f>IF(A114="","",'Account Creation'!G114)</f>
        <v/>
      </c>
      <c r="I114" t="str">
        <f t="shared" si="3"/>
        <v/>
      </c>
      <c r="K114" t="str">
        <f>IF(A114="","",'Account Creation'!W114)</f>
        <v/>
      </c>
      <c r="L114" t="str">
        <f>IF(A114="","",'Account Creation'!V114)</f>
        <v/>
      </c>
      <c r="P114" s="97" t="str">
        <f>IF('Help Desk'!D114="","",'Help Desk'!D114)</f>
        <v/>
      </c>
    </row>
    <row r="115" spans="1:16" x14ac:dyDescent="0.25">
      <c r="A115" t="str">
        <f>CONCATENATE('Help Desk'!D115, 'Account Creation'!AE115)</f>
        <v/>
      </c>
      <c r="B115" t="str">
        <f>IF(A115="","",'Account Creation'!B115)</f>
        <v/>
      </c>
      <c r="C115" t="str">
        <f>IF(A115="","",'Help Desk'!A115)</f>
        <v/>
      </c>
      <c r="D115" t="str">
        <f>IF(A115="","",'Account Creation'!X115)</f>
        <v/>
      </c>
      <c r="F115" t="str">
        <f t="shared" si="4"/>
        <v/>
      </c>
      <c r="G115" s="54" t="str">
        <f>IF(A115="","",'Account Creation'!G115)</f>
        <v/>
      </c>
      <c r="I115" t="str">
        <f t="shared" si="3"/>
        <v/>
      </c>
      <c r="K115" t="str">
        <f>IF(A115="","",'Account Creation'!W115)</f>
        <v/>
      </c>
      <c r="L115" t="str">
        <f>IF(A115="","",'Account Creation'!V115)</f>
        <v/>
      </c>
      <c r="P115" s="97" t="str">
        <f>IF('Help Desk'!D115="","",'Help Desk'!D115)</f>
        <v/>
      </c>
    </row>
    <row r="116" spans="1:16" x14ac:dyDescent="0.25">
      <c r="A116" t="str">
        <f>CONCATENATE('Help Desk'!D116, 'Account Creation'!AE116)</f>
        <v/>
      </c>
      <c r="B116" t="str">
        <f>IF(A116="","",'Account Creation'!B116)</f>
        <v/>
      </c>
      <c r="C116" t="str">
        <f>IF(A116="","",'Help Desk'!A116)</f>
        <v/>
      </c>
      <c r="D116" t="str">
        <f>IF(A116="","",'Account Creation'!X116)</f>
        <v/>
      </c>
      <c r="F116" t="str">
        <f t="shared" si="4"/>
        <v/>
      </c>
      <c r="G116" s="54" t="str">
        <f>IF(A116="","",'Account Creation'!G116)</f>
        <v/>
      </c>
      <c r="I116" t="str">
        <f t="shared" si="3"/>
        <v/>
      </c>
      <c r="K116" t="str">
        <f>IF(A116="","",'Account Creation'!W116)</f>
        <v/>
      </c>
      <c r="L116" t="str">
        <f>IF(A116="","",'Account Creation'!V116)</f>
        <v/>
      </c>
      <c r="P116" s="97" t="str">
        <f>IF('Help Desk'!D116="","",'Help Desk'!D116)</f>
        <v/>
      </c>
    </row>
    <row r="117" spans="1:16" x14ac:dyDescent="0.25">
      <c r="A117" t="str">
        <f>CONCATENATE('Help Desk'!D117, 'Account Creation'!AE117)</f>
        <v/>
      </c>
      <c r="B117" t="str">
        <f>IF(A117="","",'Account Creation'!B117)</f>
        <v/>
      </c>
      <c r="C117" t="str">
        <f>IF(A117="","",'Help Desk'!A117)</f>
        <v/>
      </c>
      <c r="D117" t="str">
        <f>IF(A117="","",'Account Creation'!X117)</f>
        <v/>
      </c>
      <c r="F117" t="str">
        <f t="shared" si="4"/>
        <v/>
      </c>
      <c r="G117" s="54" t="str">
        <f>IF(A117="","",'Account Creation'!G117)</f>
        <v/>
      </c>
      <c r="I117" t="str">
        <f t="shared" si="3"/>
        <v/>
      </c>
      <c r="K117" t="str">
        <f>IF(A117="","",'Account Creation'!W117)</f>
        <v/>
      </c>
      <c r="L117" t="str">
        <f>IF(A117="","",'Account Creation'!V117)</f>
        <v/>
      </c>
      <c r="P117" s="97" t="str">
        <f>IF('Help Desk'!D117="","",'Help Desk'!D117)</f>
        <v/>
      </c>
    </row>
    <row r="118" spans="1:16" x14ac:dyDescent="0.25">
      <c r="A118" t="str">
        <f>CONCATENATE('Help Desk'!D118, 'Account Creation'!AE118)</f>
        <v/>
      </c>
      <c r="B118" t="str">
        <f>IF(A118="","",'Account Creation'!B118)</f>
        <v/>
      </c>
      <c r="C118" t="str">
        <f>IF(A118="","",'Help Desk'!A118)</f>
        <v/>
      </c>
      <c r="D118" t="str">
        <f>IF(A118="","",'Account Creation'!X118)</f>
        <v/>
      </c>
      <c r="F118" t="str">
        <f t="shared" si="4"/>
        <v/>
      </c>
      <c r="G118" s="54" t="str">
        <f>IF(A118="","",'Account Creation'!G118)</f>
        <v/>
      </c>
      <c r="I118" t="str">
        <f t="shared" si="3"/>
        <v/>
      </c>
      <c r="K118" t="str">
        <f>IF(A118="","",'Account Creation'!W118)</f>
        <v/>
      </c>
      <c r="L118" t="str">
        <f>IF(A118="","",'Account Creation'!V118)</f>
        <v/>
      </c>
      <c r="P118" s="97" t="str">
        <f>IF('Help Desk'!D118="","",'Help Desk'!D118)</f>
        <v/>
      </c>
    </row>
    <row r="119" spans="1:16" x14ac:dyDescent="0.25">
      <c r="A119" t="str">
        <f>CONCATENATE('Help Desk'!D119, 'Account Creation'!AE119)</f>
        <v/>
      </c>
      <c r="B119" t="str">
        <f>IF(A119="","",'Account Creation'!B119)</f>
        <v/>
      </c>
      <c r="C119" t="str">
        <f>IF(A119="","",'Help Desk'!A119)</f>
        <v/>
      </c>
      <c r="D119" t="str">
        <f>IF(A119="","",'Account Creation'!X119)</f>
        <v/>
      </c>
      <c r="F119" t="str">
        <f t="shared" si="4"/>
        <v/>
      </c>
      <c r="G119" s="54" t="str">
        <f>IF(A119="","",'Account Creation'!G119)</f>
        <v/>
      </c>
      <c r="I119" t="str">
        <f t="shared" si="3"/>
        <v/>
      </c>
      <c r="K119" t="str">
        <f>IF(A119="","",'Account Creation'!W119)</f>
        <v/>
      </c>
      <c r="L119" t="str">
        <f>IF(A119="","",'Account Creation'!V119)</f>
        <v/>
      </c>
      <c r="P119" s="97" t="str">
        <f>IF('Help Desk'!D119="","",'Help Desk'!D119)</f>
        <v/>
      </c>
    </row>
    <row r="120" spans="1:16" x14ac:dyDescent="0.25">
      <c r="A120" t="str">
        <f>CONCATENATE('Help Desk'!D120, 'Account Creation'!AE120)</f>
        <v/>
      </c>
      <c r="B120" t="str">
        <f>IF(A120="","",'Account Creation'!B120)</f>
        <v/>
      </c>
      <c r="C120" t="str">
        <f>IF(A120="","",'Help Desk'!A120)</f>
        <v/>
      </c>
      <c r="D120" t="str">
        <f>IF(A120="","",'Account Creation'!X120)</f>
        <v/>
      </c>
      <c r="F120" t="str">
        <f t="shared" si="4"/>
        <v/>
      </c>
      <c r="G120" s="54" t="str">
        <f>IF(A120="","",'Account Creation'!G120)</f>
        <v/>
      </c>
      <c r="I120" t="str">
        <f t="shared" si="3"/>
        <v/>
      </c>
      <c r="K120" t="str">
        <f>IF(A120="","",'Account Creation'!W120)</f>
        <v/>
      </c>
      <c r="L120" t="str">
        <f>IF(A120="","",'Account Creation'!V120)</f>
        <v/>
      </c>
      <c r="P120" s="97" t="str">
        <f>IF('Help Desk'!D120="","",'Help Desk'!D120)</f>
        <v/>
      </c>
    </row>
    <row r="121" spans="1:16" x14ac:dyDescent="0.25">
      <c r="A121" t="str">
        <f>CONCATENATE('Help Desk'!D121, 'Account Creation'!AE121)</f>
        <v/>
      </c>
      <c r="B121" t="str">
        <f>IF(A121="","",'Account Creation'!B121)</f>
        <v/>
      </c>
      <c r="C121" t="str">
        <f>IF(A121="","",'Help Desk'!A121)</f>
        <v/>
      </c>
      <c r="D121" t="str">
        <f>IF(A121="","",'Account Creation'!X121)</f>
        <v/>
      </c>
      <c r="F121" t="str">
        <f t="shared" si="4"/>
        <v/>
      </c>
      <c r="G121" s="54" t="str">
        <f>IF(A121="","",'Account Creation'!G121)</f>
        <v/>
      </c>
      <c r="I121" t="str">
        <f t="shared" si="3"/>
        <v/>
      </c>
      <c r="K121" t="str">
        <f>IF(A121="","",'Account Creation'!W121)</f>
        <v/>
      </c>
      <c r="L121" t="str">
        <f>IF(A121="","",'Account Creation'!V121)</f>
        <v/>
      </c>
      <c r="P121" s="97" t="str">
        <f>IF('Help Desk'!D121="","",'Help Desk'!D121)</f>
        <v/>
      </c>
    </row>
    <row r="122" spans="1:16" x14ac:dyDescent="0.25">
      <c r="A122" t="str">
        <f>CONCATENATE('Help Desk'!D122, 'Account Creation'!AE122)</f>
        <v/>
      </c>
      <c r="B122" t="str">
        <f>IF(A122="","",'Account Creation'!B122)</f>
        <v/>
      </c>
      <c r="C122" t="str">
        <f>IF(A122="","",'Help Desk'!A122)</f>
        <v/>
      </c>
      <c r="D122" t="str">
        <f>IF(A122="","",'Account Creation'!X122)</f>
        <v/>
      </c>
      <c r="F122" t="str">
        <f t="shared" si="4"/>
        <v/>
      </c>
      <c r="G122" s="54" t="str">
        <f>IF(A122="","",'Account Creation'!G122)</f>
        <v/>
      </c>
      <c r="I122" t="str">
        <f t="shared" si="3"/>
        <v/>
      </c>
      <c r="K122" t="str">
        <f>IF(A122="","",'Account Creation'!W122)</f>
        <v/>
      </c>
      <c r="L122" t="str">
        <f>IF(A122="","",'Account Creation'!V122)</f>
        <v/>
      </c>
      <c r="P122" s="97" t="str">
        <f>IF('Help Desk'!D122="","",'Help Desk'!D122)</f>
        <v/>
      </c>
    </row>
    <row r="123" spans="1:16" x14ac:dyDescent="0.25">
      <c r="A123" t="str">
        <f>CONCATENATE('Help Desk'!D123, 'Account Creation'!AE123)</f>
        <v/>
      </c>
      <c r="B123" t="str">
        <f>IF(A123="","",'Account Creation'!B123)</f>
        <v/>
      </c>
      <c r="C123" t="str">
        <f>IF(A123="","",'Help Desk'!A123)</f>
        <v/>
      </c>
      <c r="D123" t="str">
        <f>IF(A123="","",'Account Creation'!X123)</f>
        <v/>
      </c>
      <c r="F123" t="str">
        <f t="shared" si="4"/>
        <v/>
      </c>
      <c r="G123" s="54" t="str">
        <f>IF(A123="","",'Account Creation'!G123)</f>
        <v/>
      </c>
      <c r="I123" t="str">
        <f t="shared" si="3"/>
        <v/>
      </c>
      <c r="K123" t="str">
        <f>IF(A123="","",'Account Creation'!W123)</f>
        <v/>
      </c>
      <c r="L123" t="str">
        <f>IF(A123="","",'Account Creation'!V123)</f>
        <v/>
      </c>
      <c r="P123" s="97" t="str">
        <f>IF('Help Desk'!D123="","",'Help Desk'!D123)</f>
        <v/>
      </c>
    </row>
    <row r="124" spans="1:16" x14ac:dyDescent="0.25">
      <c r="A124" t="str">
        <f>CONCATENATE('Help Desk'!D124, 'Account Creation'!AE124)</f>
        <v/>
      </c>
      <c r="B124" t="str">
        <f>IF(A124="","",'Account Creation'!B124)</f>
        <v/>
      </c>
      <c r="C124" t="str">
        <f>IF(A124="","",'Help Desk'!A124)</f>
        <v/>
      </c>
      <c r="D124" t="str">
        <f>IF(A124="","",'Account Creation'!X124)</f>
        <v/>
      </c>
      <c r="F124" t="str">
        <f t="shared" si="4"/>
        <v/>
      </c>
      <c r="G124" s="54" t="str">
        <f>IF(A124="","",'Account Creation'!G124)</f>
        <v/>
      </c>
      <c r="I124" t="str">
        <f t="shared" si="3"/>
        <v/>
      </c>
      <c r="K124" t="str">
        <f>IF(A124="","",'Account Creation'!W124)</f>
        <v/>
      </c>
      <c r="L124" t="str">
        <f>IF(A124="","",'Account Creation'!V124)</f>
        <v/>
      </c>
      <c r="P124" s="97" t="str">
        <f>IF('Help Desk'!D124="","",'Help Desk'!D124)</f>
        <v/>
      </c>
    </row>
    <row r="125" spans="1:16" x14ac:dyDescent="0.25">
      <c r="A125" t="str">
        <f>CONCATENATE('Help Desk'!D125, 'Account Creation'!AE125)</f>
        <v/>
      </c>
      <c r="B125" t="str">
        <f>IF(A125="","",'Account Creation'!B125)</f>
        <v/>
      </c>
      <c r="C125" t="str">
        <f>IF(A125="","",'Help Desk'!A125)</f>
        <v/>
      </c>
      <c r="D125" t="str">
        <f>IF(A125="","",'Account Creation'!X125)</f>
        <v/>
      </c>
      <c r="F125" t="str">
        <f t="shared" si="4"/>
        <v/>
      </c>
      <c r="G125" s="54" t="str">
        <f>IF(A125="","",'Account Creation'!G125)</f>
        <v/>
      </c>
      <c r="I125" t="str">
        <f t="shared" si="3"/>
        <v/>
      </c>
      <c r="K125" t="str">
        <f>IF(A125="","",'Account Creation'!W125)</f>
        <v/>
      </c>
      <c r="L125" t="str">
        <f>IF(A125="","",'Account Creation'!V125)</f>
        <v/>
      </c>
      <c r="P125" s="97" t="str">
        <f>IF('Help Desk'!D125="","",'Help Desk'!D125)</f>
        <v/>
      </c>
    </row>
    <row r="126" spans="1:16" x14ac:dyDescent="0.25">
      <c r="A126" t="str">
        <f>CONCATENATE('Help Desk'!D126, 'Account Creation'!AE126)</f>
        <v/>
      </c>
      <c r="B126" t="str">
        <f>IF(A126="","",'Account Creation'!B126)</f>
        <v/>
      </c>
      <c r="C126" t="str">
        <f>IF(A126="","",'Help Desk'!A126)</f>
        <v/>
      </c>
      <c r="D126" t="str">
        <f>IF(A126="","",'Account Creation'!X126)</f>
        <v/>
      </c>
      <c r="F126" t="str">
        <f t="shared" si="4"/>
        <v/>
      </c>
      <c r="G126" s="54" t="str">
        <f>IF(A126="","",'Account Creation'!G126)</f>
        <v/>
      </c>
      <c r="I126" t="str">
        <f t="shared" si="3"/>
        <v/>
      </c>
      <c r="K126" t="str">
        <f>IF(A126="","",'Account Creation'!W126)</f>
        <v/>
      </c>
      <c r="L126" t="str">
        <f>IF(A126="","",'Account Creation'!V126)</f>
        <v/>
      </c>
      <c r="P126" s="97" t="str">
        <f>IF('Help Desk'!D126="","",'Help Desk'!D126)</f>
        <v/>
      </c>
    </row>
    <row r="127" spans="1:16" x14ac:dyDescent="0.25">
      <c r="A127" t="str">
        <f>CONCATENATE('Help Desk'!D127, 'Account Creation'!AE127)</f>
        <v/>
      </c>
      <c r="B127" t="str">
        <f>IF(A127="","",'Account Creation'!B127)</f>
        <v/>
      </c>
      <c r="C127" t="str">
        <f>IF(A127="","",'Help Desk'!A127)</f>
        <v/>
      </c>
      <c r="D127" t="str">
        <f>IF(A127="","",'Account Creation'!X127)</f>
        <v/>
      </c>
      <c r="F127" t="str">
        <f t="shared" si="4"/>
        <v/>
      </c>
      <c r="G127" s="54" t="str">
        <f>IF(A127="","",'Account Creation'!G127)</f>
        <v/>
      </c>
      <c r="I127" t="str">
        <f t="shared" si="3"/>
        <v/>
      </c>
      <c r="K127" t="str">
        <f>IF(A127="","",'Account Creation'!W127)</f>
        <v/>
      </c>
      <c r="L127" t="str">
        <f>IF(A127="","",'Account Creation'!V127)</f>
        <v/>
      </c>
      <c r="P127" s="97" t="str">
        <f>IF('Help Desk'!D127="","",'Help Desk'!D127)</f>
        <v/>
      </c>
    </row>
    <row r="128" spans="1:16" x14ac:dyDescent="0.25">
      <c r="A128" t="str">
        <f>CONCATENATE('Help Desk'!D128, 'Account Creation'!AE128)</f>
        <v/>
      </c>
      <c r="B128" t="str">
        <f>IF(A128="","",'Account Creation'!B128)</f>
        <v/>
      </c>
      <c r="C128" t="str">
        <f>IF(A128="","",'Help Desk'!A128)</f>
        <v/>
      </c>
      <c r="D128" t="str">
        <f>IF(A128="","",'Account Creation'!X128)</f>
        <v/>
      </c>
      <c r="F128" t="str">
        <f t="shared" si="4"/>
        <v/>
      </c>
      <c r="G128" s="54" t="str">
        <f>IF(A128="","",'Account Creation'!G128)</f>
        <v/>
      </c>
      <c r="I128" t="str">
        <f t="shared" si="3"/>
        <v/>
      </c>
      <c r="K128" t="str">
        <f>IF(A128="","",'Account Creation'!W128)</f>
        <v/>
      </c>
      <c r="L128" t="str">
        <f>IF(A128="","",'Account Creation'!V128)</f>
        <v/>
      </c>
      <c r="P128" s="97" t="str">
        <f>IF('Help Desk'!D128="","",'Help Desk'!D128)</f>
        <v/>
      </c>
    </row>
    <row r="129" spans="1:16" x14ac:dyDescent="0.25">
      <c r="A129" t="str">
        <f>CONCATENATE('Help Desk'!D129, 'Account Creation'!AE129)</f>
        <v/>
      </c>
      <c r="B129" t="str">
        <f>IF(A129="","",'Account Creation'!B129)</f>
        <v/>
      </c>
      <c r="C129" t="str">
        <f>IF(A129="","",'Help Desk'!A129)</f>
        <v/>
      </c>
      <c r="D129" t="str">
        <f>IF(A129="","",'Account Creation'!X129)</f>
        <v/>
      </c>
      <c r="F129" t="str">
        <f t="shared" si="4"/>
        <v/>
      </c>
      <c r="G129" s="54" t="str">
        <f>IF(A129="","",'Account Creation'!G129)</f>
        <v/>
      </c>
      <c r="I129" t="str">
        <f t="shared" si="3"/>
        <v/>
      </c>
      <c r="K129" t="str">
        <f>IF(A129="","",'Account Creation'!W129)</f>
        <v/>
      </c>
      <c r="L129" t="str">
        <f>IF(A129="","",'Account Creation'!V129)</f>
        <v/>
      </c>
      <c r="P129" s="97" t="str">
        <f>IF('Help Desk'!D129="","",'Help Desk'!D129)</f>
        <v/>
      </c>
    </row>
    <row r="130" spans="1:16" x14ac:dyDescent="0.25">
      <c r="A130" t="str">
        <f>CONCATENATE('Help Desk'!D130, 'Account Creation'!AE130)</f>
        <v/>
      </c>
      <c r="B130" t="str">
        <f>IF(A130="","",'Account Creation'!B130)</f>
        <v/>
      </c>
      <c r="C130" t="str">
        <f>IF(A130="","",'Help Desk'!A130)</f>
        <v/>
      </c>
      <c r="D130" t="str">
        <f>IF(A130="","",'Account Creation'!X130)</f>
        <v/>
      </c>
      <c r="F130" t="str">
        <f t="shared" si="4"/>
        <v/>
      </c>
      <c r="G130" s="54" t="str">
        <f>IF(A130="","",'Account Creation'!G130)</f>
        <v/>
      </c>
      <c r="I130" t="str">
        <f t="shared" ref="I130:I193" si="5">IF(A130="","","TRUE")</f>
        <v/>
      </c>
      <c r="K130" t="str">
        <f>IF(A130="","",'Account Creation'!W130)</f>
        <v/>
      </c>
      <c r="L130" t="str">
        <f>IF(A130="","",'Account Creation'!V130)</f>
        <v/>
      </c>
      <c r="P130" s="97" t="str">
        <f>IF('Help Desk'!D130="","",'Help Desk'!D130)</f>
        <v/>
      </c>
    </row>
    <row r="131" spans="1:16" x14ac:dyDescent="0.25">
      <c r="A131" t="str">
        <f>CONCATENATE('Help Desk'!D131, 'Account Creation'!AE131)</f>
        <v/>
      </c>
      <c r="B131" t="str">
        <f>IF(A131="","",'Account Creation'!B131)</f>
        <v/>
      </c>
      <c r="C131" t="str">
        <f>IF(A131="","",'Help Desk'!A131)</f>
        <v/>
      </c>
      <c r="D131" t="str">
        <f>IF(A131="","",'Account Creation'!X131)</f>
        <v/>
      </c>
      <c r="F131" t="str">
        <f t="shared" si="4"/>
        <v/>
      </c>
      <c r="G131" s="54" t="str">
        <f>IF(A131="","",'Account Creation'!G131)</f>
        <v/>
      </c>
      <c r="I131" t="str">
        <f t="shared" si="5"/>
        <v/>
      </c>
      <c r="K131" t="str">
        <f>IF(A131="","",'Account Creation'!W131)</f>
        <v/>
      </c>
      <c r="L131" t="str">
        <f>IF(A131="","",'Account Creation'!V131)</f>
        <v/>
      </c>
      <c r="P131" s="97" t="str">
        <f>IF('Help Desk'!D131="","",'Help Desk'!D131)</f>
        <v/>
      </c>
    </row>
    <row r="132" spans="1:16" x14ac:dyDescent="0.25">
      <c r="A132" t="str">
        <f>CONCATENATE('Help Desk'!D132, 'Account Creation'!AE132)</f>
        <v/>
      </c>
      <c r="B132" t="str">
        <f>IF(A132="","",'Account Creation'!B132)</f>
        <v/>
      </c>
      <c r="C132" t="str">
        <f>IF(A132="","",'Help Desk'!A132)</f>
        <v/>
      </c>
      <c r="D132" t="str">
        <f>IF(A132="","",'Account Creation'!X132)</f>
        <v/>
      </c>
      <c r="F132" t="str">
        <f t="shared" si="4"/>
        <v/>
      </c>
      <c r="G132" s="54" t="str">
        <f>IF(A132="","",'Account Creation'!G132)</f>
        <v/>
      </c>
      <c r="I132" t="str">
        <f t="shared" si="5"/>
        <v/>
      </c>
      <c r="K132" t="str">
        <f>IF(A132="","",'Account Creation'!W132)</f>
        <v/>
      </c>
      <c r="L132" t="str">
        <f>IF(A132="","",'Account Creation'!V132)</f>
        <v/>
      </c>
      <c r="P132" s="97" t="str">
        <f>IF('Help Desk'!D132="","",'Help Desk'!D132)</f>
        <v/>
      </c>
    </row>
    <row r="133" spans="1:16" x14ac:dyDescent="0.25">
      <c r="A133" t="str">
        <f>CONCATENATE('Help Desk'!D133, 'Account Creation'!AE133)</f>
        <v/>
      </c>
      <c r="B133" t="str">
        <f>IF(A133="","",'Account Creation'!B133)</f>
        <v/>
      </c>
      <c r="C133" t="str">
        <f>IF(A133="","",'Help Desk'!A133)</f>
        <v/>
      </c>
      <c r="D133" t="str">
        <f>IF(A133="","",'Account Creation'!X133)</f>
        <v/>
      </c>
      <c r="F133" t="str">
        <f t="shared" ref="F133:F196" si="6">IF(A133="","","America/Chicago")</f>
        <v/>
      </c>
      <c r="G133" s="54" t="str">
        <f>IF(A133="","",'Account Creation'!G133)</f>
        <v/>
      </c>
      <c r="I133" t="str">
        <f t="shared" si="5"/>
        <v/>
      </c>
      <c r="K133" t="str">
        <f>IF(A133="","",'Account Creation'!W133)</f>
        <v/>
      </c>
      <c r="L133" t="str">
        <f>IF(A133="","",'Account Creation'!V133)</f>
        <v/>
      </c>
      <c r="P133" s="97" t="str">
        <f>IF('Help Desk'!D133="","",'Help Desk'!D133)</f>
        <v/>
      </c>
    </row>
    <row r="134" spans="1:16" x14ac:dyDescent="0.25">
      <c r="A134" t="str">
        <f>CONCATENATE('Help Desk'!D134, 'Account Creation'!AE134)</f>
        <v/>
      </c>
      <c r="B134" t="str">
        <f>IF(A134="","",'Account Creation'!B134)</f>
        <v/>
      </c>
      <c r="C134" t="str">
        <f>IF(A134="","",'Help Desk'!A134)</f>
        <v/>
      </c>
      <c r="D134" t="str">
        <f>IF(A134="","",'Account Creation'!X134)</f>
        <v/>
      </c>
      <c r="F134" t="str">
        <f t="shared" si="6"/>
        <v/>
      </c>
      <c r="G134" s="54" t="str">
        <f>IF(A134="","",'Account Creation'!G134)</f>
        <v/>
      </c>
      <c r="I134" t="str">
        <f t="shared" si="5"/>
        <v/>
      </c>
      <c r="K134" t="str">
        <f>IF(A134="","",'Account Creation'!W134)</f>
        <v/>
      </c>
      <c r="L134" t="str">
        <f>IF(A134="","",'Account Creation'!V134)</f>
        <v/>
      </c>
      <c r="P134" s="97" t="str">
        <f>IF('Help Desk'!D134="","",'Help Desk'!D134)</f>
        <v/>
      </c>
    </row>
    <row r="135" spans="1:16" x14ac:dyDescent="0.25">
      <c r="A135" t="str">
        <f>CONCATENATE('Help Desk'!D135, 'Account Creation'!AE135)</f>
        <v/>
      </c>
      <c r="B135" t="str">
        <f>IF(A135="","",'Account Creation'!B135)</f>
        <v/>
      </c>
      <c r="C135" t="str">
        <f>IF(A135="","",'Help Desk'!A135)</f>
        <v/>
      </c>
      <c r="D135" t="str">
        <f>IF(A135="","",'Account Creation'!X135)</f>
        <v/>
      </c>
      <c r="F135" t="str">
        <f t="shared" si="6"/>
        <v/>
      </c>
      <c r="G135" s="54" t="str">
        <f>IF(A135="","",'Account Creation'!G135)</f>
        <v/>
      </c>
      <c r="I135" t="str">
        <f t="shared" si="5"/>
        <v/>
      </c>
      <c r="K135" t="str">
        <f>IF(A135="","",'Account Creation'!W135)</f>
        <v/>
      </c>
      <c r="L135" t="str">
        <f>IF(A135="","",'Account Creation'!V135)</f>
        <v/>
      </c>
      <c r="P135" s="97" t="str">
        <f>IF('Help Desk'!D135="","",'Help Desk'!D135)</f>
        <v/>
      </c>
    </row>
    <row r="136" spans="1:16" x14ac:dyDescent="0.25">
      <c r="A136" t="str">
        <f>CONCATENATE('Help Desk'!D136, 'Account Creation'!AE136)</f>
        <v/>
      </c>
      <c r="B136" t="str">
        <f>IF(A136="","",'Account Creation'!B136)</f>
        <v/>
      </c>
      <c r="C136" t="str">
        <f>IF(A136="","",'Help Desk'!A136)</f>
        <v/>
      </c>
      <c r="D136" t="str">
        <f>IF(A136="","",'Account Creation'!X136)</f>
        <v/>
      </c>
      <c r="F136" t="str">
        <f t="shared" si="6"/>
        <v/>
      </c>
      <c r="G136" s="54" t="str">
        <f>IF(A136="","",'Account Creation'!G136)</f>
        <v/>
      </c>
      <c r="I136" t="str">
        <f t="shared" si="5"/>
        <v/>
      </c>
      <c r="K136" t="str">
        <f>IF(A136="","",'Account Creation'!W136)</f>
        <v/>
      </c>
      <c r="L136" t="str">
        <f>IF(A136="","",'Account Creation'!V136)</f>
        <v/>
      </c>
      <c r="P136" s="97" t="str">
        <f>IF('Help Desk'!D136="","",'Help Desk'!D136)</f>
        <v/>
      </c>
    </row>
    <row r="137" spans="1:16" x14ac:dyDescent="0.25">
      <c r="A137" t="str">
        <f>CONCATENATE('Help Desk'!D137, 'Account Creation'!AE137)</f>
        <v/>
      </c>
      <c r="B137" t="str">
        <f>IF(A137="","",'Account Creation'!B137)</f>
        <v/>
      </c>
      <c r="C137" t="str">
        <f>IF(A137="","",'Help Desk'!A137)</f>
        <v/>
      </c>
      <c r="D137" t="str">
        <f>IF(A137="","",'Account Creation'!X137)</f>
        <v/>
      </c>
      <c r="F137" t="str">
        <f t="shared" si="6"/>
        <v/>
      </c>
      <c r="G137" s="54" t="str">
        <f>IF(A137="","",'Account Creation'!G137)</f>
        <v/>
      </c>
      <c r="I137" t="str">
        <f t="shared" si="5"/>
        <v/>
      </c>
      <c r="K137" t="str">
        <f>IF(A137="","",'Account Creation'!W137)</f>
        <v/>
      </c>
      <c r="L137" t="str">
        <f>IF(A137="","",'Account Creation'!V137)</f>
        <v/>
      </c>
      <c r="P137" s="97" t="str">
        <f>IF('Help Desk'!D137="","",'Help Desk'!D137)</f>
        <v/>
      </c>
    </row>
    <row r="138" spans="1:16" x14ac:dyDescent="0.25">
      <c r="A138" t="str">
        <f>CONCATENATE('Help Desk'!D138, 'Account Creation'!AE138)</f>
        <v/>
      </c>
      <c r="B138" t="str">
        <f>IF(A138="","",'Account Creation'!B138)</f>
        <v/>
      </c>
      <c r="C138" t="str">
        <f>IF(A138="","",'Help Desk'!A138)</f>
        <v/>
      </c>
      <c r="D138" t="str">
        <f>IF(A138="","",'Account Creation'!X138)</f>
        <v/>
      </c>
      <c r="F138" t="str">
        <f t="shared" si="6"/>
        <v/>
      </c>
      <c r="G138" s="54" t="str">
        <f>IF(A138="","",'Account Creation'!G138)</f>
        <v/>
      </c>
      <c r="I138" t="str">
        <f t="shared" si="5"/>
        <v/>
      </c>
      <c r="K138" t="str">
        <f>IF(A138="","",'Account Creation'!W138)</f>
        <v/>
      </c>
      <c r="L138" t="str">
        <f>IF(A138="","",'Account Creation'!V138)</f>
        <v/>
      </c>
      <c r="P138" s="97" t="str">
        <f>IF('Help Desk'!D138="","",'Help Desk'!D138)</f>
        <v/>
      </c>
    </row>
    <row r="139" spans="1:16" x14ac:dyDescent="0.25">
      <c r="A139" t="str">
        <f>CONCATENATE('Help Desk'!D139, 'Account Creation'!AE139)</f>
        <v/>
      </c>
      <c r="B139" t="str">
        <f>IF(A139="","",'Account Creation'!B139)</f>
        <v/>
      </c>
      <c r="C139" t="str">
        <f>IF(A139="","",'Help Desk'!A139)</f>
        <v/>
      </c>
      <c r="D139" t="str">
        <f>IF(A139="","",'Account Creation'!X139)</f>
        <v/>
      </c>
      <c r="F139" t="str">
        <f t="shared" si="6"/>
        <v/>
      </c>
      <c r="G139" s="54" t="str">
        <f>IF(A139="","",'Account Creation'!G139)</f>
        <v/>
      </c>
      <c r="I139" t="str">
        <f t="shared" si="5"/>
        <v/>
      </c>
      <c r="K139" t="str">
        <f>IF(A139="","",'Account Creation'!W139)</f>
        <v/>
      </c>
      <c r="L139" t="str">
        <f>IF(A139="","",'Account Creation'!V139)</f>
        <v/>
      </c>
      <c r="P139" s="97" t="str">
        <f>IF('Help Desk'!D139="","",'Help Desk'!D139)</f>
        <v/>
      </c>
    </row>
    <row r="140" spans="1:16" x14ac:dyDescent="0.25">
      <c r="A140" t="str">
        <f>CONCATENATE('Help Desk'!D140, 'Account Creation'!AE140)</f>
        <v/>
      </c>
      <c r="B140" t="str">
        <f>IF(A140="","",'Account Creation'!B140)</f>
        <v/>
      </c>
      <c r="C140" t="str">
        <f>IF(A140="","",'Help Desk'!A140)</f>
        <v/>
      </c>
      <c r="D140" t="str">
        <f>IF(A140="","",'Account Creation'!X140)</f>
        <v/>
      </c>
      <c r="F140" t="str">
        <f t="shared" si="6"/>
        <v/>
      </c>
      <c r="G140" s="54" t="str">
        <f>IF(A140="","",'Account Creation'!G140)</f>
        <v/>
      </c>
      <c r="I140" t="str">
        <f t="shared" si="5"/>
        <v/>
      </c>
      <c r="K140" t="str">
        <f>IF(A140="","",'Account Creation'!W140)</f>
        <v/>
      </c>
      <c r="L140" t="str">
        <f>IF(A140="","",'Account Creation'!V140)</f>
        <v/>
      </c>
      <c r="P140" s="97" t="str">
        <f>IF('Help Desk'!D140="","",'Help Desk'!D140)</f>
        <v/>
      </c>
    </row>
    <row r="141" spans="1:16" x14ac:dyDescent="0.25">
      <c r="A141" t="str">
        <f>CONCATENATE('Help Desk'!D141, 'Account Creation'!AE141)</f>
        <v/>
      </c>
      <c r="B141" t="str">
        <f>IF(A141="","",'Account Creation'!B141)</f>
        <v/>
      </c>
      <c r="C141" t="str">
        <f>IF(A141="","",'Help Desk'!A141)</f>
        <v/>
      </c>
      <c r="D141" t="str">
        <f>IF(A141="","",'Account Creation'!X141)</f>
        <v/>
      </c>
      <c r="F141" t="str">
        <f t="shared" si="6"/>
        <v/>
      </c>
      <c r="G141" s="54" t="str">
        <f>IF(A141="","",'Account Creation'!G141)</f>
        <v/>
      </c>
      <c r="I141" t="str">
        <f t="shared" si="5"/>
        <v/>
      </c>
      <c r="K141" t="str">
        <f>IF(A141="","",'Account Creation'!W141)</f>
        <v/>
      </c>
      <c r="L141" t="str">
        <f>IF(A141="","",'Account Creation'!V141)</f>
        <v/>
      </c>
      <c r="P141" s="97" t="str">
        <f>IF('Help Desk'!D141="","",'Help Desk'!D141)</f>
        <v/>
      </c>
    </row>
    <row r="142" spans="1:16" x14ac:dyDescent="0.25">
      <c r="A142" t="str">
        <f>CONCATENATE('Help Desk'!D142, 'Account Creation'!AE142)</f>
        <v/>
      </c>
      <c r="B142" t="str">
        <f>IF(A142="","",'Account Creation'!B142)</f>
        <v/>
      </c>
      <c r="C142" t="str">
        <f>IF(A142="","",'Help Desk'!A142)</f>
        <v/>
      </c>
      <c r="D142" t="str">
        <f>IF(A142="","",'Account Creation'!X142)</f>
        <v/>
      </c>
      <c r="F142" t="str">
        <f t="shared" si="6"/>
        <v/>
      </c>
      <c r="G142" s="54" t="str">
        <f>IF(A142="","",'Account Creation'!G142)</f>
        <v/>
      </c>
      <c r="I142" t="str">
        <f t="shared" si="5"/>
        <v/>
      </c>
      <c r="K142" t="str">
        <f>IF(A142="","",'Account Creation'!W142)</f>
        <v/>
      </c>
      <c r="L142" t="str">
        <f>IF(A142="","",'Account Creation'!V142)</f>
        <v/>
      </c>
      <c r="P142" s="97" t="str">
        <f>IF('Help Desk'!D142="","",'Help Desk'!D142)</f>
        <v/>
      </c>
    </row>
    <row r="143" spans="1:16" x14ac:dyDescent="0.25">
      <c r="A143" t="str">
        <f>CONCATENATE('Help Desk'!D143, 'Account Creation'!AE143)</f>
        <v/>
      </c>
      <c r="B143" t="str">
        <f>IF(A143="","",'Account Creation'!B143)</f>
        <v/>
      </c>
      <c r="C143" t="str">
        <f>IF(A143="","",'Help Desk'!A143)</f>
        <v/>
      </c>
      <c r="D143" t="str">
        <f>IF(A143="","",'Account Creation'!X143)</f>
        <v/>
      </c>
      <c r="F143" t="str">
        <f t="shared" si="6"/>
        <v/>
      </c>
      <c r="G143" s="54" t="str">
        <f>IF(A143="","",'Account Creation'!G143)</f>
        <v/>
      </c>
      <c r="I143" t="str">
        <f t="shared" si="5"/>
        <v/>
      </c>
      <c r="K143" t="str">
        <f>IF(A143="","",'Account Creation'!W143)</f>
        <v/>
      </c>
      <c r="L143" t="str">
        <f>IF(A143="","",'Account Creation'!V143)</f>
        <v/>
      </c>
      <c r="P143" s="97" t="str">
        <f>IF('Help Desk'!D143="","",'Help Desk'!D143)</f>
        <v/>
      </c>
    </row>
    <row r="144" spans="1:16" x14ac:dyDescent="0.25">
      <c r="A144" t="str">
        <f>CONCATENATE('Help Desk'!D144, 'Account Creation'!AE144)</f>
        <v/>
      </c>
      <c r="B144" t="str">
        <f>IF(A144="","",'Account Creation'!B144)</f>
        <v/>
      </c>
      <c r="C144" t="str">
        <f>IF(A144="","",'Help Desk'!A144)</f>
        <v/>
      </c>
      <c r="D144" t="str">
        <f>IF(A144="","",'Account Creation'!X144)</f>
        <v/>
      </c>
      <c r="F144" t="str">
        <f t="shared" si="6"/>
        <v/>
      </c>
      <c r="G144" s="54" t="str">
        <f>IF(A144="","",'Account Creation'!G144)</f>
        <v/>
      </c>
      <c r="I144" t="str">
        <f t="shared" si="5"/>
        <v/>
      </c>
      <c r="K144" t="str">
        <f>IF(A144="","",'Account Creation'!W144)</f>
        <v/>
      </c>
      <c r="L144" t="str">
        <f>IF(A144="","",'Account Creation'!V144)</f>
        <v/>
      </c>
      <c r="P144" s="97" t="str">
        <f>IF('Help Desk'!D144="","",'Help Desk'!D144)</f>
        <v/>
      </c>
    </row>
    <row r="145" spans="1:16" x14ac:dyDescent="0.25">
      <c r="A145" t="str">
        <f>CONCATENATE('Help Desk'!D145, 'Account Creation'!AE145)</f>
        <v/>
      </c>
      <c r="B145" t="str">
        <f>IF(A145="","",'Account Creation'!B145)</f>
        <v/>
      </c>
      <c r="C145" t="str">
        <f>IF(A145="","",'Help Desk'!A145)</f>
        <v/>
      </c>
      <c r="D145" t="str">
        <f>IF(A145="","",'Account Creation'!X145)</f>
        <v/>
      </c>
      <c r="F145" t="str">
        <f t="shared" si="6"/>
        <v/>
      </c>
      <c r="G145" s="54" t="str">
        <f>IF(A145="","",'Account Creation'!G145)</f>
        <v/>
      </c>
      <c r="I145" t="str">
        <f t="shared" si="5"/>
        <v/>
      </c>
      <c r="K145" t="str">
        <f>IF(A145="","",'Account Creation'!W145)</f>
        <v/>
      </c>
      <c r="L145" t="str">
        <f>IF(A145="","",'Account Creation'!V145)</f>
        <v/>
      </c>
      <c r="P145" s="97" t="str">
        <f>IF('Help Desk'!D145="","",'Help Desk'!D145)</f>
        <v/>
      </c>
    </row>
    <row r="146" spans="1:16" x14ac:dyDescent="0.25">
      <c r="A146" t="str">
        <f>CONCATENATE('Help Desk'!D146, 'Account Creation'!AE146)</f>
        <v/>
      </c>
      <c r="B146" t="str">
        <f>IF(A146="","",'Account Creation'!B146)</f>
        <v/>
      </c>
      <c r="C146" t="str">
        <f>IF(A146="","",'Help Desk'!A146)</f>
        <v/>
      </c>
      <c r="D146" t="str">
        <f>IF(A146="","",'Account Creation'!X146)</f>
        <v/>
      </c>
      <c r="F146" t="str">
        <f t="shared" si="6"/>
        <v/>
      </c>
      <c r="G146" s="54" t="str">
        <f>IF(A146="","",'Account Creation'!G146)</f>
        <v/>
      </c>
      <c r="I146" t="str">
        <f t="shared" si="5"/>
        <v/>
      </c>
      <c r="K146" t="str">
        <f>IF(A146="","",'Account Creation'!W146)</f>
        <v/>
      </c>
      <c r="L146" t="str">
        <f>IF(A146="","",'Account Creation'!V146)</f>
        <v/>
      </c>
      <c r="P146" s="97" t="str">
        <f>IF('Help Desk'!D146="","",'Help Desk'!D146)</f>
        <v/>
      </c>
    </row>
    <row r="147" spans="1:16" x14ac:dyDescent="0.25">
      <c r="A147" t="str">
        <f>CONCATENATE('Help Desk'!D147, 'Account Creation'!AE147)</f>
        <v/>
      </c>
      <c r="B147" t="str">
        <f>IF(A147="","",'Account Creation'!B147)</f>
        <v/>
      </c>
      <c r="C147" t="str">
        <f>IF(A147="","",'Help Desk'!A147)</f>
        <v/>
      </c>
      <c r="D147" t="str">
        <f>IF(A147="","",'Account Creation'!X147)</f>
        <v/>
      </c>
      <c r="F147" t="str">
        <f t="shared" si="6"/>
        <v/>
      </c>
      <c r="G147" s="54" t="str">
        <f>IF(A147="","",'Account Creation'!G147)</f>
        <v/>
      </c>
      <c r="I147" t="str">
        <f t="shared" si="5"/>
        <v/>
      </c>
      <c r="K147" t="str">
        <f>IF(A147="","",'Account Creation'!W147)</f>
        <v/>
      </c>
      <c r="L147" t="str">
        <f>IF(A147="","",'Account Creation'!V147)</f>
        <v/>
      </c>
      <c r="P147" s="97" t="str">
        <f>IF('Help Desk'!D147="","",'Help Desk'!D147)</f>
        <v/>
      </c>
    </row>
    <row r="148" spans="1:16" x14ac:dyDescent="0.25">
      <c r="A148" t="str">
        <f>CONCATENATE('Help Desk'!D148, 'Account Creation'!AE148)</f>
        <v/>
      </c>
      <c r="B148" t="str">
        <f>IF(A148="","",'Account Creation'!B148)</f>
        <v/>
      </c>
      <c r="C148" t="str">
        <f>IF(A148="","",'Help Desk'!A148)</f>
        <v/>
      </c>
      <c r="D148" t="str">
        <f>IF(A148="","",'Account Creation'!X148)</f>
        <v/>
      </c>
      <c r="F148" t="str">
        <f t="shared" si="6"/>
        <v/>
      </c>
      <c r="G148" s="54" t="str">
        <f>IF(A148="","",'Account Creation'!G148)</f>
        <v/>
      </c>
      <c r="I148" t="str">
        <f t="shared" si="5"/>
        <v/>
      </c>
      <c r="K148" t="str">
        <f>IF(A148="","",'Account Creation'!W148)</f>
        <v/>
      </c>
      <c r="L148" t="str">
        <f>IF(A148="","",'Account Creation'!V148)</f>
        <v/>
      </c>
      <c r="P148" s="97" t="str">
        <f>IF('Help Desk'!D148="","",'Help Desk'!D148)</f>
        <v/>
      </c>
    </row>
    <row r="149" spans="1:16" x14ac:dyDescent="0.25">
      <c r="A149" t="str">
        <f>CONCATENATE('Help Desk'!D149, 'Account Creation'!AE149)</f>
        <v/>
      </c>
      <c r="B149" t="str">
        <f>IF(A149="","",'Account Creation'!B149)</f>
        <v/>
      </c>
      <c r="C149" t="str">
        <f>IF(A149="","",'Help Desk'!A149)</f>
        <v/>
      </c>
      <c r="D149" t="str">
        <f>IF(A149="","",'Account Creation'!X149)</f>
        <v/>
      </c>
      <c r="F149" t="str">
        <f t="shared" si="6"/>
        <v/>
      </c>
      <c r="G149" s="54" t="str">
        <f>IF(A149="","",'Account Creation'!G149)</f>
        <v/>
      </c>
      <c r="I149" t="str">
        <f t="shared" si="5"/>
        <v/>
      </c>
      <c r="K149" t="str">
        <f>IF(A149="","",'Account Creation'!W149)</f>
        <v/>
      </c>
      <c r="L149" t="str">
        <f>IF(A149="","",'Account Creation'!V149)</f>
        <v/>
      </c>
      <c r="P149" s="97" t="str">
        <f>IF('Help Desk'!D149="","",'Help Desk'!D149)</f>
        <v/>
      </c>
    </row>
    <row r="150" spans="1:16" x14ac:dyDescent="0.25">
      <c r="A150" t="str">
        <f>CONCATENATE('Help Desk'!D150, 'Account Creation'!AE150)</f>
        <v/>
      </c>
      <c r="B150" t="str">
        <f>IF(A150="","",'Account Creation'!B150)</f>
        <v/>
      </c>
      <c r="C150" t="str">
        <f>IF(A150="","",'Help Desk'!A150)</f>
        <v/>
      </c>
      <c r="D150" t="str">
        <f>IF(A150="","",'Account Creation'!X150)</f>
        <v/>
      </c>
      <c r="F150" t="str">
        <f t="shared" si="6"/>
        <v/>
      </c>
      <c r="G150" s="54" t="str">
        <f>IF(A150="","",'Account Creation'!G150)</f>
        <v/>
      </c>
      <c r="I150" t="str">
        <f t="shared" si="5"/>
        <v/>
      </c>
      <c r="K150" t="str">
        <f>IF(A150="","",'Account Creation'!W150)</f>
        <v/>
      </c>
      <c r="L150" t="str">
        <f>IF(A150="","",'Account Creation'!V150)</f>
        <v/>
      </c>
      <c r="P150" s="97" t="str">
        <f>IF('Help Desk'!D150="","",'Help Desk'!D150)</f>
        <v/>
      </c>
    </row>
    <row r="151" spans="1:16" x14ac:dyDescent="0.25">
      <c r="A151" t="str">
        <f>CONCATENATE('Help Desk'!D151, 'Account Creation'!AE151)</f>
        <v/>
      </c>
      <c r="B151" t="str">
        <f>IF(A151="","",'Account Creation'!B151)</f>
        <v/>
      </c>
      <c r="C151" t="str">
        <f>IF(A151="","",'Help Desk'!A151)</f>
        <v/>
      </c>
      <c r="D151" t="str">
        <f>IF(A151="","",'Account Creation'!X151)</f>
        <v/>
      </c>
      <c r="F151" t="str">
        <f t="shared" si="6"/>
        <v/>
      </c>
      <c r="G151" s="54" t="str">
        <f>IF(A151="","",'Account Creation'!G151)</f>
        <v/>
      </c>
      <c r="I151" t="str">
        <f t="shared" si="5"/>
        <v/>
      </c>
      <c r="K151" t="str">
        <f>IF(A151="","",'Account Creation'!W151)</f>
        <v/>
      </c>
      <c r="L151" t="str">
        <f>IF(A151="","",'Account Creation'!V151)</f>
        <v/>
      </c>
      <c r="P151" s="97" t="str">
        <f>IF('Help Desk'!D151="","",'Help Desk'!D151)</f>
        <v/>
      </c>
    </row>
    <row r="152" spans="1:16" x14ac:dyDescent="0.25">
      <c r="A152" t="str">
        <f>CONCATENATE('Help Desk'!D152, 'Account Creation'!AE152)</f>
        <v/>
      </c>
      <c r="B152" t="str">
        <f>IF(A152="","",'Account Creation'!B152)</f>
        <v/>
      </c>
      <c r="C152" t="str">
        <f>IF(A152="","",'Help Desk'!A152)</f>
        <v/>
      </c>
      <c r="D152" t="str">
        <f>IF(A152="","",'Account Creation'!X152)</f>
        <v/>
      </c>
      <c r="F152" t="str">
        <f t="shared" si="6"/>
        <v/>
      </c>
      <c r="G152" s="54" t="str">
        <f>IF(A152="","",'Account Creation'!G152)</f>
        <v/>
      </c>
      <c r="I152" t="str">
        <f t="shared" si="5"/>
        <v/>
      </c>
      <c r="K152" t="str">
        <f>IF(A152="","",'Account Creation'!W152)</f>
        <v/>
      </c>
      <c r="L152" t="str">
        <f>IF(A152="","",'Account Creation'!V152)</f>
        <v/>
      </c>
      <c r="P152" s="97" t="str">
        <f>IF('Help Desk'!D152="","",'Help Desk'!D152)</f>
        <v/>
      </c>
    </row>
    <row r="153" spans="1:16" x14ac:dyDescent="0.25">
      <c r="A153" t="str">
        <f>CONCATENATE('Help Desk'!D153, 'Account Creation'!AE153)</f>
        <v/>
      </c>
      <c r="B153" t="str">
        <f>IF(A153="","",'Account Creation'!B153)</f>
        <v/>
      </c>
      <c r="C153" t="str">
        <f>IF(A153="","",'Help Desk'!A153)</f>
        <v/>
      </c>
      <c r="D153" t="str">
        <f>IF(A153="","",'Account Creation'!X153)</f>
        <v/>
      </c>
      <c r="F153" t="str">
        <f t="shared" si="6"/>
        <v/>
      </c>
      <c r="G153" s="54" t="str">
        <f>IF(A153="","",'Account Creation'!G153)</f>
        <v/>
      </c>
      <c r="I153" t="str">
        <f t="shared" si="5"/>
        <v/>
      </c>
      <c r="K153" t="str">
        <f>IF(A153="","",'Account Creation'!W153)</f>
        <v/>
      </c>
      <c r="L153" t="str">
        <f>IF(A153="","",'Account Creation'!V153)</f>
        <v/>
      </c>
      <c r="P153" s="97" t="str">
        <f>IF('Help Desk'!D153="","",'Help Desk'!D153)</f>
        <v/>
      </c>
    </row>
    <row r="154" spans="1:16" x14ac:dyDescent="0.25">
      <c r="A154" t="str">
        <f>CONCATENATE('Help Desk'!D154, 'Account Creation'!AE154)</f>
        <v/>
      </c>
      <c r="B154" t="str">
        <f>IF(A154="","",'Account Creation'!B154)</f>
        <v/>
      </c>
      <c r="C154" t="str">
        <f>IF(A154="","",'Help Desk'!A154)</f>
        <v/>
      </c>
      <c r="D154" t="str">
        <f>IF(A154="","",'Account Creation'!X154)</f>
        <v/>
      </c>
      <c r="F154" t="str">
        <f t="shared" si="6"/>
        <v/>
      </c>
      <c r="G154" s="54" t="str">
        <f>IF(A154="","",'Account Creation'!G154)</f>
        <v/>
      </c>
      <c r="I154" t="str">
        <f t="shared" si="5"/>
        <v/>
      </c>
      <c r="K154" t="str">
        <f>IF(A154="","",'Account Creation'!W154)</f>
        <v/>
      </c>
      <c r="L154" t="str">
        <f>IF(A154="","",'Account Creation'!V154)</f>
        <v/>
      </c>
      <c r="P154" s="97" t="str">
        <f>IF('Help Desk'!D154="","",'Help Desk'!D154)</f>
        <v/>
      </c>
    </row>
    <row r="155" spans="1:16" x14ac:dyDescent="0.25">
      <c r="A155" t="str">
        <f>CONCATENATE('Help Desk'!D155, 'Account Creation'!AE155)</f>
        <v/>
      </c>
      <c r="B155" t="str">
        <f>IF(A155="","",'Account Creation'!B155)</f>
        <v/>
      </c>
      <c r="C155" t="str">
        <f>IF(A155="","",'Help Desk'!A155)</f>
        <v/>
      </c>
      <c r="D155" t="str">
        <f>IF(A155="","",'Account Creation'!X155)</f>
        <v/>
      </c>
      <c r="F155" t="str">
        <f t="shared" si="6"/>
        <v/>
      </c>
      <c r="G155" s="54" t="str">
        <f>IF(A155="","",'Account Creation'!G155)</f>
        <v/>
      </c>
      <c r="I155" t="str">
        <f t="shared" si="5"/>
        <v/>
      </c>
      <c r="K155" t="str">
        <f>IF(A155="","",'Account Creation'!W155)</f>
        <v/>
      </c>
      <c r="L155" t="str">
        <f>IF(A155="","",'Account Creation'!V155)</f>
        <v/>
      </c>
      <c r="P155" s="97" t="str">
        <f>IF('Help Desk'!D155="","",'Help Desk'!D155)</f>
        <v/>
      </c>
    </row>
    <row r="156" spans="1:16" x14ac:dyDescent="0.25">
      <c r="A156" t="str">
        <f>CONCATENATE('Help Desk'!D156, 'Account Creation'!AE156)</f>
        <v/>
      </c>
      <c r="B156" t="str">
        <f>IF(A156="","",'Account Creation'!B156)</f>
        <v/>
      </c>
      <c r="C156" t="str">
        <f>IF(A156="","",'Help Desk'!A156)</f>
        <v/>
      </c>
      <c r="D156" t="str">
        <f>IF(A156="","",'Account Creation'!X156)</f>
        <v/>
      </c>
      <c r="F156" t="str">
        <f t="shared" si="6"/>
        <v/>
      </c>
      <c r="G156" s="54" t="str">
        <f>IF(A156="","",'Account Creation'!G156)</f>
        <v/>
      </c>
      <c r="I156" t="str">
        <f t="shared" si="5"/>
        <v/>
      </c>
      <c r="K156" t="str">
        <f>IF(A156="","",'Account Creation'!W156)</f>
        <v/>
      </c>
      <c r="L156" t="str">
        <f>IF(A156="","",'Account Creation'!V156)</f>
        <v/>
      </c>
      <c r="P156" s="97" t="str">
        <f>IF('Help Desk'!D156="","",'Help Desk'!D156)</f>
        <v/>
      </c>
    </row>
    <row r="157" spans="1:16" x14ac:dyDescent="0.25">
      <c r="A157" t="str">
        <f>CONCATENATE('Help Desk'!D157, 'Account Creation'!AE157)</f>
        <v/>
      </c>
      <c r="B157" t="str">
        <f>IF(A157="","",'Account Creation'!B157)</f>
        <v/>
      </c>
      <c r="C157" t="str">
        <f>IF(A157="","",'Help Desk'!A157)</f>
        <v/>
      </c>
      <c r="D157" t="str">
        <f>IF(A157="","",'Account Creation'!X157)</f>
        <v/>
      </c>
      <c r="F157" t="str">
        <f t="shared" si="6"/>
        <v/>
      </c>
      <c r="G157" s="54" t="str">
        <f>IF(A157="","",'Account Creation'!G157)</f>
        <v/>
      </c>
      <c r="I157" t="str">
        <f t="shared" si="5"/>
        <v/>
      </c>
      <c r="K157" t="str">
        <f>IF(A157="","",'Account Creation'!W157)</f>
        <v/>
      </c>
      <c r="L157" t="str">
        <f>IF(A157="","",'Account Creation'!V157)</f>
        <v/>
      </c>
      <c r="P157" s="97" t="str">
        <f>IF('Help Desk'!D157="","",'Help Desk'!D157)</f>
        <v/>
      </c>
    </row>
    <row r="158" spans="1:16" x14ac:dyDescent="0.25">
      <c r="A158" t="str">
        <f>CONCATENATE('Help Desk'!D158, 'Account Creation'!AE158)</f>
        <v/>
      </c>
      <c r="B158" t="str">
        <f>IF(A158="","",'Account Creation'!B158)</f>
        <v/>
      </c>
      <c r="C158" t="str">
        <f>IF(A158="","",'Help Desk'!A158)</f>
        <v/>
      </c>
      <c r="D158" t="str">
        <f>IF(A158="","",'Account Creation'!X158)</f>
        <v/>
      </c>
      <c r="F158" t="str">
        <f t="shared" si="6"/>
        <v/>
      </c>
      <c r="G158" s="54" t="str">
        <f>IF(A158="","",'Account Creation'!G158)</f>
        <v/>
      </c>
      <c r="I158" t="str">
        <f t="shared" si="5"/>
        <v/>
      </c>
      <c r="K158" t="str">
        <f>IF(A158="","",'Account Creation'!W158)</f>
        <v/>
      </c>
      <c r="L158" t="str">
        <f>IF(A158="","",'Account Creation'!V158)</f>
        <v/>
      </c>
      <c r="P158" s="97" t="str">
        <f>IF('Help Desk'!D158="","",'Help Desk'!D158)</f>
        <v/>
      </c>
    </row>
    <row r="159" spans="1:16" x14ac:dyDescent="0.25">
      <c r="A159" t="str">
        <f>CONCATENATE('Help Desk'!D159, 'Account Creation'!AE159)</f>
        <v/>
      </c>
      <c r="B159" t="str">
        <f>IF(A159="","",'Account Creation'!B159)</f>
        <v/>
      </c>
      <c r="C159" t="str">
        <f>IF(A159="","",'Help Desk'!A159)</f>
        <v/>
      </c>
      <c r="D159" t="str">
        <f>IF(A159="","",'Account Creation'!X159)</f>
        <v/>
      </c>
      <c r="F159" t="str">
        <f t="shared" si="6"/>
        <v/>
      </c>
      <c r="G159" s="54" t="str">
        <f>IF(A159="","",'Account Creation'!G159)</f>
        <v/>
      </c>
      <c r="I159" t="str">
        <f t="shared" si="5"/>
        <v/>
      </c>
      <c r="K159" t="str">
        <f>IF(A159="","",'Account Creation'!W159)</f>
        <v/>
      </c>
      <c r="L159" t="str">
        <f>IF(A159="","",'Account Creation'!V159)</f>
        <v/>
      </c>
      <c r="P159" s="97" t="str">
        <f>IF('Help Desk'!D159="","",'Help Desk'!D159)</f>
        <v/>
      </c>
    </row>
    <row r="160" spans="1:16" x14ac:dyDescent="0.25">
      <c r="A160" t="str">
        <f>CONCATENATE('Help Desk'!D160, 'Account Creation'!AE160)</f>
        <v/>
      </c>
      <c r="B160" t="str">
        <f>IF(A160="","",'Account Creation'!B160)</f>
        <v/>
      </c>
      <c r="C160" t="str">
        <f>IF(A160="","",'Help Desk'!A160)</f>
        <v/>
      </c>
      <c r="D160" t="str">
        <f>IF(A160="","",'Account Creation'!X160)</f>
        <v/>
      </c>
      <c r="F160" t="str">
        <f t="shared" si="6"/>
        <v/>
      </c>
      <c r="G160" s="54" t="str">
        <f>IF(A160="","",'Account Creation'!G160)</f>
        <v/>
      </c>
      <c r="I160" t="str">
        <f t="shared" si="5"/>
        <v/>
      </c>
      <c r="K160" t="str">
        <f>IF(A160="","",'Account Creation'!W160)</f>
        <v/>
      </c>
      <c r="L160" t="str">
        <f>IF(A160="","",'Account Creation'!V160)</f>
        <v/>
      </c>
      <c r="P160" s="97" t="str">
        <f>IF('Help Desk'!D160="","",'Help Desk'!D160)</f>
        <v/>
      </c>
    </row>
    <row r="161" spans="1:16" x14ac:dyDescent="0.25">
      <c r="A161" t="str">
        <f>CONCATENATE('Help Desk'!D161, 'Account Creation'!AE161)</f>
        <v/>
      </c>
      <c r="B161" t="str">
        <f>IF(A161="","",'Account Creation'!B161)</f>
        <v/>
      </c>
      <c r="C161" t="str">
        <f>IF(A161="","",'Help Desk'!A161)</f>
        <v/>
      </c>
      <c r="D161" t="str">
        <f>IF(A161="","",'Account Creation'!X161)</f>
        <v/>
      </c>
      <c r="F161" t="str">
        <f t="shared" si="6"/>
        <v/>
      </c>
      <c r="G161" s="54" t="str">
        <f>IF(A161="","",'Account Creation'!G161)</f>
        <v/>
      </c>
      <c r="I161" t="str">
        <f t="shared" si="5"/>
        <v/>
      </c>
      <c r="K161" t="str">
        <f>IF(A161="","",'Account Creation'!W161)</f>
        <v/>
      </c>
      <c r="L161" t="str">
        <f>IF(A161="","",'Account Creation'!V161)</f>
        <v/>
      </c>
      <c r="P161" s="97" t="str">
        <f>IF('Help Desk'!D161="","",'Help Desk'!D161)</f>
        <v/>
      </c>
    </row>
    <row r="162" spans="1:16" x14ac:dyDescent="0.25">
      <c r="A162" t="str">
        <f>CONCATENATE('Help Desk'!D162, 'Account Creation'!AE162)</f>
        <v/>
      </c>
      <c r="B162" t="str">
        <f>IF(A162="","",'Account Creation'!B162)</f>
        <v/>
      </c>
      <c r="C162" t="str">
        <f>IF(A162="","",'Help Desk'!A162)</f>
        <v/>
      </c>
      <c r="D162" t="str">
        <f>IF(A162="","",'Account Creation'!X162)</f>
        <v/>
      </c>
      <c r="F162" t="str">
        <f t="shared" si="6"/>
        <v/>
      </c>
      <c r="G162" s="54" t="str">
        <f>IF(A162="","",'Account Creation'!G162)</f>
        <v/>
      </c>
      <c r="I162" t="str">
        <f t="shared" si="5"/>
        <v/>
      </c>
      <c r="K162" t="str">
        <f>IF(A162="","",'Account Creation'!W162)</f>
        <v/>
      </c>
      <c r="L162" t="str">
        <f>IF(A162="","",'Account Creation'!V162)</f>
        <v/>
      </c>
      <c r="P162" s="97" t="str">
        <f>IF('Help Desk'!D162="","",'Help Desk'!D162)</f>
        <v/>
      </c>
    </row>
    <row r="163" spans="1:16" x14ac:dyDescent="0.25">
      <c r="A163" t="str">
        <f>CONCATENATE('Help Desk'!D163, 'Account Creation'!AE163)</f>
        <v/>
      </c>
      <c r="B163" t="str">
        <f>IF(A163="","",'Account Creation'!B163)</f>
        <v/>
      </c>
      <c r="C163" t="str">
        <f>IF(A163="","",'Help Desk'!A163)</f>
        <v/>
      </c>
      <c r="D163" t="str">
        <f>IF(A163="","",'Account Creation'!X163)</f>
        <v/>
      </c>
      <c r="F163" t="str">
        <f t="shared" si="6"/>
        <v/>
      </c>
      <c r="G163" s="54" t="str">
        <f>IF(A163="","",'Account Creation'!G163)</f>
        <v/>
      </c>
      <c r="I163" t="str">
        <f t="shared" si="5"/>
        <v/>
      </c>
      <c r="K163" t="str">
        <f>IF(A163="","",'Account Creation'!W163)</f>
        <v/>
      </c>
      <c r="L163" t="str">
        <f>IF(A163="","",'Account Creation'!V163)</f>
        <v/>
      </c>
      <c r="P163" s="97" t="str">
        <f>IF('Help Desk'!D163="","",'Help Desk'!D163)</f>
        <v/>
      </c>
    </row>
    <row r="164" spans="1:16" x14ac:dyDescent="0.25">
      <c r="A164" t="str">
        <f>CONCATENATE('Help Desk'!D164, 'Account Creation'!AE164)</f>
        <v/>
      </c>
      <c r="B164" t="str">
        <f>IF(A164="","",'Account Creation'!B164)</f>
        <v/>
      </c>
      <c r="C164" t="str">
        <f>IF(A164="","",'Help Desk'!A164)</f>
        <v/>
      </c>
      <c r="D164" t="str">
        <f>IF(A164="","",'Account Creation'!X164)</f>
        <v/>
      </c>
      <c r="F164" t="str">
        <f t="shared" si="6"/>
        <v/>
      </c>
      <c r="G164" s="54" t="str">
        <f>IF(A164="","",'Account Creation'!G164)</f>
        <v/>
      </c>
      <c r="I164" t="str">
        <f t="shared" si="5"/>
        <v/>
      </c>
      <c r="K164" t="str">
        <f>IF(A164="","",'Account Creation'!W164)</f>
        <v/>
      </c>
      <c r="L164" t="str">
        <f>IF(A164="","",'Account Creation'!V164)</f>
        <v/>
      </c>
      <c r="P164" s="97" t="str">
        <f>IF('Help Desk'!D164="","",'Help Desk'!D164)</f>
        <v/>
      </c>
    </row>
    <row r="165" spans="1:16" x14ac:dyDescent="0.25">
      <c r="A165" t="str">
        <f>CONCATENATE('Help Desk'!D165, 'Account Creation'!AE165)</f>
        <v/>
      </c>
      <c r="B165" t="str">
        <f>IF(A165="","",'Account Creation'!B165)</f>
        <v/>
      </c>
      <c r="C165" t="str">
        <f>IF(A165="","",'Help Desk'!A165)</f>
        <v/>
      </c>
      <c r="D165" t="str">
        <f>IF(A165="","",'Account Creation'!X165)</f>
        <v/>
      </c>
      <c r="F165" t="str">
        <f t="shared" si="6"/>
        <v/>
      </c>
      <c r="G165" s="54" t="str">
        <f>IF(A165="","",'Account Creation'!G165)</f>
        <v/>
      </c>
      <c r="I165" t="str">
        <f t="shared" si="5"/>
        <v/>
      </c>
      <c r="K165" t="str">
        <f>IF(A165="","",'Account Creation'!W165)</f>
        <v/>
      </c>
      <c r="L165" t="str">
        <f>IF(A165="","",'Account Creation'!V165)</f>
        <v/>
      </c>
      <c r="P165" s="97" t="str">
        <f>IF('Help Desk'!D165="","",'Help Desk'!D165)</f>
        <v/>
      </c>
    </row>
    <row r="166" spans="1:16" x14ac:dyDescent="0.25">
      <c r="A166" t="str">
        <f>CONCATENATE('Help Desk'!D166, 'Account Creation'!AE166)</f>
        <v/>
      </c>
      <c r="B166" t="str">
        <f>IF(A166="","",'Account Creation'!B166)</f>
        <v/>
      </c>
      <c r="C166" t="str">
        <f>IF(A166="","",'Help Desk'!A166)</f>
        <v/>
      </c>
      <c r="D166" t="str">
        <f>IF(A166="","",'Account Creation'!X166)</f>
        <v/>
      </c>
      <c r="F166" t="str">
        <f t="shared" si="6"/>
        <v/>
      </c>
      <c r="G166" s="54" t="str">
        <f>IF(A166="","",'Account Creation'!G166)</f>
        <v/>
      </c>
      <c r="I166" t="str">
        <f t="shared" si="5"/>
        <v/>
      </c>
      <c r="K166" t="str">
        <f>IF(A166="","",'Account Creation'!W166)</f>
        <v/>
      </c>
      <c r="L166" t="str">
        <f>IF(A166="","",'Account Creation'!V166)</f>
        <v/>
      </c>
      <c r="P166" s="97" t="str">
        <f>IF('Help Desk'!D166="","",'Help Desk'!D166)</f>
        <v/>
      </c>
    </row>
    <row r="167" spans="1:16" x14ac:dyDescent="0.25">
      <c r="A167" t="str">
        <f>CONCATENATE('Help Desk'!D167, 'Account Creation'!AE167)</f>
        <v/>
      </c>
      <c r="B167" t="str">
        <f>IF(A167="","",'Account Creation'!B167)</f>
        <v/>
      </c>
      <c r="C167" t="str">
        <f>IF(A167="","",'Help Desk'!A167)</f>
        <v/>
      </c>
      <c r="D167" t="str">
        <f>IF(A167="","",'Account Creation'!X167)</f>
        <v/>
      </c>
      <c r="F167" t="str">
        <f t="shared" si="6"/>
        <v/>
      </c>
      <c r="G167" s="54" t="str">
        <f>IF(A167="","",'Account Creation'!G167)</f>
        <v/>
      </c>
      <c r="I167" t="str">
        <f t="shared" si="5"/>
        <v/>
      </c>
      <c r="K167" t="str">
        <f>IF(A167="","",'Account Creation'!W167)</f>
        <v/>
      </c>
      <c r="L167" t="str">
        <f>IF(A167="","",'Account Creation'!V167)</f>
        <v/>
      </c>
      <c r="P167" s="97" t="str">
        <f>IF('Help Desk'!D167="","",'Help Desk'!D167)</f>
        <v/>
      </c>
    </row>
    <row r="168" spans="1:16" x14ac:dyDescent="0.25">
      <c r="A168" t="str">
        <f>CONCATENATE('Help Desk'!D168, 'Account Creation'!AE168)</f>
        <v/>
      </c>
      <c r="B168" t="str">
        <f>IF(A168="","",'Account Creation'!B168)</f>
        <v/>
      </c>
      <c r="C168" t="str">
        <f>IF(A168="","",'Help Desk'!A168)</f>
        <v/>
      </c>
      <c r="D168" t="str">
        <f>IF(A168="","",'Account Creation'!X168)</f>
        <v/>
      </c>
      <c r="F168" t="str">
        <f t="shared" si="6"/>
        <v/>
      </c>
      <c r="G168" s="54" t="str">
        <f>IF(A168="","",'Account Creation'!G168)</f>
        <v/>
      </c>
      <c r="I168" t="str">
        <f t="shared" si="5"/>
        <v/>
      </c>
      <c r="K168" t="str">
        <f>IF(A168="","",'Account Creation'!W168)</f>
        <v/>
      </c>
      <c r="L168" t="str">
        <f>IF(A168="","",'Account Creation'!V168)</f>
        <v/>
      </c>
      <c r="P168" s="97" t="str">
        <f>IF('Help Desk'!D168="","",'Help Desk'!D168)</f>
        <v/>
      </c>
    </row>
    <row r="169" spans="1:16" x14ac:dyDescent="0.25">
      <c r="A169" t="str">
        <f>CONCATENATE('Help Desk'!D169, 'Account Creation'!AE169)</f>
        <v/>
      </c>
      <c r="B169" t="str">
        <f>IF(A169="","",'Account Creation'!B169)</f>
        <v/>
      </c>
      <c r="C169" t="str">
        <f>IF(A169="","",'Help Desk'!A169)</f>
        <v/>
      </c>
      <c r="D169" t="str">
        <f>IF(A169="","",'Account Creation'!X169)</f>
        <v/>
      </c>
      <c r="F169" t="str">
        <f t="shared" si="6"/>
        <v/>
      </c>
      <c r="G169" s="54" t="str">
        <f>IF(A169="","",'Account Creation'!G169)</f>
        <v/>
      </c>
      <c r="I169" t="str">
        <f t="shared" si="5"/>
        <v/>
      </c>
      <c r="K169" t="str">
        <f>IF(A169="","",'Account Creation'!W169)</f>
        <v/>
      </c>
      <c r="L169" t="str">
        <f>IF(A169="","",'Account Creation'!V169)</f>
        <v/>
      </c>
      <c r="P169" s="97" t="str">
        <f>IF('Help Desk'!D169="","",'Help Desk'!D169)</f>
        <v/>
      </c>
    </row>
    <row r="170" spans="1:16" x14ac:dyDescent="0.25">
      <c r="A170" t="str">
        <f>CONCATENATE('Help Desk'!D170, 'Account Creation'!AE170)</f>
        <v/>
      </c>
      <c r="B170" t="str">
        <f>IF(A170="","",'Account Creation'!B170)</f>
        <v/>
      </c>
      <c r="C170" t="str">
        <f>IF(A170="","",'Help Desk'!A170)</f>
        <v/>
      </c>
      <c r="D170" t="str">
        <f>IF(A170="","",'Account Creation'!X170)</f>
        <v/>
      </c>
      <c r="F170" t="str">
        <f t="shared" si="6"/>
        <v/>
      </c>
      <c r="G170" s="54" t="str">
        <f>IF(A170="","",'Account Creation'!G170)</f>
        <v/>
      </c>
      <c r="I170" t="str">
        <f t="shared" si="5"/>
        <v/>
      </c>
      <c r="K170" t="str">
        <f>IF(A170="","",'Account Creation'!W170)</f>
        <v/>
      </c>
      <c r="L170" t="str">
        <f>IF(A170="","",'Account Creation'!V170)</f>
        <v/>
      </c>
      <c r="P170" s="97" t="str">
        <f>IF('Help Desk'!D170="","",'Help Desk'!D170)</f>
        <v/>
      </c>
    </row>
    <row r="171" spans="1:16" x14ac:dyDescent="0.25">
      <c r="A171" t="str">
        <f>CONCATENATE('Help Desk'!D171, 'Account Creation'!AE171)</f>
        <v/>
      </c>
      <c r="B171" t="str">
        <f>IF(A171="","",'Account Creation'!B171)</f>
        <v/>
      </c>
      <c r="C171" t="str">
        <f>IF(A171="","",'Help Desk'!A171)</f>
        <v/>
      </c>
      <c r="D171" t="str">
        <f>IF(A171="","",'Account Creation'!X171)</f>
        <v/>
      </c>
      <c r="F171" t="str">
        <f t="shared" si="6"/>
        <v/>
      </c>
      <c r="G171" s="54" t="str">
        <f>IF(A171="","",'Account Creation'!G171)</f>
        <v/>
      </c>
      <c r="I171" t="str">
        <f t="shared" si="5"/>
        <v/>
      </c>
      <c r="K171" t="str">
        <f>IF(A171="","",'Account Creation'!W171)</f>
        <v/>
      </c>
      <c r="L171" t="str">
        <f>IF(A171="","",'Account Creation'!V171)</f>
        <v/>
      </c>
      <c r="P171" s="97" t="str">
        <f>IF('Help Desk'!D171="","",'Help Desk'!D171)</f>
        <v/>
      </c>
    </row>
    <row r="172" spans="1:16" x14ac:dyDescent="0.25">
      <c r="A172" t="str">
        <f>CONCATENATE('Help Desk'!D172, 'Account Creation'!AE172)</f>
        <v/>
      </c>
      <c r="B172" t="str">
        <f>IF(A172="","",'Account Creation'!B172)</f>
        <v/>
      </c>
      <c r="C172" t="str">
        <f>IF(A172="","",'Help Desk'!A172)</f>
        <v/>
      </c>
      <c r="D172" t="str">
        <f>IF(A172="","",'Account Creation'!X172)</f>
        <v/>
      </c>
      <c r="F172" t="str">
        <f t="shared" si="6"/>
        <v/>
      </c>
      <c r="G172" s="54" t="str">
        <f>IF(A172="","",'Account Creation'!G172)</f>
        <v/>
      </c>
      <c r="I172" t="str">
        <f t="shared" si="5"/>
        <v/>
      </c>
      <c r="K172" t="str">
        <f>IF(A172="","",'Account Creation'!W172)</f>
        <v/>
      </c>
      <c r="L172" t="str">
        <f>IF(A172="","",'Account Creation'!V172)</f>
        <v/>
      </c>
      <c r="P172" s="97" t="str">
        <f>IF('Help Desk'!D172="","",'Help Desk'!D172)</f>
        <v/>
      </c>
    </row>
    <row r="173" spans="1:16" x14ac:dyDescent="0.25">
      <c r="A173" t="str">
        <f>CONCATENATE('Help Desk'!D173, 'Account Creation'!AE173)</f>
        <v/>
      </c>
      <c r="B173" t="str">
        <f>IF(A173="","",'Account Creation'!B173)</f>
        <v/>
      </c>
      <c r="C173" t="str">
        <f>IF(A173="","",'Help Desk'!A173)</f>
        <v/>
      </c>
      <c r="D173" t="str">
        <f>IF(A173="","",'Account Creation'!X173)</f>
        <v/>
      </c>
      <c r="F173" t="str">
        <f t="shared" si="6"/>
        <v/>
      </c>
      <c r="G173" s="54" t="str">
        <f>IF(A173="","",'Account Creation'!G173)</f>
        <v/>
      </c>
      <c r="I173" t="str">
        <f t="shared" si="5"/>
        <v/>
      </c>
      <c r="K173" t="str">
        <f>IF(A173="","",'Account Creation'!W173)</f>
        <v/>
      </c>
      <c r="L173" t="str">
        <f>IF(A173="","",'Account Creation'!V173)</f>
        <v/>
      </c>
      <c r="P173" s="97" t="str">
        <f>IF('Help Desk'!D173="","",'Help Desk'!D173)</f>
        <v/>
      </c>
    </row>
    <row r="174" spans="1:16" x14ac:dyDescent="0.25">
      <c r="A174" t="str">
        <f>CONCATENATE('Help Desk'!D174, 'Account Creation'!AE174)</f>
        <v/>
      </c>
      <c r="B174" t="str">
        <f>IF(A174="","",'Account Creation'!B174)</f>
        <v/>
      </c>
      <c r="C174" t="str">
        <f>IF(A174="","",'Help Desk'!A174)</f>
        <v/>
      </c>
      <c r="D174" t="str">
        <f>IF(A174="","",'Account Creation'!X174)</f>
        <v/>
      </c>
      <c r="F174" t="str">
        <f t="shared" si="6"/>
        <v/>
      </c>
      <c r="G174" s="54" t="str">
        <f>IF(A174="","",'Account Creation'!G174)</f>
        <v/>
      </c>
      <c r="I174" t="str">
        <f t="shared" si="5"/>
        <v/>
      </c>
      <c r="K174" t="str">
        <f>IF(A174="","",'Account Creation'!W174)</f>
        <v/>
      </c>
      <c r="L174" t="str">
        <f>IF(A174="","",'Account Creation'!V174)</f>
        <v/>
      </c>
      <c r="P174" s="97" t="str">
        <f>IF('Help Desk'!D174="","",'Help Desk'!D174)</f>
        <v/>
      </c>
    </row>
    <row r="175" spans="1:16" x14ac:dyDescent="0.25">
      <c r="A175" t="str">
        <f>CONCATENATE('Help Desk'!D175, 'Account Creation'!AE175)</f>
        <v/>
      </c>
      <c r="B175" t="str">
        <f>IF(A175="","",'Account Creation'!B175)</f>
        <v/>
      </c>
      <c r="C175" t="str">
        <f>IF(A175="","",'Help Desk'!A175)</f>
        <v/>
      </c>
      <c r="D175" t="str">
        <f>IF(A175="","",'Account Creation'!X175)</f>
        <v/>
      </c>
      <c r="F175" t="str">
        <f t="shared" si="6"/>
        <v/>
      </c>
      <c r="G175" s="54" t="str">
        <f>IF(A175="","",'Account Creation'!G175)</f>
        <v/>
      </c>
      <c r="I175" t="str">
        <f t="shared" si="5"/>
        <v/>
      </c>
      <c r="K175" t="str">
        <f>IF(A175="","",'Account Creation'!W175)</f>
        <v/>
      </c>
      <c r="L175" t="str">
        <f>IF(A175="","",'Account Creation'!V175)</f>
        <v/>
      </c>
      <c r="P175" s="97" t="str">
        <f>IF('Help Desk'!D175="","",'Help Desk'!D175)</f>
        <v/>
      </c>
    </row>
    <row r="176" spans="1:16" x14ac:dyDescent="0.25">
      <c r="A176" t="str">
        <f>CONCATENATE('Help Desk'!D176, 'Account Creation'!AE176)</f>
        <v/>
      </c>
      <c r="B176" t="str">
        <f>IF(A176="","",'Account Creation'!B176)</f>
        <v/>
      </c>
      <c r="C176" t="str">
        <f>IF(A176="","",'Help Desk'!A176)</f>
        <v/>
      </c>
      <c r="D176" t="str">
        <f>IF(A176="","",'Account Creation'!X176)</f>
        <v/>
      </c>
      <c r="F176" t="str">
        <f t="shared" si="6"/>
        <v/>
      </c>
      <c r="G176" s="54" t="str">
        <f>IF(A176="","",'Account Creation'!G176)</f>
        <v/>
      </c>
      <c r="I176" t="str">
        <f t="shared" si="5"/>
        <v/>
      </c>
      <c r="K176" t="str">
        <f>IF(A176="","",'Account Creation'!W176)</f>
        <v/>
      </c>
      <c r="L176" t="str">
        <f>IF(A176="","",'Account Creation'!V176)</f>
        <v/>
      </c>
      <c r="P176" s="97" t="str">
        <f>IF('Help Desk'!D176="","",'Help Desk'!D176)</f>
        <v/>
      </c>
    </row>
    <row r="177" spans="1:16" x14ac:dyDescent="0.25">
      <c r="A177" t="str">
        <f>CONCATENATE('Help Desk'!D177, 'Account Creation'!AE177)</f>
        <v/>
      </c>
      <c r="B177" t="str">
        <f>IF(A177="","",'Account Creation'!B177)</f>
        <v/>
      </c>
      <c r="C177" t="str">
        <f>IF(A177="","",'Help Desk'!A177)</f>
        <v/>
      </c>
      <c r="D177" t="str">
        <f>IF(A177="","",'Account Creation'!X177)</f>
        <v/>
      </c>
      <c r="F177" t="str">
        <f t="shared" si="6"/>
        <v/>
      </c>
      <c r="G177" s="54" t="str">
        <f>IF(A177="","",'Account Creation'!G177)</f>
        <v/>
      </c>
      <c r="I177" t="str">
        <f t="shared" si="5"/>
        <v/>
      </c>
      <c r="K177" t="str">
        <f>IF(A177="","",'Account Creation'!W177)</f>
        <v/>
      </c>
      <c r="L177" t="str">
        <f>IF(A177="","",'Account Creation'!V177)</f>
        <v/>
      </c>
      <c r="P177" s="97" t="str">
        <f>IF('Help Desk'!D177="","",'Help Desk'!D177)</f>
        <v/>
      </c>
    </row>
    <row r="178" spans="1:16" x14ac:dyDescent="0.25">
      <c r="A178" t="str">
        <f>CONCATENATE('Help Desk'!D178, 'Account Creation'!AE178)</f>
        <v/>
      </c>
      <c r="B178" t="str">
        <f>IF(A178="","",'Account Creation'!B178)</f>
        <v/>
      </c>
      <c r="C178" t="str">
        <f>IF(A178="","",'Help Desk'!A178)</f>
        <v/>
      </c>
      <c r="D178" t="str">
        <f>IF(A178="","",'Account Creation'!X178)</f>
        <v/>
      </c>
      <c r="F178" t="str">
        <f t="shared" si="6"/>
        <v/>
      </c>
      <c r="G178" s="54" t="str">
        <f>IF(A178="","",'Account Creation'!G178)</f>
        <v/>
      </c>
      <c r="I178" t="str">
        <f t="shared" si="5"/>
        <v/>
      </c>
      <c r="K178" t="str">
        <f>IF(A178="","",'Account Creation'!W178)</f>
        <v/>
      </c>
      <c r="L178" t="str">
        <f>IF(A178="","",'Account Creation'!V178)</f>
        <v/>
      </c>
      <c r="P178" s="97" t="str">
        <f>IF('Help Desk'!D178="","",'Help Desk'!D178)</f>
        <v/>
      </c>
    </row>
    <row r="179" spans="1:16" x14ac:dyDescent="0.25">
      <c r="A179" t="str">
        <f>CONCATENATE('Help Desk'!D179, 'Account Creation'!AE179)</f>
        <v/>
      </c>
      <c r="B179" t="str">
        <f>IF(A179="","",'Account Creation'!B179)</f>
        <v/>
      </c>
      <c r="C179" t="str">
        <f>IF(A179="","",'Help Desk'!A179)</f>
        <v/>
      </c>
      <c r="D179" t="str">
        <f>IF(A179="","",'Account Creation'!X179)</f>
        <v/>
      </c>
      <c r="F179" t="str">
        <f t="shared" si="6"/>
        <v/>
      </c>
      <c r="G179" s="54" t="str">
        <f>IF(A179="","",'Account Creation'!G179)</f>
        <v/>
      </c>
      <c r="I179" t="str">
        <f t="shared" si="5"/>
        <v/>
      </c>
      <c r="K179" t="str">
        <f>IF(A179="","",'Account Creation'!W179)</f>
        <v/>
      </c>
      <c r="L179" t="str">
        <f>IF(A179="","",'Account Creation'!V179)</f>
        <v/>
      </c>
      <c r="P179" s="97" t="str">
        <f>IF('Help Desk'!D179="","",'Help Desk'!D179)</f>
        <v/>
      </c>
    </row>
    <row r="180" spans="1:16" x14ac:dyDescent="0.25">
      <c r="A180" t="str">
        <f>CONCATENATE('Help Desk'!D180, 'Account Creation'!AE180)</f>
        <v/>
      </c>
      <c r="B180" t="str">
        <f>IF(A180="","",'Account Creation'!B180)</f>
        <v/>
      </c>
      <c r="C180" t="str">
        <f>IF(A180="","",'Help Desk'!A180)</f>
        <v/>
      </c>
      <c r="D180" t="str">
        <f>IF(A180="","",'Account Creation'!X180)</f>
        <v/>
      </c>
      <c r="F180" t="str">
        <f t="shared" si="6"/>
        <v/>
      </c>
      <c r="G180" s="54" t="str">
        <f>IF(A180="","",'Account Creation'!G180)</f>
        <v/>
      </c>
      <c r="I180" t="str">
        <f t="shared" si="5"/>
        <v/>
      </c>
      <c r="K180" t="str">
        <f>IF(A180="","",'Account Creation'!W180)</f>
        <v/>
      </c>
      <c r="L180" t="str">
        <f>IF(A180="","",'Account Creation'!V180)</f>
        <v/>
      </c>
      <c r="P180" s="97" t="str">
        <f>IF('Help Desk'!D180="","",'Help Desk'!D180)</f>
        <v/>
      </c>
    </row>
    <row r="181" spans="1:16" x14ac:dyDescent="0.25">
      <c r="A181" t="str">
        <f>CONCATENATE('Help Desk'!D181, 'Account Creation'!AE181)</f>
        <v/>
      </c>
      <c r="B181" t="str">
        <f>IF(A181="","",'Account Creation'!B181)</f>
        <v/>
      </c>
      <c r="C181" t="str">
        <f>IF(A181="","",'Help Desk'!A181)</f>
        <v/>
      </c>
      <c r="D181" t="str">
        <f>IF(A181="","",'Account Creation'!X181)</f>
        <v/>
      </c>
      <c r="F181" t="str">
        <f t="shared" si="6"/>
        <v/>
      </c>
      <c r="G181" s="54" t="str">
        <f>IF(A181="","",'Account Creation'!G181)</f>
        <v/>
      </c>
      <c r="I181" t="str">
        <f t="shared" si="5"/>
        <v/>
      </c>
      <c r="K181" t="str">
        <f>IF(A181="","",'Account Creation'!W181)</f>
        <v/>
      </c>
      <c r="L181" t="str">
        <f>IF(A181="","",'Account Creation'!V181)</f>
        <v/>
      </c>
      <c r="P181" s="97" t="str">
        <f>IF('Help Desk'!D181="","",'Help Desk'!D181)</f>
        <v/>
      </c>
    </row>
    <row r="182" spans="1:16" x14ac:dyDescent="0.25">
      <c r="A182" t="str">
        <f>CONCATENATE('Help Desk'!D182, 'Account Creation'!AE182)</f>
        <v/>
      </c>
      <c r="B182" t="str">
        <f>IF(A182="","",'Account Creation'!B182)</f>
        <v/>
      </c>
      <c r="C182" t="str">
        <f>IF(A182="","",'Help Desk'!A182)</f>
        <v/>
      </c>
      <c r="D182" t="str">
        <f>IF(A182="","",'Account Creation'!X182)</f>
        <v/>
      </c>
      <c r="F182" t="str">
        <f t="shared" si="6"/>
        <v/>
      </c>
      <c r="G182" s="54" t="str">
        <f>IF(A182="","",'Account Creation'!G182)</f>
        <v/>
      </c>
      <c r="I182" t="str">
        <f t="shared" si="5"/>
        <v/>
      </c>
      <c r="K182" t="str">
        <f>IF(A182="","",'Account Creation'!W182)</f>
        <v/>
      </c>
      <c r="L182" t="str">
        <f>IF(A182="","",'Account Creation'!V182)</f>
        <v/>
      </c>
      <c r="P182" s="97" t="str">
        <f>IF('Help Desk'!D182="","",'Help Desk'!D182)</f>
        <v/>
      </c>
    </row>
    <row r="183" spans="1:16" x14ac:dyDescent="0.25">
      <c r="A183" t="str">
        <f>CONCATENATE('Help Desk'!D183, 'Account Creation'!AE183)</f>
        <v/>
      </c>
      <c r="B183" t="str">
        <f>IF(A183="","",'Account Creation'!B183)</f>
        <v/>
      </c>
      <c r="C183" t="str">
        <f>IF(A183="","",'Help Desk'!A183)</f>
        <v/>
      </c>
      <c r="D183" t="str">
        <f>IF(A183="","",'Account Creation'!X183)</f>
        <v/>
      </c>
      <c r="F183" t="str">
        <f t="shared" si="6"/>
        <v/>
      </c>
      <c r="G183" s="54" t="str">
        <f>IF(A183="","",'Account Creation'!G183)</f>
        <v/>
      </c>
      <c r="I183" t="str">
        <f t="shared" si="5"/>
        <v/>
      </c>
      <c r="K183" t="str">
        <f>IF(A183="","",'Account Creation'!W183)</f>
        <v/>
      </c>
      <c r="L183" t="str">
        <f>IF(A183="","",'Account Creation'!V183)</f>
        <v/>
      </c>
      <c r="P183" s="97" t="str">
        <f>IF('Help Desk'!D183="","",'Help Desk'!D183)</f>
        <v/>
      </c>
    </row>
    <row r="184" spans="1:16" x14ac:dyDescent="0.25">
      <c r="A184" t="str">
        <f>CONCATENATE('Help Desk'!D184, 'Account Creation'!AE184)</f>
        <v/>
      </c>
      <c r="B184" t="str">
        <f>IF(A184="","",'Account Creation'!B184)</f>
        <v/>
      </c>
      <c r="C184" t="str">
        <f>IF(A184="","",'Help Desk'!A184)</f>
        <v/>
      </c>
      <c r="D184" t="str">
        <f>IF(A184="","",'Account Creation'!X184)</f>
        <v/>
      </c>
      <c r="F184" t="str">
        <f t="shared" si="6"/>
        <v/>
      </c>
      <c r="G184" s="54" t="str">
        <f>IF(A184="","",'Account Creation'!G184)</f>
        <v/>
      </c>
      <c r="I184" t="str">
        <f t="shared" si="5"/>
        <v/>
      </c>
      <c r="K184" t="str">
        <f>IF(A184="","",'Account Creation'!W184)</f>
        <v/>
      </c>
      <c r="L184" t="str">
        <f>IF(A184="","",'Account Creation'!V184)</f>
        <v/>
      </c>
      <c r="P184" s="97" t="str">
        <f>IF('Help Desk'!D184="","",'Help Desk'!D184)</f>
        <v/>
      </c>
    </row>
    <row r="185" spans="1:16" x14ac:dyDescent="0.25">
      <c r="A185" t="str">
        <f>CONCATENATE('Help Desk'!D185, 'Account Creation'!AE185)</f>
        <v/>
      </c>
      <c r="B185" t="str">
        <f>IF(A185="","",'Account Creation'!B185)</f>
        <v/>
      </c>
      <c r="C185" t="str">
        <f>IF(A185="","",'Help Desk'!A185)</f>
        <v/>
      </c>
      <c r="D185" t="str">
        <f>IF(A185="","",'Account Creation'!X185)</f>
        <v/>
      </c>
      <c r="F185" t="str">
        <f t="shared" si="6"/>
        <v/>
      </c>
      <c r="G185" s="54" t="str">
        <f>IF(A185="","",'Account Creation'!G185)</f>
        <v/>
      </c>
      <c r="I185" t="str">
        <f t="shared" si="5"/>
        <v/>
      </c>
      <c r="K185" t="str">
        <f>IF(A185="","",'Account Creation'!W185)</f>
        <v/>
      </c>
      <c r="L185" t="str">
        <f>IF(A185="","",'Account Creation'!V185)</f>
        <v/>
      </c>
      <c r="P185" s="97" t="str">
        <f>IF('Help Desk'!D185="","",'Help Desk'!D185)</f>
        <v/>
      </c>
    </row>
    <row r="186" spans="1:16" x14ac:dyDescent="0.25">
      <c r="A186" t="str">
        <f>CONCATENATE('Help Desk'!D186, 'Account Creation'!AE186)</f>
        <v/>
      </c>
      <c r="B186" t="str">
        <f>IF(A186="","",'Account Creation'!B186)</f>
        <v/>
      </c>
      <c r="C186" t="str">
        <f>IF(A186="","",'Help Desk'!A186)</f>
        <v/>
      </c>
      <c r="D186" t="str">
        <f>IF(A186="","",'Account Creation'!X186)</f>
        <v/>
      </c>
      <c r="F186" t="str">
        <f t="shared" si="6"/>
        <v/>
      </c>
      <c r="G186" s="54" t="str">
        <f>IF(A186="","",'Account Creation'!G186)</f>
        <v/>
      </c>
      <c r="I186" t="str">
        <f t="shared" si="5"/>
        <v/>
      </c>
      <c r="K186" t="str">
        <f>IF(A186="","",'Account Creation'!W186)</f>
        <v/>
      </c>
      <c r="L186" t="str">
        <f>IF(A186="","",'Account Creation'!V186)</f>
        <v/>
      </c>
      <c r="P186" s="97" t="str">
        <f>IF('Help Desk'!D186="","",'Help Desk'!D186)</f>
        <v/>
      </c>
    </row>
    <row r="187" spans="1:16" x14ac:dyDescent="0.25">
      <c r="A187" t="str">
        <f>CONCATENATE('Help Desk'!D187, 'Account Creation'!AE187)</f>
        <v/>
      </c>
      <c r="B187" t="str">
        <f>IF(A187="","",'Account Creation'!B187)</f>
        <v/>
      </c>
      <c r="C187" t="str">
        <f>IF(A187="","",'Help Desk'!A187)</f>
        <v/>
      </c>
      <c r="D187" t="str">
        <f>IF(A187="","",'Account Creation'!X187)</f>
        <v/>
      </c>
      <c r="F187" t="str">
        <f t="shared" si="6"/>
        <v/>
      </c>
      <c r="G187" s="54" t="str">
        <f>IF(A187="","",'Account Creation'!G187)</f>
        <v/>
      </c>
      <c r="I187" t="str">
        <f t="shared" si="5"/>
        <v/>
      </c>
      <c r="K187" t="str">
        <f>IF(A187="","",'Account Creation'!W187)</f>
        <v/>
      </c>
      <c r="L187" t="str">
        <f>IF(A187="","",'Account Creation'!V187)</f>
        <v/>
      </c>
      <c r="P187" s="97" t="str">
        <f>IF('Help Desk'!D187="","",'Help Desk'!D187)</f>
        <v/>
      </c>
    </row>
    <row r="188" spans="1:16" x14ac:dyDescent="0.25">
      <c r="A188" t="str">
        <f>CONCATENATE('Help Desk'!D188, 'Account Creation'!AE188)</f>
        <v/>
      </c>
      <c r="B188" t="str">
        <f>IF(A188="","",'Account Creation'!B188)</f>
        <v/>
      </c>
      <c r="C188" t="str">
        <f>IF(A188="","",'Help Desk'!A188)</f>
        <v/>
      </c>
      <c r="D188" t="str">
        <f>IF(A188="","",'Account Creation'!X188)</f>
        <v/>
      </c>
      <c r="F188" t="str">
        <f t="shared" si="6"/>
        <v/>
      </c>
      <c r="G188" s="54" t="str">
        <f>IF(A188="","",'Account Creation'!G188)</f>
        <v/>
      </c>
      <c r="I188" t="str">
        <f t="shared" si="5"/>
        <v/>
      </c>
      <c r="K188" t="str">
        <f>IF(A188="","",'Account Creation'!W188)</f>
        <v/>
      </c>
      <c r="L188" t="str">
        <f>IF(A188="","",'Account Creation'!V188)</f>
        <v/>
      </c>
      <c r="P188" s="97" t="str">
        <f>IF('Help Desk'!D188="","",'Help Desk'!D188)</f>
        <v/>
      </c>
    </row>
    <row r="189" spans="1:16" x14ac:dyDescent="0.25">
      <c r="A189" t="str">
        <f>CONCATENATE('Help Desk'!D189, 'Account Creation'!AE189)</f>
        <v/>
      </c>
      <c r="B189" t="str">
        <f>IF(A189="","",'Account Creation'!B189)</f>
        <v/>
      </c>
      <c r="C189" t="str">
        <f>IF(A189="","",'Help Desk'!A189)</f>
        <v/>
      </c>
      <c r="D189" t="str">
        <f>IF(A189="","",'Account Creation'!X189)</f>
        <v/>
      </c>
      <c r="F189" t="str">
        <f t="shared" si="6"/>
        <v/>
      </c>
      <c r="G189" s="54" t="str">
        <f>IF(A189="","",'Account Creation'!G189)</f>
        <v/>
      </c>
      <c r="I189" t="str">
        <f t="shared" si="5"/>
        <v/>
      </c>
      <c r="K189" t="str">
        <f>IF(A189="","",'Account Creation'!W189)</f>
        <v/>
      </c>
      <c r="L189" t="str">
        <f>IF(A189="","",'Account Creation'!V189)</f>
        <v/>
      </c>
      <c r="P189" s="97" t="str">
        <f>IF('Help Desk'!D189="","",'Help Desk'!D189)</f>
        <v/>
      </c>
    </row>
    <row r="190" spans="1:16" x14ac:dyDescent="0.25">
      <c r="A190" t="str">
        <f>CONCATENATE('Help Desk'!D190, 'Account Creation'!AE190)</f>
        <v/>
      </c>
      <c r="B190" t="str">
        <f>IF(A190="","",'Account Creation'!B190)</f>
        <v/>
      </c>
      <c r="C190" t="str">
        <f>IF(A190="","",'Help Desk'!A190)</f>
        <v/>
      </c>
      <c r="D190" t="str">
        <f>IF(A190="","",'Account Creation'!X190)</f>
        <v/>
      </c>
      <c r="F190" t="str">
        <f t="shared" si="6"/>
        <v/>
      </c>
      <c r="G190" s="54" t="str">
        <f>IF(A190="","",'Account Creation'!G190)</f>
        <v/>
      </c>
      <c r="I190" t="str">
        <f t="shared" si="5"/>
        <v/>
      </c>
      <c r="K190" t="str">
        <f>IF(A190="","",'Account Creation'!W190)</f>
        <v/>
      </c>
      <c r="L190" t="str">
        <f>IF(A190="","",'Account Creation'!V190)</f>
        <v/>
      </c>
      <c r="P190" s="97" t="str">
        <f>IF('Help Desk'!D190="","",'Help Desk'!D190)</f>
        <v/>
      </c>
    </row>
    <row r="191" spans="1:16" x14ac:dyDescent="0.25">
      <c r="A191" t="str">
        <f>CONCATENATE('Help Desk'!D191, 'Account Creation'!AE191)</f>
        <v/>
      </c>
      <c r="B191" t="str">
        <f>IF(A191="","",'Account Creation'!B191)</f>
        <v/>
      </c>
      <c r="C191" t="str">
        <f>IF(A191="","",'Help Desk'!A191)</f>
        <v/>
      </c>
      <c r="D191" t="str">
        <f>IF(A191="","",'Account Creation'!X191)</f>
        <v/>
      </c>
      <c r="F191" t="str">
        <f t="shared" si="6"/>
        <v/>
      </c>
      <c r="G191" s="54" t="str">
        <f>IF(A191="","",'Account Creation'!G191)</f>
        <v/>
      </c>
      <c r="I191" t="str">
        <f t="shared" si="5"/>
        <v/>
      </c>
      <c r="K191" t="str">
        <f>IF(A191="","",'Account Creation'!W191)</f>
        <v/>
      </c>
      <c r="L191" t="str">
        <f>IF(A191="","",'Account Creation'!V191)</f>
        <v/>
      </c>
      <c r="P191" s="97" t="str">
        <f>IF('Help Desk'!D191="","",'Help Desk'!D191)</f>
        <v/>
      </c>
    </row>
    <row r="192" spans="1:16" x14ac:dyDescent="0.25">
      <c r="A192" t="str">
        <f>CONCATENATE('Help Desk'!D192, 'Account Creation'!AE192)</f>
        <v/>
      </c>
      <c r="B192" t="str">
        <f>IF(A192="","",'Account Creation'!B192)</f>
        <v/>
      </c>
      <c r="C192" t="str">
        <f>IF(A192="","",'Help Desk'!A192)</f>
        <v/>
      </c>
      <c r="D192" t="str">
        <f>IF(A192="","",'Account Creation'!X192)</f>
        <v/>
      </c>
      <c r="F192" t="str">
        <f t="shared" si="6"/>
        <v/>
      </c>
      <c r="G192" s="54" t="str">
        <f>IF(A192="","",'Account Creation'!G192)</f>
        <v/>
      </c>
      <c r="I192" t="str">
        <f t="shared" si="5"/>
        <v/>
      </c>
      <c r="K192" t="str">
        <f>IF(A192="","",'Account Creation'!W192)</f>
        <v/>
      </c>
      <c r="L192" t="str">
        <f>IF(A192="","",'Account Creation'!V192)</f>
        <v/>
      </c>
      <c r="P192" s="97" t="str">
        <f>IF('Help Desk'!D192="","",'Help Desk'!D192)</f>
        <v/>
      </c>
    </row>
    <row r="193" spans="1:16" x14ac:dyDescent="0.25">
      <c r="A193" t="str">
        <f>CONCATENATE('Help Desk'!D193, 'Account Creation'!AE193)</f>
        <v/>
      </c>
      <c r="B193" t="str">
        <f>IF(A193="","",'Account Creation'!B193)</f>
        <v/>
      </c>
      <c r="C193" t="str">
        <f>IF(A193="","",'Help Desk'!A193)</f>
        <v/>
      </c>
      <c r="D193" t="str">
        <f>IF(A193="","",'Account Creation'!X193)</f>
        <v/>
      </c>
      <c r="F193" t="str">
        <f t="shared" si="6"/>
        <v/>
      </c>
      <c r="G193" s="54" t="str">
        <f>IF(A193="","",'Account Creation'!G193)</f>
        <v/>
      </c>
      <c r="I193" t="str">
        <f t="shared" si="5"/>
        <v/>
      </c>
      <c r="K193" t="str">
        <f>IF(A193="","",'Account Creation'!W193)</f>
        <v/>
      </c>
      <c r="L193" t="str">
        <f>IF(A193="","",'Account Creation'!V193)</f>
        <v/>
      </c>
      <c r="P193" s="97" t="str">
        <f>IF('Help Desk'!D193="","",'Help Desk'!D193)</f>
        <v/>
      </c>
    </row>
    <row r="194" spans="1:16" x14ac:dyDescent="0.25">
      <c r="A194" t="str">
        <f>CONCATENATE('Help Desk'!D194, 'Account Creation'!AE194)</f>
        <v/>
      </c>
      <c r="B194" t="str">
        <f>IF(A194="","",'Account Creation'!B194)</f>
        <v/>
      </c>
      <c r="C194" t="str">
        <f>IF(A194="","",'Help Desk'!A194)</f>
        <v/>
      </c>
      <c r="D194" t="str">
        <f>IF(A194="","",'Account Creation'!X194)</f>
        <v/>
      </c>
      <c r="F194" t="str">
        <f t="shared" si="6"/>
        <v/>
      </c>
      <c r="G194" s="54" t="str">
        <f>IF(A194="","",'Account Creation'!G194)</f>
        <v/>
      </c>
      <c r="I194" t="str">
        <f t="shared" ref="I194:I250" si="7">IF(A194="","","TRUE")</f>
        <v/>
      </c>
      <c r="K194" t="str">
        <f>IF(A194="","",'Account Creation'!W194)</f>
        <v/>
      </c>
      <c r="L194" t="str">
        <f>IF(A194="","",'Account Creation'!V194)</f>
        <v/>
      </c>
      <c r="P194" s="97" t="str">
        <f>IF('Help Desk'!D194="","",'Help Desk'!D194)</f>
        <v/>
      </c>
    </row>
    <row r="195" spans="1:16" x14ac:dyDescent="0.25">
      <c r="A195" t="str">
        <f>CONCATENATE('Help Desk'!D195, 'Account Creation'!AE195)</f>
        <v/>
      </c>
      <c r="B195" t="str">
        <f>IF(A195="","",'Account Creation'!B195)</f>
        <v/>
      </c>
      <c r="C195" t="str">
        <f>IF(A195="","",'Help Desk'!A195)</f>
        <v/>
      </c>
      <c r="D195" t="str">
        <f>IF(A195="","",'Account Creation'!X195)</f>
        <v/>
      </c>
      <c r="F195" t="str">
        <f t="shared" si="6"/>
        <v/>
      </c>
      <c r="G195" s="54" t="str">
        <f>IF(A195="","",'Account Creation'!G195)</f>
        <v/>
      </c>
      <c r="I195" t="str">
        <f t="shared" si="7"/>
        <v/>
      </c>
      <c r="K195" t="str">
        <f>IF(A195="","",'Account Creation'!W195)</f>
        <v/>
      </c>
      <c r="L195" t="str">
        <f>IF(A195="","",'Account Creation'!V195)</f>
        <v/>
      </c>
      <c r="P195" s="97" t="str">
        <f>IF('Help Desk'!D195="","",'Help Desk'!D195)</f>
        <v/>
      </c>
    </row>
    <row r="196" spans="1:16" x14ac:dyDescent="0.25">
      <c r="A196" t="str">
        <f>CONCATENATE('Help Desk'!D196, 'Account Creation'!AE196)</f>
        <v/>
      </c>
      <c r="B196" t="str">
        <f>IF(A196="","",'Account Creation'!B196)</f>
        <v/>
      </c>
      <c r="C196" t="str">
        <f>IF(A196="","",'Help Desk'!A196)</f>
        <v/>
      </c>
      <c r="D196" t="str">
        <f>IF(A196="","",'Account Creation'!X196)</f>
        <v/>
      </c>
      <c r="F196" t="str">
        <f t="shared" si="6"/>
        <v/>
      </c>
      <c r="G196" s="54" t="str">
        <f>IF(A196="","",'Account Creation'!G196)</f>
        <v/>
      </c>
      <c r="I196" t="str">
        <f t="shared" si="7"/>
        <v/>
      </c>
      <c r="K196" t="str">
        <f>IF(A196="","",'Account Creation'!W196)</f>
        <v/>
      </c>
      <c r="L196" t="str">
        <f>IF(A196="","",'Account Creation'!V196)</f>
        <v/>
      </c>
      <c r="P196" s="97" t="str">
        <f>IF('Help Desk'!D196="","",'Help Desk'!D196)</f>
        <v/>
      </c>
    </row>
    <row r="197" spans="1:16" x14ac:dyDescent="0.25">
      <c r="A197" t="str">
        <f>CONCATENATE('Help Desk'!D197, 'Account Creation'!AE197)</f>
        <v/>
      </c>
      <c r="B197" t="str">
        <f>IF(A197="","",'Account Creation'!B197)</f>
        <v/>
      </c>
      <c r="C197" t="str">
        <f>IF(A197="","",'Help Desk'!A197)</f>
        <v/>
      </c>
      <c r="D197" t="str">
        <f>IF(A197="","",'Account Creation'!X197)</f>
        <v/>
      </c>
      <c r="F197" t="str">
        <f t="shared" ref="F197:F251" si="8">IF(A197="","","America/Chicago")</f>
        <v/>
      </c>
      <c r="G197" s="54" t="str">
        <f>IF(A197="","",'Account Creation'!G197)</f>
        <v/>
      </c>
      <c r="I197" t="str">
        <f t="shared" si="7"/>
        <v/>
      </c>
      <c r="K197" t="str">
        <f>IF(A197="","",'Account Creation'!W197)</f>
        <v/>
      </c>
      <c r="L197" t="str">
        <f>IF(A197="","",'Account Creation'!V197)</f>
        <v/>
      </c>
      <c r="P197" s="97" t="str">
        <f>IF('Help Desk'!D197="","",'Help Desk'!D197)</f>
        <v/>
      </c>
    </row>
    <row r="198" spans="1:16" x14ac:dyDescent="0.25">
      <c r="A198" t="str">
        <f>CONCATENATE('Help Desk'!D198, 'Account Creation'!AE198)</f>
        <v/>
      </c>
      <c r="B198" t="str">
        <f>IF(A198="","",'Account Creation'!B198)</f>
        <v/>
      </c>
      <c r="C198" t="str">
        <f>IF(A198="","",'Help Desk'!A198)</f>
        <v/>
      </c>
      <c r="D198" t="str">
        <f>IF(A198="","",'Account Creation'!X198)</f>
        <v/>
      </c>
      <c r="F198" t="str">
        <f t="shared" si="8"/>
        <v/>
      </c>
      <c r="G198" s="54" t="str">
        <f>IF(A198="","",'Account Creation'!G198)</f>
        <v/>
      </c>
      <c r="I198" t="str">
        <f t="shared" si="7"/>
        <v/>
      </c>
      <c r="K198" t="str">
        <f>IF(A198="","",'Account Creation'!W198)</f>
        <v/>
      </c>
      <c r="L198" t="str">
        <f>IF(A198="","",'Account Creation'!V198)</f>
        <v/>
      </c>
      <c r="P198" s="97" t="str">
        <f>IF('Help Desk'!D198="","",'Help Desk'!D198)</f>
        <v/>
      </c>
    </row>
    <row r="199" spans="1:16" x14ac:dyDescent="0.25">
      <c r="A199" t="str">
        <f>CONCATENATE('Help Desk'!D199, 'Account Creation'!AE199)</f>
        <v/>
      </c>
      <c r="B199" t="str">
        <f>IF(A199="","",'Account Creation'!B199)</f>
        <v/>
      </c>
      <c r="C199" t="str">
        <f>IF(A199="","",'Help Desk'!A199)</f>
        <v/>
      </c>
      <c r="D199" t="str">
        <f>IF(A199="","",'Account Creation'!X199)</f>
        <v/>
      </c>
      <c r="F199" t="str">
        <f t="shared" si="8"/>
        <v/>
      </c>
      <c r="G199" s="54" t="str">
        <f>IF(A199="","",'Account Creation'!G199)</f>
        <v/>
      </c>
      <c r="I199" t="str">
        <f t="shared" si="7"/>
        <v/>
      </c>
      <c r="K199" t="str">
        <f>IF(A199="","",'Account Creation'!W199)</f>
        <v/>
      </c>
      <c r="L199" t="str">
        <f>IF(A199="","",'Account Creation'!V199)</f>
        <v/>
      </c>
      <c r="P199" s="97" t="str">
        <f>IF('Help Desk'!D199="","",'Help Desk'!D199)</f>
        <v/>
      </c>
    </row>
    <row r="200" spans="1:16" x14ac:dyDescent="0.25">
      <c r="A200" t="str">
        <f>CONCATENATE('Help Desk'!D200, 'Account Creation'!AE200)</f>
        <v/>
      </c>
      <c r="B200" t="str">
        <f>IF(A200="","",'Account Creation'!B200)</f>
        <v/>
      </c>
      <c r="C200" t="str">
        <f>IF(A200="","",'Help Desk'!A200)</f>
        <v/>
      </c>
      <c r="D200" t="str">
        <f>IF(A200="","",'Account Creation'!X200)</f>
        <v/>
      </c>
      <c r="F200" t="str">
        <f t="shared" si="8"/>
        <v/>
      </c>
      <c r="G200" s="54" t="str">
        <f>IF(A200="","",'Account Creation'!G200)</f>
        <v/>
      </c>
      <c r="I200" t="str">
        <f t="shared" si="7"/>
        <v/>
      </c>
      <c r="K200" t="str">
        <f>IF(A200="","",'Account Creation'!W200)</f>
        <v/>
      </c>
      <c r="L200" t="str">
        <f>IF(A200="","",'Account Creation'!V200)</f>
        <v/>
      </c>
      <c r="P200" s="97" t="str">
        <f>IF('Help Desk'!D200="","",'Help Desk'!D200)</f>
        <v/>
      </c>
    </row>
    <row r="201" spans="1:16" x14ac:dyDescent="0.25">
      <c r="A201" t="str">
        <f>CONCATENATE('Help Desk'!D201, 'Account Creation'!AE201)</f>
        <v/>
      </c>
      <c r="B201" t="str">
        <f>IF(A201="","",'Account Creation'!B201)</f>
        <v/>
      </c>
      <c r="C201" t="str">
        <f>IF(A201="","",'Help Desk'!A201)</f>
        <v/>
      </c>
      <c r="D201" t="str">
        <f>IF(A201="","",'Account Creation'!X201)</f>
        <v/>
      </c>
      <c r="F201" t="str">
        <f t="shared" si="8"/>
        <v/>
      </c>
      <c r="G201" s="54" t="str">
        <f>IF(A201="","",'Account Creation'!G201)</f>
        <v/>
      </c>
      <c r="I201" t="str">
        <f t="shared" si="7"/>
        <v/>
      </c>
      <c r="K201" t="str">
        <f>IF(A201="","",'Account Creation'!W201)</f>
        <v/>
      </c>
      <c r="L201" t="str">
        <f>IF(A201="","",'Account Creation'!V201)</f>
        <v/>
      </c>
      <c r="P201" s="97" t="str">
        <f>IF('Help Desk'!D201="","",'Help Desk'!D201)</f>
        <v/>
      </c>
    </row>
    <row r="202" spans="1:16" x14ac:dyDescent="0.25">
      <c r="A202" t="str">
        <f>CONCATENATE('Help Desk'!D202, 'Account Creation'!AE202)</f>
        <v/>
      </c>
      <c r="B202" t="str">
        <f>IF(A202="","",'Account Creation'!B202)</f>
        <v/>
      </c>
      <c r="C202" t="str">
        <f>IF(A202="","",'Help Desk'!A202)</f>
        <v/>
      </c>
      <c r="D202" t="str">
        <f>IF(A202="","",'Account Creation'!X202)</f>
        <v/>
      </c>
      <c r="F202" t="str">
        <f t="shared" si="8"/>
        <v/>
      </c>
      <c r="G202" s="54" t="str">
        <f>IF(A202="","",'Account Creation'!G202)</f>
        <v/>
      </c>
      <c r="I202" t="str">
        <f t="shared" si="7"/>
        <v/>
      </c>
      <c r="K202" t="str">
        <f>IF(A202="","",'Account Creation'!W202)</f>
        <v/>
      </c>
      <c r="L202" t="str">
        <f>IF(A202="","",'Account Creation'!V202)</f>
        <v/>
      </c>
      <c r="P202" s="97" t="str">
        <f>IF('Help Desk'!D202="","",'Help Desk'!D202)</f>
        <v/>
      </c>
    </row>
    <row r="203" spans="1:16" x14ac:dyDescent="0.25">
      <c r="A203" t="str">
        <f>CONCATENATE('Help Desk'!D203, 'Account Creation'!AE203)</f>
        <v/>
      </c>
      <c r="B203" t="str">
        <f>IF(A203="","",'Account Creation'!B203)</f>
        <v/>
      </c>
      <c r="C203" t="str">
        <f>IF(A203="","",'Help Desk'!A203)</f>
        <v/>
      </c>
      <c r="D203" t="str">
        <f>IF(A203="","",'Account Creation'!X203)</f>
        <v/>
      </c>
      <c r="F203" t="str">
        <f t="shared" si="8"/>
        <v/>
      </c>
      <c r="G203" s="54" t="str">
        <f>IF(A203="","",'Account Creation'!G203)</f>
        <v/>
      </c>
      <c r="I203" t="str">
        <f t="shared" si="7"/>
        <v/>
      </c>
      <c r="K203" t="str">
        <f>IF(A203="","",'Account Creation'!W203)</f>
        <v/>
      </c>
      <c r="L203" t="str">
        <f>IF(A203="","",'Account Creation'!V203)</f>
        <v/>
      </c>
      <c r="P203" s="97" t="str">
        <f>IF('Help Desk'!D203="","",'Help Desk'!D203)</f>
        <v/>
      </c>
    </row>
    <row r="204" spans="1:16" x14ac:dyDescent="0.25">
      <c r="A204" t="str">
        <f>CONCATENATE('Help Desk'!D204, 'Account Creation'!AE204)</f>
        <v/>
      </c>
      <c r="B204" t="str">
        <f>IF(A204="","",'Account Creation'!B204)</f>
        <v/>
      </c>
      <c r="C204" t="str">
        <f>IF(A204="","",'Help Desk'!A204)</f>
        <v/>
      </c>
      <c r="D204" t="str">
        <f>IF(A204="","",'Account Creation'!X204)</f>
        <v/>
      </c>
      <c r="F204" t="str">
        <f t="shared" si="8"/>
        <v/>
      </c>
      <c r="G204" s="54" t="str">
        <f>IF(A204="","",'Account Creation'!G204)</f>
        <v/>
      </c>
      <c r="I204" t="str">
        <f t="shared" si="7"/>
        <v/>
      </c>
      <c r="K204" t="str">
        <f>IF(A204="","",'Account Creation'!W204)</f>
        <v/>
      </c>
      <c r="L204" t="str">
        <f>IF(A204="","",'Account Creation'!V204)</f>
        <v/>
      </c>
      <c r="P204" s="97" t="str">
        <f>IF('Help Desk'!D204="","",'Help Desk'!D204)</f>
        <v/>
      </c>
    </row>
    <row r="205" spans="1:16" x14ac:dyDescent="0.25">
      <c r="A205" t="str">
        <f>CONCATENATE('Help Desk'!D205, 'Account Creation'!AE205)</f>
        <v/>
      </c>
      <c r="B205" t="str">
        <f>IF(A205="","",'Account Creation'!B205)</f>
        <v/>
      </c>
      <c r="C205" t="str">
        <f>IF(A205="","",'Help Desk'!A205)</f>
        <v/>
      </c>
      <c r="D205" t="str">
        <f>IF(A205="","",'Account Creation'!X205)</f>
        <v/>
      </c>
      <c r="F205" t="str">
        <f t="shared" si="8"/>
        <v/>
      </c>
      <c r="G205" s="54" t="str">
        <f>IF(A205="","",'Account Creation'!G205)</f>
        <v/>
      </c>
      <c r="I205" t="str">
        <f t="shared" si="7"/>
        <v/>
      </c>
      <c r="K205" t="str">
        <f>IF(A205="","",'Account Creation'!W205)</f>
        <v/>
      </c>
      <c r="L205" t="str">
        <f>IF(A205="","",'Account Creation'!V205)</f>
        <v/>
      </c>
      <c r="P205" s="97" t="str">
        <f>IF('Help Desk'!D205="","",'Help Desk'!D205)</f>
        <v/>
      </c>
    </row>
    <row r="206" spans="1:16" x14ac:dyDescent="0.25">
      <c r="A206" t="str">
        <f>CONCATENATE('Help Desk'!D206, 'Account Creation'!AE206)</f>
        <v/>
      </c>
      <c r="B206" t="str">
        <f>IF(A206="","",'Account Creation'!B206)</f>
        <v/>
      </c>
      <c r="C206" t="str">
        <f>IF(A206="","",'Help Desk'!A206)</f>
        <v/>
      </c>
      <c r="D206" t="str">
        <f>IF(A206="","",'Account Creation'!X206)</f>
        <v/>
      </c>
      <c r="F206" t="str">
        <f t="shared" si="8"/>
        <v/>
      </c>
      <c r="G206" s="54" t="str">
        <f>IF(A206="","",'Account Creation'!G206)</f>
        <v/>
      </c>
      <c r="I206" t="str">
        <f t="shared" si="7"/>
        <v/>
      </c>
      <c r="K206" t="str">
        <f>IF(A206="","",'Account Creation'!W206)</f>
        <v/>
      </c>
      <c r="L206" t="str">
        <f>IF(A206="","",'Account Creation'!V206)</f>
        <v/>
      </c>
      <c r="P206" s="97" t="str">
        <f>IF('Help Desk'!D206="","",'Help Desk'!D206)</f>
        <v/>
      </c>
    </row>
    <row r="207" spans="1:16" x14ac:dyDescent="0.25">
      <c r="A207" t="str">
        <f>CONCATENATE('Help Desk'!D207, 'Account Creation'!AE207)</f>
        <v/>
      </c>
      <c r="B207" t="str">
        <f>IF(A207="","",'Account Creation'!B207)</f>
        <v/>
      </c>
      <c r="C207" t="str">
        <f>IF(A207="","",'Help Desk'!A207)</f>
        <v/>
      </c>
      <c r="D207" t="str">
        <f>IF(A207="","",'Account Creation'!X207)</f>
        <v/>
      </c>
      <c r="F207" t="str">
        <f t="shared" si="8"/>
        <v/>
      </c>
      <c r="G207" s="54" t="str">
        <f>IF(A207="","",'Account Creation'!G207)</f>
        <v/>
      </c>
      <c r="I207" t="str">
        <f t="shared" si="7"/>
        <v/>
      </c>
      <c r="K207" t="str">
        <f>IF(A207="","",'Account Creation'!W207)</f>
        <v/>
      </c>
      <c r="L207" t="str">
        <f>IF(A207="","",'Account Creation'!V207)</f>
        <v/>
      </c>
      <c r="P207" s="97" t="str">
        <f>IF('Help Desk'!D207="","",'Help Desk'!D207)</f>
        <v/>
      </c>
    </row>
    <row r="208" spans="1:16" x14ac:dyDescent="0.25">
      <c r="A208" t="str">
        <f>CONCATENATE('Help Desk'!D208, 'Account Creation'!AE208)</f>
        <v/>
      </c>
      <c r="B208" t="str">
        <f>IF(A208="","",'Account Creation'!B208)</f>
        <v/>
      </c>
      <c r="C208" t="str">
        <f>IF(A208="","",'Help Desk'!A208)</f>
        <v/>
      </c>
      <c r="D208" t="str">
        <f>IF(A208="","",'Account Creation'!X208)</f>
        <v/>
      </c>
      <c r="F208" t="str">
        <f t="shared" si="8"/>
        <v/>
      </c>
      <c r="G208" s="54" t="str">
        <f>IF(A208="","",'Account Creation'!G208)</f>
        <v/>
      </c>
      <c r="I208" t="str">
        <f t="shared" si="7"/>
        <v/>
      </c>
      <c r="K208" t="str">
        <f>IF(A208="","",'Account Creation'!W208)</f>
        <v/>
      </c>
      <c r="L208" t="str">
        <f>IF(A208="","",'Account Creation'!V208)</f>
        <v/>
      </c>
      <c r="P208" s="97" t="str">
        <f>IF('Help Desk'!D208="","",'Help Desk'!D208)</f>
        <v/>
      </c>
    </row>
    <row r="209" spans="1:16" x14ac:dyDescent="0.25">
      <c r="A209" t="str">
        <f>CONCATENATE('Help Desk'!D209, 'Account Creation'!AE209)</f>
        <v/>
      </c>
      <c r="B209" t="str">
        <f>IF(A209="","",'Account Creation'!B209)</f>
        <v/>
      </c>
      <c r="C209" t="str">
        <f>IF(A209="","",'Help Desk'!A209)</f>
        <v/>
      </c>
      <c r="D209" t="str">
        <f>IF(A209="","",'Account Creation'!X209)</f>
        <v/>
      </c>
      <c r="F209" t="str">
        <f t="shared" si="8"/>
        <v/>
      </c>
      <c r="G209" s="54" t="str">
        <f>IF(A209="","",'Account Creation'!G209)</f>
        <v/>
      </c>
      <c r="I209" t="str">
        <f t="shared" si="7"/>
        <v/>
      </c>
      <c r="K209" t="str">
        <f>IF(A209="","",'Account Creation'!W209)</f>
        <v/>
      </c>
      <c r="L209" t="str">
        <f>IF(A209="","",'Account Creation'!V209)</f>
        <v/>
      </c>
      <c r="P209" s="97" t="str">
        <f>IF('Help Desk'!D209="","",'Help Desk'!D209)</f>
        <v/>
      </c>
    </row>
    <row r="210" spans="1:16" x14ac:dyDescent="0.25">
      <c r="A210" t="str">
        <f>CONCATENATE('Help Desk'!D210, 'Account Creation'!AE210)</f>
        <v/>
      </c>
      <c r="B210" t="str">
        <f>IF(A210="","",'Account Creation'!B210)</f>
        <v/>
      </c>
      <c r="C210" t="str">
        <f>IF(A210="","",'Help Desk'!A210)</f>
        <v/>
      </c>
      <c r="D210" t="str">
        <f>IF(A210="","",'Account Creation'!X210)</f>
        <v/>
      </c>
      <c r="F210" t="str">
        <f t="shared" si="8"/>
        <v/>
      </c>
      <c r="G210" s="54" t="str">
        <f>IF(A210="","",'Account Creation'!G210)</f>
        <v/>
      </c>
      <c r="I210" t="str">
        <f t="shared" si="7"/>
        <v/>
      </c>
      <c r="K210" t="str">
        <f>IF(A210="","",'Account Creation'!W210)</f>
        <v/>
      </c>
      <c r="L210" t="str">
        <f>IF(A210="","",'Account Creation'!V210)</f>
        <v/>
      </c>
      <c r="P210" s="97" t="str">
        <f>IF('Help Desk'!D210="","",'Help Desk'!D210)</f>
        <v/>
      </c>
    </row>
    <row r="211" spans="1:16" x14ac:dyDescent="0.25">
      <c r="A211" t="str">
        <f>CONCATENATE('Help Desk'!D211, 'Account Creation'!AE211)</f>
        <v/>
      </c>
      <c r="B211" t="str">
        <f>IF(A211="","",'Account Creation'!B211)</f>
        <v/>
      </c>
      <c r="C211" t="str">
        <f>IF(A211="","",'Help Desk'!A211)</f>
        <v/>
      </c>
      <c r="D211" t="str">
        <f>IF(A211="","",'Account Creation'!X211)</f>
        <v/>
      </c>
      <c r="F211" t="str">
        <f t="shared" si="8"/>
        <v/>
      </c>
      <c r="G211" s="54" t="str">
        <f>IF(A211="","",'Account Creation'!G211)</f>
        <v/>
      </c>
      <c r="I211" t="str">
        <f t="shared" si="7"/>
        <v/>
      </c>
      <c r="K211" t="str">
        <f>IF(A211="","",'Account Creation'!W211)</f>
        <v/>
      </c>
      <c r="L211" t="str">
        <f>IF(A211="","",'Account Creation'!V211)</f>
        <v/>
      </c>
      <c r="P211" s="97" t="str">
        <f>IF('Help Desk'!D211="","",'Help Desk'!D211)</f>
        <v/>
      </c>
    </row>
    <row r="212" spans="1:16" x14ac:dyDescent="0.25">
      <c r="A212" t="str">
        <f>CONCATENATE('Help Desk'!D212, 'Account Creation'!AE212)</f>
        <v/>
      </c>
      <c r="B212" t="str">
        <f>IF(A212="","",'Account Creation'!B212)</f>
        <v/>
      </c>
      <c r="C212" t="str">
        <f>IF(A212="","",'Help Desk'!A212)</f>
        <v/>
      </c>
      <c r="D212" t="str">
        <f>IF(A212="","",'Account Creation'!X212)</f>
        <v/>
      </c>
      <c r="F212" t="str">
        <f t="shared" si="8"/>
        <v/>
      </c>
      <c r="G212" s="54" t="str">
        <f>IF(A212="","",'Account Creation'!G212)</f>
        <v/>
      </c>
      <c r="I212" t="str">
        <f t="shared" si="7"/>
        <v/>
      </c>
      <c r="K212" t="str">
        <f>IF(A212="","",'Account Creation'!W212)</f>
        <v/>
      </c>
      <c r="L212" t="str">
        <f>IF(A212="","",'Account Creation'!V212)</f>
        <v/>
      </c>
      <c r="P212" s="97" t="str">
        <f>IF('Help Desk'!D212="","",'Help Desk'!D212)</f>
        <v/>
      </c>
    </row>
    <row r="213" spans="1:16" x14ac:dyDescent="0.25">
      <c r="A213" t="str">
        <f>CONCATENATE('Help Desk'!D213, 'Account Creation'!AE213)</f>
        <v/>
      </c>
      <c r="B213" t="str">
        <f>IF(A213="","",'Account Creation'!B213)</f>
        <v/>
      </c>
      <c r="C213" t="str">
        <f>IF(A213="","",'Help Desk'!A213)</f>
        <v/>
      </c>
      <c r="D213" t="str">
        <f>IF(A213="","",'Account Creation'!X213)</f>
        <v/>
      </c>
      <c r="F213" t="str">
        <f t="shared" si="8"/>
        <v/>
      </c>
      <c r="G213" s="54" t="str">
        <f>IF(A213="","",'Account Creation'!G213)</f>
        <v/>
      </c>
      <c r="I213" t="str">
        <f t="shared" si="7"/>
        <v/>
      </c>
      <c r="K213" t="str">
        <f>IF(A213="","",'Account Creation'!W213)</f>
        <v/>
      </c>
      <c r="L213" t="str">
        <f>IF(A213="","",'Account Creation'!V213)</f>
        <v/>
      </c>
      <c r="P213" s="97" t="str">
        <f>IF('Help Desk'!D213="","",'Help Desk'!D213)</f>
        <v/>
      </c>
    </row>
    <row r="214" spans="1:16" x14ac:dyDescent="0.25">
      <c r="A214" t="str">
        <f>CONCATENATE('Help Desk'!D214, 'Account Creation'!AE214)</f>
        <v/>
      </c>
      <c r="B214" t="str">
        <f>IF(A214="","",'Account Creation'!B214)</f>
        <v/>
      </c>
      <c r="C214" t="str">
        <f>IF(A214="","",'Help Desk'!A214)</f>
        <v/>
      </c>
      <c r="D214" t="str">
        <f>IF(A214="","",'Account Creation'!X214)</f>
        <v/>
      </c>
      <c r="F214" t="str">
        <f t="shared" si="8"/>
        <v/>
      </c>
      <c r="G214" s="54" t="str">
        <f>IF(A214="","",'Account Creation'!G214)</f>
        <v/>
      </c>
      <c r="I214" t="str">
        <f t="shared" si="7"/>
        <v/>
      </c>
      <c r="K214" t="str">
        <f>IF(A214="","",'Account Creation'!W214)</f>
        <v/>
      </c>
      <c r="L214" t="str">
        <f>IF(A214="","",'Account Creation'!V214)</f>
        <v/>
      </c>
      <c r="P214" s="97" t="str">
        <f>IF('Help Desk'!D214="","",'Help Desk'!D214)</f>
        <v/>
      </c>
    </row>
    <row r="215" spans="1:16" x14ac:dyDescent="0.25">
      <c r="A215" t="str">
        <f>CONCATENATE('Help Desk'!D215, 'Account Creation'!AE215)</f>
        <v/>
      </c>
      <c r="B215" t="str">
        <f>IF(A215="","",'Account Creation'!B215)</f>
        <v/>
      </c>
      <c r="C215" t="str">
        <f>IF(A215="","",'Help Desk'!A215)</f>
        <v/>
      </c>
      <c r="D215" t="str">
        <f>IF(A215="","",'Account Creation'!X215)</f>
        <v/>
      </c>
      <c r="F215" t="str">
        <f t="shared" si="8"/>
        <v/>
      </c>
      <c r="G215" s="54" t="str">
        <f>IF(A215="","",'Account Creation'!G215)</f>
        <v/>
      </c>
      <c r="I215" t="str">
        <f t="shared" si="7"/>
        <v/>
      </c>
      <c r="K215" t="str">
        <f>IF(A215="","",'Account Creation'!W215)</f>
        <v/>
      </c>
      <c r="L215" t="str">
        <f>IF(A215="","",'Account Creation'!V215)</f>
        <v/>
      </c>
      <c r="P215" s="97" t="str">
        <f>IF('Help Desk'!D215="","",'Help Desk'!D215)</f>
        <v/>
      </c>
    </row>
    <row r="216" spans="1:16" x14ac:dyDescent="0.25">
      <c r="A216" t="str">
        <f>CONCATENATE('Help Desk'!D216, 'Account Creation'!AE216)</f>
        <v/>
      </c>
      <c r="B216" t="str">
        <f>IF(A216="","",'Account Creation'!B216)</f>
        <v/>
      </c>
      <c r="C216" t="str">
        <f>IF(A216="","",'Help Desk'!A216)</f>
        <v/>
      </c>
      <c r="D216" t="str">
        <f>IF(A216="","",'Account Creation'!X216)</f>
        <v/>
      </c>
      <c r="F216" t="str">
        <f t="shared" si="8"/>
        <v/>
      </c>
      <c r="G216" s="54" t="str">
        <f>IF(A216="","",'Account Creation'!G216)</f>
        <v/>
      </c>
      <c r="I216" t="str">
        <f t="shared" si="7"/>
        <v/>
      </c>
      <c r="K216" t="str">
        <f>IF(A216="","",'Account Creation'!W216)</f>
        <v/>
      </c>
      <c r="L216" t="str">
        <f>IF(A216="","",'Account Creation'!V216)</f>
        <v/>
      </c>
      <c r="P216" s="97" t="str">
        <f>IF('Help Desk'!D216="","",'Help Desk'!D216)</f>
        <v/>
      </c>
    </row>
    <row r="217" spans="1:16" x14ac:dyDescent="0.25">
      <c r="A217" t="str">
        <f>CONCATENATE('Help Desk'!D217, 'Account Creation'!AE217)</f>
        <v/>
      </c>
      <c r="B217" t="str">
        <f>IF(A217="","",'Account Creation'!B217)</f>
        <v/>
      </c>
      <c r="C217" t="str">
        <f>IF(A217="","",'Help Desk'!A217)</f>
        <v/>
      </c>
      <c r="D217" t="str">
        <f>IF(A217="","",'Account Creation'!X217)</f>
        <v/>
      </c>
      <c r="F217" t="str">
        <f t="shared" si="8"/>
        <v/>
      </c>
      <c r="G217" s="54" t="str">
        <f>IF(A217="","",'Account Creation'!G217)</f>
        <v/>
      </c>
      <c r="I217" t="str">
        <f t="shared" si="7"/>
        <v/>
      </c>
      <c r="K217" t="str">
        <f>IF(A217="","",'Account Creation'!W217)</f>
        <v/>
      </c>
      <c r="L217" t="str">
        <f>IF(A217="","",'Account Creation'!V217)</f>
        <v/>
      </c>
      <c r="P217" s="97" t="str">
        <f>IF('Help Desk'!D217="","",'Help Desk'!D217)</f>
        <v/>
      </c>
    </row>
    <row r="218" spans="1:16" x14ac:dyDescent="0.25">
      <c r="A218" t="str">
        <f>CONCATENATE('Help Desk'!D218, 'Account Creation'!AE218)</f>
        <v/>
      </c>
      <c r="B218" t="str">
        <f>IF(A218="","",'Account Creation'!B218)</f>
        <v/>
      </c>
      <c r="C218" t="str">
        <f>IF(A218="","",'Help Desk'!A218)</f>
        <v/>
      </c>
      <c r="D218" t="str">
        <f>IF(A218="","",'Account Creation'!X218)</f>
        <v/>
      </c>
      <c r="F218" t="str">
        <f t="shared" si="8"/>
        <v/>
      </c>
      <c r="G218" s="54" t="str">
        <f>IF(A218="","",'Account Creation'!G218)</f>
        <v/>
      </c>
      <c r="I218" t="str">
        <f t="shared" si="7"/>
        <v/>
      </c>
      <c r="K218" t="str">
        <f>IF(A218="","",'Account Creation'!W218)</f>
        <v/>
      </c>
      <c r="L218" t="str">
        <f>IF(A218="","",'Account Creation'!V218)</f>
        <v/>
      </c>
      <c r="P218" s="97" t="str">
        <f>IF('Help Desk'!D218="","",'Help Desk'!D218)</f>
        <v/>
      </c>
    </row>
    <row r="219" spans="1:16" x14ac:dyDescent="0.25">
      <c r="A219" t="str">
        <f>CONCATENATE('Help Desk'!D219, 'Account Creation'!AE219)</f>
        <v/>
      </c>
      <c r="B219" t="str">
        <f>IF(A219="","",'Account Creation'!B219)</f>
        <v/>
      </c>
      <c r="C219" t="str">
        <f>IF(A219="","",'Help Desk'!A219)</f>
        <v/>
      </c>
      <c r="D219" t="str">
        <f>IF(A219="","",'Account Creation'!X219)</f>
        <v/>
      </c>
      <c r="F219" t="str">
        <f t="shared" si="8"/>
        <v/>
      </c>
      <c r="G219" s="54" t="str">
        <f>IF(A219="","",'Account Creation'!G219)</f>
        <v/>
      </c>
      <c r="I219" t="str">
        <f t="shared" si="7"/>
        <v/>
      </c>
      <c r="K219" t="str">
        <f>IF(A219="","",'Account Creation'!W219)</f>
        <v/>
      </c>
      <c r="L219" t="str">
        <f>IF(A219="","",'Account Creation'!V219)</f>
        <v/>
      </c>
      <c r="P219" s="97" t="str">
        <f>IF('Help Desk'!D219="","",'Help Desk'!D219)</f>
        <v/>
      </c>
    </row>
    <row r="220" spans="1:16" x14ac:dyDescent="0.25">
      <c r="A220" t="str">
        <f>CONCATENATE('Help Desk'!D220, 'Account Creation'!AE220)</f>
        <v/>
      </c>
      <c r="B220" t="str">
        <f>IF(A220="","",'Account Creation'!B220)</f>
        <v/>
      </c>
      <c r="C220" t="str">
        <f>IF(A220="","",'Help Desk'!A220)</f>
        <v/>
      </c>
      <c r="D220" t="str">
        <f>IF(A220="","",'Account Creation'!X220)</f>
        <v/>
      </c>
      <c r="F220" t="str">
        <f t="shared" si="8"/>
        <v/>
      </c>
      <c r="G220" s="54" t="str">
        <f>IF(A220="","",'Account Creation'!G220)</f>
        <v/>
      </c>
      <c r="I220" t="str">
        <f t="shared" si="7"/>
        <v/>
      </c>
      <c r="K220" t="str">
        <f>IF(A220="","",'Account Creation'!W220)</f>
        <v/>
      </c>
      <c r="L220" t="str">
        <f>IF(A220="","",'Account Creation'!V220)</f>
        <v/>
      </c>
      <c r="P220" s="97" t="str">
        <f>IF('Help Desk'!D220="","",'Help Desk'!D220)</f>
        <v/>
      </c>
    </row>
    <row r="221" spans="1:16" x14ac:dyDescent="0.25">
      <c r="A221" t="str">
        <f>CONCATENATE('Help Desk'!D221, 'Account Creation'!AE221)</f>
        <v/>
      </c>
      <c r="B221" t="str">
        <f>IF(A221="","",'Account Creation'!B221)</f>
        <v/>
      </c>
      <c r="C221" t="str">
        <f>IF(A221="","",'Help Desk'!A221)</f>
        <v/>
      </c>
      <c r="D221" t="str">
        <f>IF(A221="","",'Account Creation'!X221)</f>
        <v/>
      </c>
      <c r="F221" t="str">
        <f t="shared" si="8"/>
        <v/>
      </c>
      <c r="G221" s="54" t="str">
        <f>IF(A221="","",'Account Creation'!G221)</f>
        <v/>
      </c>
      <c r="I221" t="str">
        <f t="shared" si="7"/>
        <v/>
      </c>
      <c r="K221" t="str">
        <f>IF(A221="","",'Account Creation'!W221)</f>
        <v/>
      </c>
      <c r="L221" t="str">
        <f>IF(A221="","",'Account Creation'!V221)</f>
        <v/>
      </c>
      <c r="P221" s="97" t="str">
        <f>IF('Help Desk'!D221="","",'Help Desk'!D221)</f>
        <v/>
      </c>
    </row>
    <row r="222" spans="1:16" x14ac:dyDescent="0.25">
      <c r="A222" t="str">
        <f>CONCATENATE('Help Desk'!D222, 'Account Creation'!AE222)</f>
        <v/>
      </c>
      <c r="B222" t="str">
        <f>IF(A222="","",'Account Creation'!B222)</f>
        <v/>
      </c>
      <c r="C222" t="str">
        <f>IF(A222="","",'Help Desk'!A222)</f>
        <v/>
      </c>
      <c r="D222" t="str">
        <f>IF(A222="","",'Account Creation'!X222)</f>
        <v/>
      </c>
      <c r="F222" t="str">
        <f t="shared" si="8"/>
        <v/>
      </c>
      <c r="G222" s="54" t="str">
        <f>IF(A222="","",'Account Creation'!G222)</f>
        <v/>
      </c>
      <c r="I222" t="str">
        <f t="shared" si="7"/>
        <v/>
      </c>
      <c r="K222" t="str">
        <f>IF(A222="","",'Account Creation'!W222)</f>
        <v/>
      </c>
      <c r="L222" t="str">
        <f>IF(A222="","",'Account Creation'!V222)</f>
        <v/>
      </c>
      <c r="P222" s="97" t="str">
        <f>IF('Help Desk'!D222="","",'Help Desk'!D222)</f>
        <v/>
      </c>
    </row>
    <row r="223" spans="1:16" x14ac:dyDescent="0.25">
      <c r="A223" t="str">
        <f>CONCATENATE('Help Desk'!D223, 'Account Creation'!AE223)</f>
        <v/>
      </c>
      <c r="B223" t="str">
        <f>IF(A223="","",'Account Creation'!B223)</f>
        <v/>
      </c>
      <c r="C223" t="str">
        <f>IF(A223="","",'Help Desk'!A223)</f>
        <v/>
      </c>
      <c r="D223" t="str">
        <f>IF(A223="","",'Account Creation'!X223)</f>
        <v/>
      </c>
      <c r="F223" t="str">
        <f t="shared" si="8"/>
        <v/>
      </c>
      <c r="G223" s="54" t="str">
        <f>IF(A223="","",'Account Creation'!G223)</f>
        <v/>
      </c>
      <c r="I223" t="str">
        <f t="shared" si="7"/>
        <v/>
      </c>
      <c r="K223" t="str">
        <f>IF(A223="","",'Account Creation'!W223)</f>
        <v/>
      </c>
      <c r="L223" t="str">
        <f>IF(A223="","",'Account Creation'!V223)</f>
        <v/>
      </c>
      <c r="P223" s="97" t="str">
        <f>IF('Help Desk'!D223="","",'Help Desk'!D223)</f>
        <v/>
      </c>
    </row>
    <row r="224" spans="1:16" x14ac:dyDescent="0.25">
      <c r="A224" t="str">
        <f>CONCATENATE('Help Desk'!D224, 'Account Creation'!AE224)</f>
        <v/>
      </c>
      <c r="B224" t="str">
        <f>IF(A224="","",'Account Creation'!B224)</f>
        <v/>
      </c>
      <c r="C224" t="str">
        <f>IF(A224="","",'Help Desk'!A224)</f>
        <v/>
      </c>
      <c r="D224" t="str">
        <f>IF(A224="","",'Account Creation'!X224)</f>
        <v/>
      </c>
      <c r="F224" t="str">
        <f t="shared" si="8"/>
        <v/>
      </c>
      <c r="G224" s="54" t="str">
        <f>IF(A224="","",'Account Creation'!G224)</f>
        <v/>
      </c>
      <c r="I224" t="str">
        <f t="shared" si="7"/>
        <v/>
      </c>
      <c r="K224" t="str">
        <f>IF(A224="","",'Account Creation'!W224)</f>
        <v/>
      </c>
      <c r="L224" t="str">
        <f>IF(A224="","",'Account Creation'!V224)</f>
        <v/>
      </c>
      <c r="P224" s="97" t="str">
        <f>IF('Help Desk'!D224="","",'Help Desk'!D224)</f>
        <v/>
      </c>
    </row>
    <row r="225" spans="1:16" x14ac:dyDescent="0.25">
      <c r="A225" t="str">
        <f>CONCATENATE('Help Desk'!D225, 'Account Creation'!AE225)</f>
        <v/>
      </c>
      <c r="B225" t="str">
        <f>IF(A225="","",'Account Creation'!B225)</f>
        <v/>
      </c>
      <c r="C225" t="str">
        <f>IF(A225="","",'Help Desk'!A225)</f>
        <v/>
      </c>
      <c r="D225" t="str">
        <f>IF(A225="","",'Account Creation'!X225)</f>
        <v/>
      </c>
      <c r="F225" t="str">
        <f t="shared" si="8"/>
        <v/>
      </c>
      <c r="G225" s="54" t="str">
        <f>IF(A225="","",'Account Creation'!G225)</f>
        <v/>
      </c>
      <c r="I225" t="str">
        <f t="shared" si="7"/>
        <v/>
      </c>
      <c r="K225" t="str">
        <f>IF(A225="","",'Account Creation'!W225)</f>
        <v/>
      </c>
      <c r="L225" t="str">
        <f>IF(A225="","",'Account Creation'!V225)</f>
        <v/>
      </c>
      <c r="P225" s="97" t="str">
        <f>IF('Help Desk'!D225="","",'Help Desk'!D225)</f>
        <v/>
      </c>
    </row>
    <row r="226" spans="1:16" x14ac:dyDescent="0.25">
      <c r="A226" t="str">
        <f>CONCATENATE('Help Desk'!D226, 'Account Creation'!AE226)</f>
        <v/>
      </c>
      <c r="B226" t="str">
        <f>IF(A226="","",'Account Creation'!B226)</f>
        <v/>
      </c>
      <c r="C226" t="str">
        <f>IF(A226="","",'Help Desk'!A226)</f>
        <v/>
      </c>
      <c r="D226" t="str">
        <f>IF(A226="","",'Account Creation'!X226)</f>
        <v/>
      </c>
      <c r="F226" t="str">
        <f t="shared" si="8"/>
        <v/>
      </c>
      <c r="G226" s="54" t="str">
        <f>IF(A226="","",'Account Creation'!G226)</f>
        <v/>
      </c>
      <c r="I226" t="str">
        <f t="shared" si="7"/>
        <v/>
      </c>
      <c r="K226" t="str">
        <f>IF(A226="","",'Account Creation'!W226)</f>
        <v/>
      </c>
      <c r="L226" t="str">
        <f>IF(A226="","",'Account Creation'!V226)</f>
        <v/>
      </c>
      <c r="P226" s="97" t="str">
        <f>IF('Help Desk'!D226="","",'Help Desk'!D226)</f>
        <v/>
      </c>
    </row>
    <row r="227" spans="1:16" x14ac:dyDescent="0.25">
      <c r="A227" t="str">
        <f>CONCATENATE('Help Desk'!D227, 'Account Creation'!AE227)</f>
        <v/>
      </c>
      <c r="B227" t="str">
        <f>IF(A227="","",'Account Creation'!B227)</f>
        <v/>
      </c>
      <c r="C227" t="str">
        <f>IF(A227="","",'Help Desk'!A227)</f>
        <v/>
      </c>
      <c r="D227" t="str">
        <f>IF(A227="","",'Account Creation'!X227)</f>
        <v/>
      </c>
      <c r="F227" t="str">
        <f t="shared" si="8"/>
        <v/>
      </c>
      <c r="G227" s="54" t="str">
        <f>IF(A227="","",'Account Creation'!G227)</f>
        <v/>
      </c>
      <c r="I227" t="str">
        <f t="shared" si="7"/>
        <v/>
      </c>
      <c r="K227" t="str">
        <f>IF(A227="","",'Account Creation'!W227)</f>
        <v/>
      </c>
      <c r="L227" t="str">
        <f>IF(A227="","",'Account Creation'!V227)</f>
        <v/>
      </c>
      <c r="P227" s="97" t="str">
        <f>IF('Help Desk'!D227="","",'Help Desk'!D227)</f>
        <v/>
      </c>
    </row>
    <row r="228" spans="1:16" x14ac:dyDescent="0.25">
      <c r="A228" t="str">
        <f>CONCATENATE('Help Desk'!D228, 'Account Creation'!AE228)</f>
        <v/>
      </c>
      <c r="B228" t="str">
        <f>IF(A228="","",'Account Creation'!B228)</f>
        <v/>
      </c>
      <c r="C228" t="str">
        <f>IF(A228="","",'Help Desk'!A228)</f>
        <v/>
      </c>
      <c r="D228" t="str">
        <f>IF(A228="","",'Account Creation'!X228)</f>
        <v/>
      </c>
      <c r="F228" t="str">
        <f t="shared" si="8"/>
        <v/>
      </c>
      <c r="G228" s="54" t="str">
        <f>IF(A228="","",'Account Creation'!G228)</f>
        <v/>
      </c>
      <c r="I228" t="str">
        <f t="shared" si="7"/>
        <v/>
      </c>
      <c r="K228" t="str">
        <f>IF(A228="","",'Account Creation'!W228)</f>
        <v/>
      </c>
      <c r="L228" t="str">
        <f>IF(A228="","",'Account Creation'!V228)</f>
        <v/>
      </c>
      <c r="P228" s="97" t="str">
        <f>IF('Help Desk'!D228="","",'Help Desk'!D228)</f>
        <v/>
      </c>
    </row>
    <row r="229" spans="1:16" x14ac:dyDescent="0.25">
      <c r="A229" t="str">
        <f>CONCATENATE('Help Desk'!D229, 'Account Creation'!AE229)</f>
        <v/>
      </c>
      <c r="B229" t="str">
        <f>IF(A229="","",'Account Creation'!B229)</f>
        <v/>
      </c>
      <c r="C229" t="str">
        <f>IF(A229="","",'Help Desk'!A229)</f>
        <v/>
      </c>
      <c r="D229" t="str">
        <f>IF(A229="","",'Account Creation'!X229)</f>
        <v/>
      </c>
      <c r="F229" t="str">
        <f t="shared" si="8"/>
        <v/>
      </c>
      <c r="G229" s="54" t="str">
        <f>IF(A229="","",'Account Creation'!G229)</f>
        <v/>
      </c>
      <c r="I229" t="str">
        <f t="shared" si="7"/>
        <v/>
      </c>
      <c r="K229" t="str">
        <f>IF(A229="","",'Account Creation'!W229)</f>
        <v/>
      </c>
      <c r="L229" t="str">
        <f>IF(A229="","",'Account Creation'!V229)</f>
        <v/>
      </c>
      <c r="P229" s="97" t="str">
        <f>IF('Help Desk'!D229="","",'Help Desk'!D229)</f>
        <v/>
      </c>
    </row>
    <row r="230" spans="1:16" x14ac:dyDescent="0.25">
      <c r="A230" t="str">
        <f>CONCATENATE('Help Desk'!D230, 'Account Creation'!AE230)</f>
        <v/>
      </c>
      <c r="B230" t="str">
        <f>IF(A230="","",'Account Creation'!B230)</f>
        <v/>
      </c>
      <c r="C230" t="str">
        <f>IF(A230="","",'Help Desk'!A230)</f>
        <v/>
      </c>
      <c r="D230" t="str">
        <f>IF(A230="","",'Account Creation'!X230)</f>
        <v/>
      </c>
      <c r="F230" t="str">
        <f t="shared" si="8"/>
        <v/>
      </c>
      <c r="G230" s="54" t="str">
        <f>IF(A230="","",'Account Creation'!G230)</f>
        <v/>
      </c>
      <c r="I230" t="str">
        <f t="shared" si="7"/>
        <v/>
      </c>
      <c r="K230" t="str">
        <f>IF(A230="","",'Account Creation'!W230)</f>
        <v/>
      </c>
      <c r="L230" t="str">
        <f>IF(A230="","",'Account Creation'!V230)</f>
        <v/>
      </c>
      <c r="P230" s="97" t="str">
        <f>IF('Help Desk'!D230="","",'Help Desk'!D230)</f>
        <v/>
      </c>
    </row>
    <row r="231" spans="1:16" x14ac:dyDescent="0.25">
      <c r="A231" t="str">
        <f>CONCATENATE('Help Desk'!D231, 'Account Creation'!AE231)</f>
        <v/>
      </c>
      <c r="B231" t="str">
        <f>IF(A231="","",'Account Creation'!B231)</f>
        <v/>
      </c>
      <c r="C231" t="str">
        <f>IF(A231="","",'Help Desk'!A231)</f>
        <v/>
      </c>
      <c r="D231" t="str">
        <f>IF(A231="","",'Account Creation'!X231)</f>
        <v/>
      </c>
      <c r="F231" t="str">
        <f t="shared" si="8"/>
        <v/>
      </c>
      <c r="G231" s="54" t="str">
        <f>IF(A231="","",'Account Creation'!G231)</f>
        <v/>
      </c>
      <c r="I231" t="str">
        <f t="shared" si="7"/>
        <v/>
      </c>
      <c r="K231" t="str">
        <f>IF(A231="","",'Account Creation'!W231)</f>
        <v/>
      </c>
      <c r="L231" t="str">
        <f>IF(A231="","",'Account Creation'!V231)</f>
        <v/>
      </c>
      <c r="P231" s="97" t="str">
        <f>IF('Help Desk'!D231="","",'Help Desk'!D231)</f>
        <v/>
      </c>
    </row>
    <row r="232" spans="1:16" x14ac:dyDescent="0.25">
      <c r="A232" t="str">
        <f>CONCATENATE('Help Desk'!D232, 'Account Creation'!AE232)</f>
        <v/>
      </c>
      <c r="B232" t="str">
        <f>IF(A232="","",'Account Creation'!B232)</f>
        <v/>
      </c>
      <c r="C232" t="str">
        <f>IF(A232="","",'Help Desk'!A232)</f>
        <v/>
      </c>
      <c r="D232" t="str">
        <f>IF(A232="","",'Account Creation'!X232)</f>
        <v/>
      </c>
      <c r="F232" t="str">
        <f t="shared" si="8"/>
        <v/>
      </c>
      <c r="G232" s="54" t="str">
        <f>IF(A232="","",'Account Creation'!G232)</f>
        <v/>
      </c>
      <c r="I232" t="str">
        <f t="shared" si="7"/>
        <v/>
      </c>
      <c r="K232" t="str">
        <f>IF(A232="","",'Account Creation'!W232)</f>
        <v/>
      </c>
      <c r="L232" t="str">
        <f>IF(A232="","",'Account Creation'!V232)</f>
        <v/>
      </c>
      <c r="P232" s="97" t="str">
        <f>IF('Help Desk'!D232="","",'Help Desk'!D232)</f>
        <v/>
      </c>
    </row>
    <row r="233" spans="1:16" x14ac:dyDescent="0.25">
      <c r="A233" t="str">
        <f>CONCATENATE('Help Desk'!D233, 'Account Creation'!AE233)</f>
        <v/>
      </c>
      <c r="B233" t="str">
        <f>IF(A233="","",'Account Creation'!B233)</f>
        <v/>
      </c>
      <c r="C233" t="str">
        <f>IF(A233="","",'Help Desk'!A233)</f>
        <v/>
      </c>
      <c r="D233" t="str">
        <f>IF(A233="","",'Account Creation'!X233)</f>
        <v/>
      </c>
      <c r="F233" t="str">
        <f t="shared" si="8"/>
        <v/>
      </c>
      <c r="G233" s="54" t="str">
        <f>IF(A233="","",'Account Creation'!G233)</f>
        <v/>
      </c>
      <c r="I233" t="str">
        <f t="shared" si="7"/>
        <v/>
      </c>
      <c r="K233" t="str">
        <f>IF(A233="","",'Account Creation'!W233)</f>
        <v/>
      </c>
      <c r="L233" t="str">
        <f>IF(A233="","",'Account Creation'!V233)</f>
        <v/>
      </c>
      <c r="P233" s="97" t="str">
        <f>IF('Help Desk'!D233="","",'Help Desk'!D233)</f>
        <v/>
      </c>
    </row>
    <row r="234" spans="1:16" x14ac:dyDescent="0.25">
      <c r="A234" t="str">
        <f>CONCATENATE('Help Desk'!D234, 'Account Creation'!AE234)</f>
        <v/>
      </c>
      <c r="B234" t="str">
        <f>IF(A234="","",'Account Creation'!B234)</f>
        <v/>
      </c>
      <c r="C234" t="str">
        <f>IF(A234="","",'Help Desk'!A234)</f>
        <v/>
      </c>
      <c r="D234" t="str">
        <f>IF(A234="","",'Account Creation'!X234)</f>
        <v/>
      </c>
      <c r="F234" t="str">
        <f t="shared" si="8"/>
        <v/>
      </c>
      <c r="G234" s="54" t="str">
        <f>IF(A234="","",'Account Creation'!G234)</f>
        <v/>
      </c>
      <c r="I234" t="str">
        <f t="shared" si="7"/>
        <v/>
      </c>
      <c r="K234" t="str">
        <f>IF(A234="","",'Account Creation'!W234)</f>
        <v/>
      </c>
      <c r="L234" t="str">
        <f>IF(A234="","",'Account Creation'!V234)</f>
        <v/>
      </c>
      <c r="P234" s="97" t="str">
        <f>IF('Help Desk'!D234="","",'Help Desk'!D234)</f>
        <v/>
      </c>
    </row>
    <row r="235" spans="1:16" x14ac:dyDescent="0.25">
      <c r="A235" t="str">
        <f>CONCATENATE('Help Desk'!D235, 'Account Creation'!AE235)</f>
        <v/>
      </c>
      <c r="B235" t="str">
        <f>IF(A235="","",'Account Creation'!B235)</f>
        <v/>
      </c>
      <c r="C235" t="str">
        <f>IF(A235="","",'Help Desk'!A235)</f>
        <v/>
      </c>
      <c r="D235" t="str">
        <f>IF(A235="","",'Account Creation'!X235)</f>
        <v/>
      </c>
      <c r="F235" t="str">
        <f t="shared" si="8"/>
        <v/>
      </c>
      <c r="G235" s="54" t="str">
        <f>IF(A235="","",'Account Creation'!G235)</f>
        <v/>
      </c>
      <c r="I235" t="str">
        <f t="shared" si="7"/>
        <v/>
      </c>
      <c r="K235" t="str">
        <f>IF(A235="","",'Account Creation'!W235)</f>
        <v/>
      </c>
      <c r="L235" t="str">
        <f>IF(A235="","",'Account Creation'!V235)</f>
        <v/>
      </c>
      <c r="P235" s="97" t="str">
        <f>IF('Help Desk'!D235="","",'Help Desk'!D235)</f>
        <v/>
      </c>
    </row>
    <row r="236" spans="1:16" x14ac:dyDescent="0.25">
      <c r="A236" t="str">
        <f>CONCATENATE('Help Desk'!D236, 'Account Creation'!AE236)</f>
        <v/>
      </c>
      <c r="B236" t="str">
        <f>IF(A236="","",'Account Creation'!B236)</f>
        <v/>
      </c>
      <c r="C236" t="str">
        <f>IF(A236="","",'Help Desk'!A236)</f>
        <v/>
      </c>
      <c r="D236" t="str">
        <f>IF(A236="","",'Account Creation'!X236)</f>
        <v/>
      </c>
      <c r="F236" t="str">
        <f t="shared" si="8"/>
        <v/>
      </c>
      <c r="G236" s="54" t="str">
        <f>IF(A236="","",'Account Creation'!G236)</f>
        <v/>
      </c>
      <c r="I236" t="str">
        <f t="shared" si="7"/>
        <v/>
      </c>
      <c r="K236" t="str">
        <f>IF(A236="","",'Account Creation'!W236)</f>
        <v/>
      </c>
      <c r="L236" t="str">
        <f>IF(A236="","",'Account Creation'!V236)</f>
        <v/>
      </c>
      <c r="P236" s="97" t="str">
        <f>IF('Help Desk'!D236="","",'Help Desk'!D236)</f>
        <v/>
      </c>
    </row>
    <row r="237" spans="1:16" x14ac:dyDescent="0.25">
      <c r="A237" t="str">
        <f>CONCATENATE('Help Desk'!D237, 'Account Creation'!AE237)</f>
        <v/>
      </c>
      <c r="B237" t="str">
        <f>IF(A237="","",'Account Creation'!B237)</f>
        <v/>
      </c>
      <c r="C237" t="str">
        <f>IF(A237="","",'Help Desk'!A237)</f>
        <v/>
      </c>
      <c r="D237" t="str">
        <f>IF(A237="","",'Account Creation'!X237)</f>
        <v/>
      </c>
      <c r="F237" t="str">
        <f t="shared" si="8"/>
        <v/>
      </c>
      <c r="G237" s="54" t="str">
        <f>IF(A237="","",'Account Creation'!G237)</f>
        <v/>
      </c>
      <c r="I237" t="str">
        <f t="shared" si="7"/>
        <v/>
      </c>
      <c r="K237" t="str">
        <f>IF(A237="","",'Account Creation'!W237)</f>
        <v/>
      </c>
      <c r="L237" t="str">
        <f>IF(A237="","",'Account Creation'!V237)</f>
        <v/>
      </c>
      <c r="P237" s="97" t="str">
        <f>IF('Help Desk'!D237="","",'Help Desk'!D237)</f>
        <v/>
      </c>
    </row>
    <row r="238" spans="1:16" x14ac:dyDescent="0.25">
      <c r="A238" t="str">
        <f>CONCATENATE('Help Desk'!D238, 'Account Creation'!AE238)</f>
        <v/>
      </c>
      <c r="B238" t="str">
        <f>IF(A238="","",'Account Creation'!B238)</f>
        <v/>
      </c>
      <c r="C238" t="str">
        <f>IF(A238="","",'Help Desk'!A238)</f>
        <v/>
      </c>
      <c r="D238" t="str">
        <f>IF(A238="","",'Account Creation'!X238)</f>
        <v/>
      </c>
      <c r="F238" t="str">
        <f t="shared" si="8"/>
        <v/>
      </c>
      <c r="G238" s="54" t="str">
        <f>IF(A238="","",'Account Creation'!G238)</f>
        <v/>
      </c>
      <c r="I238" t="str">
        <f t="shared" si="7"/>
        <v/>
      </c>
      <c r="K238" t="str">
        <f>IF(A238="","",'Account Creation'!W238)</f>
        <v/>
      </c>
      <c r="L238" t="str">
        <f>IF(A238="","",'Account Creation'!V238)</f>
        <v/>
      </c>
      <c r="P238" s="97" t="str">
        <f>IF('Help Desk'!D238="","",'Help Desk'!D238)</f>
        <v/>
      </c>
    </row>
    <row r="239" spans="1:16" x14ac:dyDescent="0.25">
      <c r="A239" t="str">
        <f>CONCATENATE('Help Desk'!D239, 'Account Creation'!AE239)</f>
        <v/>
      </c>
      <c r="B239" t="str">
        <f>IF(A239="","",'Account Creation'!B239)</f>
        <v/>
      </c>
      <c r="C239" t="str">
        <f>IF(A239="","",'Help Desk'!A239)</f>
        <v/>
      </c>
      <c r="D239" t="str">
        <f>IF(A239="","",'Account Creation'!X239)</f>
        <v/>
      </c>
      <c r="F239" t="str">
        <f t="shared" si="8"/>
        <v/>
      </c>
      <c r="G239" s="54" t="str">
        <f>IF(A239="","",'Account Creation'!G239)</f>
        <v/>
      </c>
      <c r="I239" t="str">
        <f t="shared" si="7"/>
        <v/>
      </c>
      <c r="K239" t="str">
        <f>IF(A239="","",'Account Creation'!W239)</f>
        <v/>
      </c>
      <c r="L239" t="str">
        <f>IF(A239="","",'Account Creation'!V239)</f>
        <v/>
      </c>
      <c r="P239" s="97" t="str">
        <f>IF('Help Desk'!D239="","",'Help Desk'!D239)</f>
        <v/>
      </c>
    </row>
    <row r="240" spans="1:16" x14ac:dyDescent="0.25">
      <c r="A240" t="str">
        <f>CONCATENATE('Help Desk'!D240, 'Account Creation'!AE240)</f>
        <v/>
      </c>
      <c r="B240" t="str">
        <f>IF(A240="","",'Account Creation'!B240)</f>
        <v/>
      </c>
      <c r="C240" t="str">
        <f>IF(A240="","",'Help Desk'!A240)</f>
        <v/>
      </c>
      <c r="D240" t="str">
        <f>IF(A240="","",'Account Creation'!X240)</f>
        <v/>
      </c>
      <c r="F240" t="str">
        <f t="shared" si="8"/>
        <v/>
      </c>
      <c r="G240" s="54" t="str">
        <f>IF(A240="","",'Account Creation'!G240)</f>
        <v/>
      </c>
      <c r="I240" t="str">
        <f t="shared" si="7"/>
        <v/>
      </c>
      <c r="K240" t="str">
        <f>IF(A240="","",'Account Creation'!W240)</f>
        <v/>
      </c>
      <c r="L240" t="str">
        <f>IF(A240="","",'Account Creation'!V240)</f>
        <v/>
      </c>
      <c r="P240" s="97" t="str">
        <f>IF('Help Desk'!D240="","",'Help Desk'!D240)</f>
        <v/>
      </c>
    </row>
    <row r="241" spans="1:16" x14ac:dyDescent="0.25">
      <c r="A241" t="str">
        <f>CONCATENATE('Help Desk'!D241, 'Account Creation'!AE241)</f>
        <v/>
      </c>
      <c r="B241" t="str">
        <f>IF(A241="","",'Account Creation'!B241)</f>
        <v/>
      </c>
      <c r="C241" t="str">
        <f>IF(A241="","",'Help Desk'!A241)</f>
        <v/>
      </c>
      <c r="D241" t="str">
        <f>IF(A241="","",'Account Creation'!X241)</f>
        <v/>
      </c>
      <c r="F241" t="str">
        <f t="shared" si="8"/>
        <v/>
      </c>
      <c r="G241" s="54" t="str">
        <f>IF(A241="","",'Account Creation'!G241)</f>
        <v/>
      </c>
      <c r="I241" t="str">
        <f t="shared" si="7"/>
        <v/>
      </c>
      <c r="K241" t="str">
        <f>IF(A241="","",'Account Creation'!W241)</f>
        <v/>
      </c>
      <c r="L241" t="str">
        <f>IF(A241="","",'Account Creation'!V241)</f>
        <v/>
      </c>
      <c r="P241" s="97" t="str">
        <f>IF('Help Desk'!D241="","",'Help Desk'!D241)</f>
        <v/>
      </c>
    </row>
    <row r="242" spans="1:16" x14ac:dyDescent="0.25">
      <c r="A242" t="str">
        <f>CONCATENATE('Help Desk'!D242, 'Account Creation'!AE242)</f>
        <v/>
      </c>
      <c r="B242" t="str">
        <f>IF(A242="","",'Account Creation'!B242)</f>
        <v/>
      </c>
      <c r="C242" t="str">
        <f>IF(A242="","",'Help Desk'!A242)</f>
        <v/>
      </c>
      <c r="D242" t="str">
        <f>IF(A242="","",'Account Creation'!X242)</f>
        <v/>
      </c>
      <c r="F242" t="str">
        <f t="shared" si="8"/>
        <v/>
      </c>
      <c r="G242" s="54" t="str">
        <f>IF(A242="","",'Account Creation'!G242)</f>
        <v/>
      </c>
      <c r="I242" t="str">
        <f t="shared" si="7"/>
        <v/>
      </c>
      <c r="K242" t="str">
        <f>IF(A242="","",'Account Creation'!W242)</f>
        <v/>
      </c>
      <c r="L242" t="str">
        <f>IF(A242="","",'Account Creation'!V242)</f>
        <v/>
      </c>
      <c r="P242" s="97" t="str">
        <f>IF('Help Desk'!D242="","",'Help Desk'!D242)</f>
        <v/>
      </c>
    </row>
    <row r="243" spans="1:16" x14ac:dyDescent="0.25">
      <c r="A243" t="str">
        <f>CONCATENATE('Help Desk'!D243, 'Account Creation'!AE243)</f>
        <v/>
      </c>
      <c r="B243" t="str">
        <f>IF(A243="","",'Account Creation'!B243)</f>
        <v/>
      </c>
      <c r="C243" t="str">
        <f>IF(A243="","",'Help Desk'!A243)</f>
        <v/>
      </c>
      <c r="D243" t="str">
        <f>IF(A243="","",'Account Creation'!X243)</f>
        <v/>
      </c>
      <c r="F243" t="str">
        <f t="shared" si="8"/>
        <v/>
      </c>
      <c r="G243" s="54" t="str">
        <f>IF(A243="","",'Account Creation'!G243)</f>
        <v/>
      </c>
      <c r="I243" t="str">
        <f t="shared" si="7"/>
        <v/>
      </c>
      <c r="K243" t="str">
        <f>IF(A243="","",'Account Creation'!W243)</f>
        <v/>
      </c>
      <c r="L243" t="str">
        <f>IF(A243="","",'Account Creation'!V243)</f>
        <v/>
      </c>
      <c r="P243" s="97" t="str">
        <f>IF('Help Desk'!D243="","",'Help Desk'!D243)</f>
        <v/>
      </c>
    </row>
    <row r="244" spans="1:16" x14ac:dyDescent="0.25">
      <c r="A244" t="str">
        <f>CONCATENATE('Help Desk'!D244, 'Account Creation'!AE244)</f>
        <v/>
      </c>
      <c r="B244" t="str">
        <f>IF(A244="","",'Account Creation'!B244)</f>
        <v/>
      </c>
      <c r="C244" t="str">
        <f>IF(A244="","",'Help Desk'!A244)</f>
        <v/>
      </c>
      <c r="D244" t="str">
        <f>IF(A244="","",'Account Creation'!X244)</f>
        <v/>
      </c>
      <c r="F244" t="str">
        <f t="shared" si="8"/>
        <v/>
      </c>
      <c r="G244" s="54" t="str">
        <f>IF(A244="","",'Account Creation'!G244)</f>
        <v/>
      </c>
      <c r="I244" t="str">
        <f t="shared" si="7"/>
        <v/>
      </c>
      <c r="K244" t="str">
        <f>IF(A244="","",'Account Creation'!W244)</f>
        <v/>
      </c>
      <c r="L244" t="str">
        <f>IF(A244="","",'Account Creation'!V244)</f>
        <v/>
      </c>
      <c r="P244" s="97" t="str">
        <f>IF('Help Desk'!D244="","",'Help Desk'!D244)</f>
        <v/>
      </c>
    </row>
    <row r="245" spans="1:16" x14ac:dyDescent="0.25">
      <c r="A245" t="str">
        <f>CONCATENATE('Help Desk'!D245, 'Account Creation'!AE245)</f>
        <v/>
      </c>
      <c r="B245" t="str">
        <f>IF(A245="","",'Account Creation'!B245)</f>
        <v/>
      </c>
      <c r="C245" t="str">
        <f>IF(A245="","",'Help Desk'!A245)</f>
        <v/>
      </c>
      <c r="D245" t="str">
        <f>IF(A245="","",'Account Creation'!X245)</f>
        <v/>
      </c>
      <c r="F245" t="str">
        <f t="shared" si="8"/>
        <v/>
      </c>
      <c r="G245" s="54" t="str">
        <f>IF(A245="","",'Account Creation'!G245)</f>
        <v/>
      </c>
      <c r="I245" t="str">
        <f t="shared" si="7"/>
        <v/>
      </c>
      <c r="K245" t="str">
        <f>IF(A245="","",'Account Creation'!W245)</f>
        <v/>
      </c>
      <c r="L245" t="str">
        <f>IF(A245="","",'Account Creation'!V245)</f>
        <v/>
      </c>
      <c r="P245" s="97" t="str">
        <f>IF('Help Desk'!D245="","",'Help Desk'!D245)</f>
        <v/>
      </c>
    </row>
    <row r="246" spans="1:16" x14ac:dyDescent="0.25">
      <c r="A246" t="str">
        <f>CONCATENATE('Help Desk'!D246, 'Account Creation'!AE246)</f>
        <v/>
      </c>
      <c r="B246" t="str">
        <f>IF(A246="","",'Account Creation'!B246)</f>
        <v/>
      </c>
      <c r="C246" t="str">
        <f>IF(A246="","",'Help Desk'!A246)</f>
        <v/>
      </c>
      <c r="D246" t="str">
        <f>IF(A246="","",'Account Creation'!X246)</f>
        <v/>
      </c>
      <c r="F246" t="str">
        <f t="shared" si="8"/>
        <v/>
      </c>
      <c r="G246" s="54" t="str">
        <f>IF(A246="","",'Account Creation'!G246)</f>
        <v/>
      </c>
      <c r="I246" t="str">
        <f t="shared" si="7"/>
        <v/>
      </c>
      <c r="K246" t="str">
        <f>IF(A246="","",'Account Creation'!W246)</f>
        <v/>
      </c>
      <c r="L246" t="str">
        <f>IF(A246="","",'Account Creation'!V246)</f>
        <v/>
      </c>
      <c r="P246" s="97" t="str">
        <f>IF('Help Desk'!D246="","",'Help Desk'!D246)</f>
        <v/>
      </c>
    </row>
    <row r="247" spans="1:16" x14ac:dyDescent="0.25">
      <c r="A247" t="str">
        <f>CONCATENATE('Help Desk'!D247, 'Account Creation'!AE247)</f>
        <v/>
      </c>
      <c r="B247" t="str">
        <f>IF(A247="","",'Account Creation'!B247)</f>
        <v/>
      </c>
      <c r="C247" t="str">
        <f>IF(A247="","",'Help Desk'!A247)</f>
        <v/>
      </c>
      <c r="D247" t="str">
        <f>IF(A247="","",'Account Creation'!X247)</f>
        <v/>
      </c>
      <c r="F247" t="str">
        <f t="shared" si="8"/>
        <v/>
      </c>
      <c r="G247" s="54" t="str">
        <f>IF(A247="","",'Account Creation'!G247)</f>
        <v/>
      </c>
      <c r="I247" t="str">
        <f t="shared" si="7"/>
        <v/>
      </c>
      <c r="K247" t="str">
        <f>IF(A247="","",'Account Creation'!W247)</f>
        <v/>
      </c>
      <c r="L247" t="str">
        <f>IF(A247="","",'Account Creation'!V247)</f>
        <v/>
      </c>
      <c r="P247" s="97" t="str">
        <f>IF('Help Desk'!D247="","",'Help Desk'!D247)</f>
        <v/>
      </c>
    </row>
    <row r="248" spans="1:16" x14ac:dyDescent="0.25">
      <c r="A248" t="str">
        <f>CONCATENATE('Help Desk'!D248, 'Account Creation'!AE248)</f>
        <v/>
      </c>
      <c r="B248" t="str">
        <f>IF(A248="","",'Account Creation'!B248)</f>
        <v/>
      </c>
      <c r="C248" t="str">
        <f>IF(A248="","",'Help Desk'!A248)</f>
        <v/>
      </c>
      <c r="D248" t="str">
        <f>IF(A248="","",'Account Creation'!X248)</f>
        <v/>
      </c>
      <c r="F248" t="str">
        <f t="shared" si="8"/>
        <v/>
      </c>
      <c r="G248" s="54" t="str">
        <f>IF(A248="","",'Account Creation'!G248)</f>
        <v/>
      </c>
      <c r="I248" t="str">
        <f t="shared" si="7"/>
        <v/>
      </c>
      <c r="K248" t="str">
        <f>IF(A248="","",'Account Creation'!W248)</f>
        <v/>
      </c>
      <c r="L248" t="str">
        <f>IF(A248="","",'Account Creation'!V248)</f>
        <v/>
      </c>
      <c r="P248" s="97" t="str">
        <f>IF('Help Desk'!D248="","",'Help Desk'!D248)</f>
        <v/>
      </c>
    </row>
    <row r="249" spans="1:16" x14ac:dyDescent="0.25">
      <c r="A249" t="str">
        <f>CONCATENATE('Help Desk'!D249, 'Account Creation'!AE249)</f>
        <v/>
      </c>
      <c r="B249" t="str">
        <f>IF(A249="","",'Account Creation'!B249)</f>
        <v/>
      </c>
      <c r="C249" t="str">
        <f>IF(A249="","",'Help Desk'!A249)</f>
        <v/>
      </c>
      <c r="D249" t="str">
        <f>IF(A249="","",'Account Creation'!X249)</f>
        <v/>
      </c>
      <c r="F249" t="str">
        <f t="shared" si="8"/>
        <v/>
      </c>
      <c r="G249" s="54" t="str">
        <f>IF(A249="","",'Account Creation'!G249)</f>
        <v/>
      </c>
      <c r="I249" t="str">
        <f t="shared" si="7"/>
        <v/>
      </c>
      <c r="K249" t="str">
        <f>IF(A249="","",'Account Creation'!W249)</f>
        <v/>
      </c>
      <c r="L249" t="str">
        <f>IF(A249="","",'Account Creation'!V249)</f>
        <v/>
      </c>
      <c r="P249" s="97" t="str">
        <f>IF('Help Desk'!D249="","",'Help Desk'!D249)</f>
        <v/>
      </c>
    </row>
    <row r="250" spans="1:16" x14ac:dyDescent="0.25">
      <c r="A250" t="str">
        <f>CONCATENATE('Help Desk'!D250, 'Account Creation'!AE250)</f>
        <v/>
      </c>
      <c r="B250" t="str">
        <f>IF(A250="","",'Account Creation'!B250)</f>
        <v/>
      </c>
      <c r="C250" t="str">
        <f>IF(A250="","",'Help Desk'!A250)</f>
        <v/>
      </c>
      <c r="D250" t="str">
        <f>IF(A250="","",'Account Creation'!X250)</f>
        <v/>
      </c>
      <c r="F250" t="str">
        <f t="shared" si="8"/>
        <v/>
      </c>
      <c r="G250" s="54" t="str">
        <f>IF(A250="","",'Account Creation'!G250)</f>
        <v/>
      </c>
      <c r="I250" t="str">
        <f t="shared" si="7"/>
        <v/>
      </c>
      <c r="K250" t="str">
        <f>IF(A250="","",'Account Creation'!W250)</f>
        <v/>
      </c>
      <c r="L250" t="str">
        <f>IF(A250="","",'Account Creation'!V250)</f>
        <v/>
      </c>
      <c r="P250" s="97" t="str">
        <f>IF('Help Desk'!D250="","",'Help Desk'!D250)</f>
        <v/>
      </c>
    </row>
    <row r="251" spans="1:16" x14ac:dyDescent="0.25">
      <c r="A251" t="str">
        <f>CONCATENATE('Help Desk'!D251, 'Account Creation'!AE251)</f>
        <v/>
      </c>
      <c r="B251" t="str">
        <f>IF(A251="","",'Account Creation'!B251)</f>
        <v/>
      </c>
      <c r="C251" t="str">
        <f>IF(A251="","",'Help Desk'!A251)</f>
        <v/>
      </c>
      <c r="D251" t="str">
        <f>IF(A251="","",'Account Creation'!X251)</f>
        <v/>
      </c>
      <c r="F251" t="str">
        <f t="shared" si="8"/>
        <v/>
      </c>
      <c r="G251" s="54" t="str">
        <f>IF(A251="","",'Account Creation'!G251)</f>
        <v/>
      </c>
      <c r="I251" t="str">
        <f>IF(A251="","","TRUE")</f>
        <v/>
      </c>
      <c r="K251" t="str">
        <f>IF(A251="","",'Account Creation'!W251)</f>
        <v/>
      </c>
      <c r="L251" t="str">
        <f>IF(A251="","",'Account Creation'!V251)</f>
        <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DA6AC-06E9-4F4C-BE7C-E45B35CCE9B0}">
  <dimension ref="A1:AR251"/>
  <sheetViews>
    <sheetView workbookViewId="0">
      <selection activeCell="A17" sqref="A17:XFD250"/>
    </sheetView>
  </sheetViews>
  <sheetFormatPr defaultRowHeight="15" x14ac:dyDescent="0.25"/>
  <cols>
    <col min="2" max="2" width="11.5703125" customWidth="1"/>
    <col min="6" max="6" width="12.7109375" bestFit="1" customWidth="1"/>
    <col min="7" max="7" width="12.7109375" customWidth="1"/>
    <col min="8" max="8" width="25.7109375" bestFit="1" customWidth="1"/>
    <col min="9" max="9" width="10" bestFit="1" customWidth="1"/>
    <col min="20" max="20" width="13.5703125" customWidth="1"/>
    <col min="21" max="22" width="10.5703125" bestFit="1" customWidth="1"/>
    <col min="25" max="25" width="16.42578125" customWidth="1"/>
  </cols>
  <sheetData>
    <row r="1" spans="1:44" x14ac:dyDescent="0.25">
      <c r="A1" t="s">
        <v>345</v>
      </c>
      <c r="B1" t="s">
        <v>346</v>
      </c>
      <c r="C1" t="s">
        <v>2</v>
      </c>
      <c r="D1" t="s">
        <v>0</v>
      </c>
      <c r="E1" t="s">
        <v>1</v>
      </c>
      <c r="F1" t="s">
        <v>348</v>
      </c>
      <c r="G1" t="s">
        <v>347</v>
      </c>
      <c r="H1" t="s">
        <v>349</v>
      </c>
      <c r="I1" t="s">
        <v>351</v>
      </c>
      <c r="J1" t="s">
        <v>352</v>
      </c>
      <c r="K1" t="s">
        <v>354</v>
      </c>
      <c r="L1" t="s">
        <v>355</v>
      </c>
      <c r="M1" t="s">
        <v>356</v>
      </c>
      <c r="N1" t="s">
        <v>357</v>
      </c>
      <c r="O1" t="s">
        <v>358</v>
      </c>
      <c r="P1" t="s">
        <v>359</v>
      </c>
      <c r="Q1" t="s">
        <v>360</v>
      </c>
      <c r="R1" t="s">
        <v>353</v>
      </c>
      <c r="S1" t="s">
        <v>789</v>
      </c>
      <c r="T1" t="s">
        <v>361</v>
      </c>
      <c r="U1" t="s">
        <v>29</v>
      </c>
      <c r="V1" t="s">
        <v>30</v>
      </c>
      <c r="W1" t="s">
        <v>31</v>
      </c>
      <c r="X1" t="s">
        <v>4</v>
      </c>
      <c r="Y1" t="s">
        <v>364</v>
      </c>
      <c r="Z1" t="s">
        <v>365</v>
      </c>
      <c r="AA1" t="s">
        <v>366</v>
      </c>
      <c r="AB1" t="s">
        <v>367</v>
      </c>
      <c r="AC1" t="s">
        <v>368</v>
      </c>
      <c r="AD1" t="s">
        <v>369</v>
      </c>
      <c r="AE1" t="s">
        <v>370</v>
      </c>
      <c r="AF1" t="s">
        <v>372</v>
      </c>
      <c r="AG1" t="s">
        <v>373</v>
      </c>
      <c r="AH1" t="s">
        <v>374</v>
      </c>
      <c r="AI1" t="s">
        <v>375</v>
      </c>
      <c r="AJ1" t="s">
        <v>376</v>
      </c>
      <c r="AK1" t="s">
        <v>377</v>
      </c>
      <c r="AL1" t="s">
        <v>378</v>
      </c>
      <c r="AM1" t="s">
        <v>379</v>
      </c>
      <c r="AN1" t="s">
        <v>380</v>
      </c>
      <c r="AO1" t="s">
        <v>381</v>
      </c>
      <c r="AP1" t="s">
        <v>382</v>
      </c>
      <c r="AQ1" t="s">
        <v>385</v>
      </c>
      <c r="AR1" t="s">
        <v>503</v>
      </c>
    </row>
    <row r="2" spans="1:44" x14ac:dyDescent="0.25">
      <c r="A2" t="str">
        <f>IF(B2="","","Y")</f>
        <v/>
      </c>
      <c r="C2" t="str">
        <f>TRIM('Account Creation'!B2)</f>
        <v>Cristian</v>
      </c>
      <c r="D2" t="str">
        <f>TRIM('Account Creation'!D2)</f>
        <v>Ramirez</v>
      </c>
      <c r="F2" t="str">
        <f>IF(TRIM('Account Creation'!Z2)="0","",TRIM('Account Creation'!Z2))</f>
        <v/>
      </c>
      <c r="H2" t="str">
        <f>'Account Creation'!V2</f>
        <v>24-7Intouch_GTM_GUA_Chat_Nest</v>
      </c>
      <c r="J2" t="str">
        <f>'Account Creation'!Y2</f>
        <v>10670368:3:TRUE</v>
      </c>
      <c r="K2" t="str">
        <f>IF(B2="","",45)</f>
        <v/>
      </c>
      <c r="L2" t="str">
        <f>IF(B2="","",45)</f>
        <v/>
      </c>
      <c r="M2" t="str">
        <f>IF(B2="","",24)</f>
        <v/>
      </c>
      <c r="O2" t="str">
        <f>IF(B2="","",45)</f>
        <v/>
      </c>
      <c r="P2" t="str">
        <f>IF(B2="","",45)</f>
        <v/>
      </c>
      <c r="Q2" t="str">
        <f>IF(B2="","","inactive")</f>
        <v/>
      </c>
      <c r="U2" t="str">
        <f>'Account Creation'!AA2</f>
        <v>Guatemala</v>
      </c>
      <c r="V2" t="str">
        <f>'Account Creation'!AB2</f>
        <v>Guatemala</v>
      </c>
      <c r="W2" t="str">
        <f>'Account Creation'!AC2</f>
        <v>Guatemala City</v>
      </c>
      <c r="AF2" t="str">
        <f>IF(B2="","",'Account Creation'!AD2)</f>
        <v/>
      </c>
      <c r="AK2" t="str">
        <f>IF(B2="","",TRUE)</f>
        <v/>
      </c>
      <c r="AL2" t="str">
        <f>IF(B2="","",1)</f>
        <v/>
      </c>
      <c r="AM2" t="str">
        <f>IF(B2="","",0)</f>
        <v/>
      </c>
      <c r="AN2" t="str">
        <f>IF(B2="","",FALSE)</f>
        <v/>
      </c>
      <c r="AO2" t="str">
        <f>IF(B2="","",FALSE)</f>
        <v/>
      </c>
      <c r="AP2" t="str">
        <f>IF(B2="","",FALSE)</f>
        <v/>
      </c>
    </row>
    <row r="3" spans="1:44" x14ac:dyDescent="0.25">
      <c r="A3" s="97" t="str">
        <f t="shared" ref="A3:A66" si="0">IF(B3="","","Y")</f>
        <v/>
      </c>
      <c r="C3" t="str">
        <f>TRIM('Account Creation'!B3)</f>
        <v>Claudia</v>
      </c>
      <c r="D3" t="str">
        <f>TRIM('Account Creation'!D3)</f>
        <v>Garcia</v>
      </c>
      <c r="F3" s="97" t="str">
        <f>IF(TRIM('Account Creation'!Z3)="0","",TRIM('Account Creation'!Z3))</f>
        <v/>
      </c>
      <c r="H3" t="str">
        <f>'Account Creation'!V3</f>
        <v>24-7Intouch_GTM_GUA_Chat_Nest</v>
      </c>
      <c r="J3" t="str">
        <f>'Account Creation'!Y3</f>
        <v>10670368:3:TRUE</v>
      </c>
      <c r="K3" s="97" t="str">
        <f t="shared" ref="K3:K66" si="1">IF(B3="","",45)</f>
        <v/>
      </c>
      <c r="L3" s="97" t="str">
        <f t="shared" ref="L3:L66" si="2">IF(B3="","",45)</f>
        <v/>
      </c>
      <c r="M3" s="97" t="str">
        <f t="shared" ref="M3:M66" si="3">IF(B3="","",24)</f>
        <v/>
      </c>
      <c r="N3" s="97"/>
      <c r="O3" s="97" t="str">
        <f t="shared" ref="O3:O66" si="4">IF(B3="","",45)</f>
        <v/>
      </c>
      <c r="P3" s="97" t="str">
        <f t="shared" ref="P3:P66" si="5">IF(B3="","",45)</f>
        <v/>
      </c>
      <c r="Q3" s="97" t="str">
        <f t="shared" ref="Q3:Q66" si="6">IF(B3="","","inactive")</f>
        <v/>
      </c>
      <c r="U3" t="str">
        <f>'Account Creation'!AA3</f>
        <v>Guatemala</v>
      </c>
      <c r="V3" t="str">
        <f>'Account Creation'!AB3</f>
        <v>Guatemala</v>
      </c>
      <c r="W3" t="str">
        <f>'Account Creation'!AC3</f>
        <v>Guatemala City</v>
      </c>
      <c r="AF3" s="97" t="str">
        <f>IF(B3="","",'Account Creation'!AD3)</f>
        <v/>
      </c>
      <c r="AG3" s="97"/>
      <c r="AH3" s="97"/>
      <c r="AI3" s="97"/>
      <c r="AJ3" s="97"/>
      <c r="AK3" s="97" t="str">
        <f t="shared" ref="AK3:AK66" si="7">IF(B3="","",TRUE)</f>
        <v/>
      </c>
      <c r="AL3" s="97" t="str">
        <f t="shared" ref="AL3:AL66" si="8">IF(B3="","",1)</f>
        <v/>
      </c>
      <c r="AM3" s="97" t="str">
        <f t="shared" ref="AM3:AM66" si="9">IF(B3="","",0)</f>
        <v/>
      </c>
      <c r="AN3" s="97" t="str">
        <f t="shared" ref="AN3:AN66" si="10">IF(B3="","",FALSE)</f>
        <v/>
      </c>
      <c r="AO3" s="97" t="str">
        <f t="shared" ref="AO3:AO66" si="11">IF(B3="","",FALSE)</f>
        <v/>
      </c>
      <c r="AP3" s="97" t="str">
        <f t="shared" ref="AP3:AP66" si="12">IF(B3="","",FALSE)</f>
        <v/>
      </c>
    </row>
    <row r="4" spans="1:44" x14ac:dyDescent="0.25">
      <c r="A4" s="97" t="str">
        <f t="shared" si="0"/>
        <v/>
      </c>
      <c r="C4" t="str">
        <f>TRIM('Account Creation'!B4)</f>
        <v>Luis</v>
      </c>
      <c r="D4" t="str">
        <f>TRIM('Account Creation'!D4)</f>
        <v>Hernandez</v>
      </c>
      <c r="F4" s="97" t="str">
        <f>IF(TRIM('Account Creation'!Z4)="0","",TRIM('Account Creation'!Z4))</f>
        <v/>
      </c>
      <c r="H4" t="str">
        <f>'Account Creation'!V4</f>
        <v>24-7Intouch_GTM_GUA_Chat_Nest</v>
      </c>
      <c r="J4" t="str">
        <f>'Account Creation'!Y4</f>
        <v>10670368:3:TRUE</v>
      </c>
      <c r="K4" s="97" t="str">
        <f t="shared" si="1"/>
        <v/>
      </c>
      <c r="L4" s="97" t="str">
        <f t="shared" si="2"/>
        <v/>
      </c>
      <c r="M4" s="97" t="str">
        <f t="shared" si="3"/>
        <v/>
      </c>
      <c r="N4" s="97"/>
      <c r="O4" s="97" t="str">
        <f t="shared" si="4"/>
        <v/>
      </c>
      <c r="P4" s="97" t="str">
        <f t="shared" si="5"/>
        <v/>
      </c>
      <c r="Q4" s="97" t="str">
        <f t="shared" si="6"/>
        <v/>
      </c>
      <c r="U4" t="str">
        <f>'Account Creation'!AA4</f>
        <v>Guatemala</v>
      </c>
      <c r="V4" t="str">
        <f>'Account Creation'!AB4</f>
        <v>Guatemala</v>
      </c>
      <c r="W4" t="str">
        <f>'Account Creation'!AC4</f>
        <v>Guatemala City</v>
      </c>
      <c r="AF4" s="97" t="str">
        <f>IF(B4="","",'Account Creation'!AD4)</f>
        <v/>
      </c>
      <c r="AG4" s="97"/>
      <c r="AH4" s="97"/>
      <c r="AI4" s="97"/>
      <c r="AJ4" s="97"/>
      <c r="AK4" s="97" t="str">
        <f t="shared" si="7"/>
        <v/>
      </c>
      <c r="AL4" s="97" t="str">
        <f t="shared" si="8"/>
        <v/>
      </c>
      <c r="AM4" s="97" t="str">
        <f t="shared" si="9"/>
        <v/>
      </c>
      <c r="AN4" s="97" t="str">
        <f t="shared" si="10"/>
        <v/>
      </c>
      <c r="AO4" s="97" t="str">
        <f t="shared" si="11"/>
        <v/>
      </c>
      <c r="AP4" s="97" t="str">
        <f t="shared" si="12"/>
        <v/>
      </c>
    </row>
    <row r="5" spans="1:44" x14ac:dyDescent="0.25">
      <c r="A5" s="97" t="str">
        <f t="shared" si="0"/>
        <v/>
      </c>
      <c r="C5" t="str">
        <f>TRIM('Account Creation'!B5)</f>
        <v>Sofia</v>
      </c>
      <c r="D5" t="str">
        <f>TRIM('Account Creation'!D5)</f>
        <v>Marroquin</v>
      </c>
      <c r="F5" s="97" t="str">
        <f>IF(TRIM('Account Creation'!Z5)="0","",TRIM('Account Creation'!Z5))</f>
        <v/>
      </c>
      <c r="H5" t="str">
        <f>'Account Creation'!V5</f>
        <v>24-7Intouch_GTM_GUA_Chat_Nest</v>
      </c>
      <c r="J5" t="str">
        <f>'Account Creation'!Y5</f>
        <v>10670368:3:TRUE</v>
      </c>
      <c r="K5" s="97" t="str">
        <f t="shared" si="1"/>
        <v/>
      </c>
      <c r="L5" s="97" t="str">
        <f t="shared" si="2"/>
        <v/>
      </c>
      <c r="M5" s="97" t="str">
        <f t="shared" si="3"/>
        <v/>
      </c>
      <c r="N5" s="97"/>
      <c r="O5" s="97" t="str">
        <f t="shared" si="4"/>
        <v/>
      </c>
      <c r="P5" s="97" t="str">
        <f t="shared" si="5"/>
        <v/>
      </c>
      <c r="Q5" s="97" t="str">
        <f t="shared" si="6"/>
        <v/>
      </c>
      <c r="U5" t="str">
        <f>'Account Creation'!AA5</f>
        <v>Guatemala</v>
      </c>
      <c r="V5" t="str">
        <f>'Account Creation'!AB5</f>
        <v>Guatemala</v>
      </c>
      <c r="W5" t="str">
        <f>'Account Creation'!AC5</f>
        <v>Guatemala City</v>
      </c>
      <c r="AF5" s="97" t="str">
        <f>IF(B5="","",'Account Creation'!AD5)</f>
        <v/>
      </c>
      <c r="AG5" s="97"/>
      <c r="AH5" s="97"/>
      <c r="AI5" s="97"/>
      <c r="AJ5" s="97"/>
      <c r="AK5" s="97" t="str">
        <f t="shared" si="7"/>
        <v/>
      </c>
      <c r="AL5" s="97" t="str">
        <f t="shared" si="8"/>
        <v/>
      </c>
      <c r="AM5" s="97" t="str">
        <f t="shared" si="9"/>
        <v/>
      </c>
      <c r="AN5" s="97" t="str">
        <f t="shared" si="10"/>
        <v/>
      </c>
      <c r="AO5" s="97" t="str">
        <f t="shared" si="11"/>
        <v/>
      </c>
      <c r="AP5" s="97" t="str">
        <f t="shared" si="12"/>
        <v/>
      </c>
    </row>
    <row r="6" spans="1:44" x14ac:dyDescent="0.25">
      <c r="A6" s="97" t="str">
        <f t="shared" si="0"/>
        <v/>
      </c>
      <c r="C6" t="str">
        <f>TRIM('Account Creation'!B6)</f>
        <v>Guillermo</v>
      </c>
      <c r="D6" t="str">
        <f>TRIM('Account Creation'!D6)</f>
        <v>Zamora</v>
      </c>
      <c r="F6" s="97" t="str">
        <f>IF(TRIM('Account Creation'!Z6)="0","",TRIM('Account Creation'!Z6))</f>
        <v/>
      </c>
      <c r="H6" t="str">
        <f>'Account Creation'!V6</f>
        <v>24-7Intouch_GTM_GUA_Chat_Nest</v>
      </c>
      <c r="J6" t="str">
        <f>'Account Creation'!Y6</f>
        <v>10670368:3:TRUE</v>
      </c>
      <c r="K6" s="97" t="str">
        <f t="shared" si="1"/>
        <v/>
      </c>
      <c r="L6" s="97" t="str">
        <f t="shared" si="2"/>
        <v/>
      </c>
      <c r="M6" s="97" t="str">
        <f t="shared" si="3"/>
        <v/>
      </c>
      <c r="N6" s="97"/>
      <c r="O6" s="97" t="str">
        <f t="shared" si="4"/>
        <v/>
      </c>
      <c r="P6" s="97" t="str">
        <f t="shared" si="5"/>
        <v/>
      </c>
      <c r="Q6" s="97" t="str">
        <f t="shared" si="6"/>
        <v/>
      </c>
      <c r="U6" t="str">
        <f>'Account Creation'!AA6</f>
        <v>Guatemala</v>
      </c>
      <c r="V6" t="str">
        <f>'Account Creation'!AB6</f>
        <v>Guatemala</v>
      </c>
      <c r="W6" t="str">
        <f>'Account Creation'!AC6</f>
        <v>Guatemala City</v>
      </c>
      <c r="AF6" s="97" t="str">
        <f>IF(B6="","",'Account Creation'!AD6)</f>
        <v/>
      </c>
      <c r="AG6" s="97"/>
      <c r="AH6" s="97"/>
      <c r="AI6" s="97"/>
      <c r="AJ6" s="97"/>
      <c r="AK6" s="97" t="str">
        <f t="shared" si="7"/>
        <v/>
      </c>
      <c r="AL6" s="97" t="str">
        <f t="shared" si="8"/>
        <v/>
      </c>
      <c r="AM6" s="97" t="str">
        <f t="shared" si="9"/>
        <v/>
      </c>
      <c r="AN6" s="97" t="str">
        <f t="shared" si="10"/>
        <v/>
      </c>
      <c r="AO6" s="97" t="str">
        <f t="shared" si="11"/>
        <v/>
      </c>
      <c r="AP6" s="97" t="str">
        <f t="shared" si="12"/>
        <v/>
      </c>
    </row>
    <row r="7" spans="1:44" x14ac:dyDescent="0.25">
      <c r="A7" s="97" t="str">
        <f t="shared" si="0"/>
        <v/>
      </c>
      <c r="C7" t="str">
        <f>TRIM('Account Creation'!B7)</f>
        <v>Katherine</v>
      </c>
      <c r="D7" t="str">
        <f>TRIM('Account Creation'!D7)</f>
        <v>Santizo</v>
      </c>
      <c r="F7" s="97" t="str">
        <f>IF(TRIM('Account Creation'!Z7)="0","",TRIM('Account Creation'!Z7))</f>
        <v/>
      </c>
      <c r="H7" t="str">
        <f>'Account Creation'!V7</f>
        <v>24-7Intouch_GTM_GUA_Chat_Nest</v>
      </c>
      <c r="J7" t="str">
        <f>'Account Creation'!Y7</f>
        <v>10670368:3:TRUE</v>
      </c>
      <c r="K7" s="97" t="str">
        <f t="shared" si="1"/>
        <v/>
      </c>
      <c r="L7" s="97" t="str">
        <f t="shared" si="2"/>
        <v/>
      </c>
      <c r="M7" s="97" t="str">
        <f t="shared" si="3"/>
        <v/>
      </c>
      <c r="N7" s="97"/>
      <c r="O7" s="97" t="str">
        <f t="shared" si="4"/>
        <v/>
      </c>
      <c r="P7" s="97" t="str">
        <f t="shared" si="5"/>
        <v/>
      </c>
      <c r="Q7" s="97" t="str">
        <f t="shared" si="6"/>
        <v/>
      </c>
      <c r="U7" t="str">
        <f>'Account Creation'!AA7</f>
        <v>Guatemala</v>
      </c>
      <c r="V7" t="str">
        <f>'Account Creation'!AB7</f>
        <v>Guatemala</v>
      </c>
      <c r="W7" t="str">
        <f>'Account Creation'!AC7</f>
        <v>Guatemala City</v>
      </c>
      <c r="AF7" s="97" t="str">
        <f>IF(B7="","",'Account Creation'!AD7)</f>
        <v/>
      </c>
      <c r="AG7" s="97"/>
      <c r="AH7" s="97"/>
      <c r="AI7" s="97"/>
      <c r="AJ7" s="97"/>
      <c r="AK7" s="97" t="str">
        <f t="shared" si="7"/>
        <v/>
      </c>
      <c r="AL7" s="97" t="str">
        <f t="shared" si="8"/>
        <v/>
      </c>
      <c r="AM7" s="97" t="str">
        <f t="shared" si="9"/>
        <v/>
      </c>
      <c r="AN7" s="97" t="str">
        <f t="shared" si="10"/>
        <v/>
      </c>
      <c r="AO7" s="97" t="str">
        <f t="shared" si="11"/>
        <v/>
      </c>
      <c r="AP7" s="97" t="str">
        <f t="shared" si="12"/>
        <v/>
      </c>
    </row>
    <row r="8" spans="1:44" x14ac:dyDescent="0.25">
      <c r="A8" s="97" t="str">
        <f t="shared" si="0"/>
        <v/>
      </c>
      <c r="C8" t="str">
        <f>TRIM('Account Creation'!B8)</f>
        <v>Josue</v>
      </c>
      <c r="D8" t="str">
        <f>TRIM('Account Creation'!D8)</f>
        <v>Manrique</v>
      </c>
      <c r="F8" s="97" t="str">
        <f>IF(TRIM('Account Creation'!Z8)="0","",TRIM('Account Creation'!Z8))</f>
        <v/>
      </c>
      <c r="H8" t="str">
        <f>'Account Creation'!V8</f>
        <v>24-7Intouch_GTM_GUA_Chat_Nest</v>
      </c>
      <c r="J8" t="str">
        <f>'Account Creation'!Y8</f>
        <v>10670368:3:TRUE</v>
      </c>
      <c r="K8" s="97" t="str">
        <f t="shared" si="1"/>
        <v/>
      </c>
      <c r="L8" s="97" t="str">
        <f t="shared" si="2"/>
        <v/>
      </c>
      <c r="M8" s="97" t="str">
        <f t="shared" si="3"/>
        <v/>
      </c>
      <c r="N8" s="97"/>
      <c r="O8" s="97" t="str">
        <f t="shared" si="4"/>
        <v/>
      </c>
      <c r="P8" s="97" t="str">
        <f t="shared" si="5"/>
        <v/>
      </c>
      <c r="Q8" s="97" t="str">
        <f t="shared" si="6"/>
        <v/>
      </c>
      <c r="U8" t="str">
        <f>'Account Creation'!AA8</f>
        <v>Guatemala</v>
      </c>
      <c r="V8" t="str">
        <f>'Account Creation'!AB8</f>
        <v>Guatemala</v>
      </c>
      <c r="W8" t="str">
        <f>'Account Creation'!AC8</f>
        <v>Guatemala City</v>
      </c>
      <c r="AF8" s="97" t="str">
        <f>IF(B8="","",'Account Creation'!AD8)</f>
        <v/>
      </c>
      <c r="AG8" s="97"/>
      <c r="AH8" s="97"/>
      <c r="AI8" s="97"/>
      <c r="AJ8" s="97"/>
      <c r="AK8" s="97" t="str">
        <f t="shared" si="7"/>
        <v/>
      </c>
      <c r="AL8" s="97" t="str">
        <f t="shared" si="8"/>
        <v/>
      </c>
      <c r="AM8" s="97" t="str">
        <f t="shared" si="9"/>
        <v/>
      </c>
      <c r="AN8" s="97" t="str">
        <f t="shared" si="10"/>
        <v/>
      </c>
      <c r="AO8" s="97" t="str">
        <f t="shared" si="11"/>
        <v/>
      </c>
      <c r="AP8" s="97" t="str">
        <f t="shared" si="12"/>
        <v/>
      </c>
    </row>
    <row r="9" spans="1:44" x14ac:dyDescent="0.25">
      <c r="A9" s="97" t="str">
        <f t="shared" si="0"/>
        <v/>
      </c>
      <c r="C9" t="str">
        <f>TRIM('Account Creation'!B9)</f>
        <v>Kristtel</v>
      </c>
      <c r="D9" t="str">
        <f>TRIM('Account Creation'!D9)</f>
        <v>Hernandez</v>
      </c>
      <c r="F9" s="97" t="str">
        <f>IF(TRIM('Account Creation'!Z9)="0","",TRIM('Account Creation'!Z9))</f>
        <v/>
      </c>
      <c r="H9" t="str">
        <f>'Account Creation'!V9</f>
        <v>24-7Intouch_GTM_GUA_Chat_Nest</v>
      </c>
      <c r="J9" t="str">
        <f>'Account Creation'!Y9</f>
        <v>10670368:3:TRUE</v>
      </c>
      <c r="K9" s="97" t="str">
        <f t="shared" si="1"/>
        <v/>
      </c>
      <c r="L9" s="97" t="str">
        <f t="shared" si="2"/>
        <v/>
      </c>
      <c r="M9" s="97" t="str">
        <f t="shared" si="3"/>
        <v/>
      </c>
      <c r="N9" s="97"/>
      <c r="O9" s="97" t="str">
        <f t="shared" si="4"/>
        <v/>
      </c>
      <c r="P9" s="97" t="str">
        <f t="shared" si="5"/>
        <v/>
      </c>
      <c r="Q9" s="97" t="str">
        <f t="shared" si="6"/>
        <v/>
      </c>
      <c r="U9" t="str">
        <f>'Account Creation'!AA9</f>
        <v>Guatemala</v>
      </c>
      <c r="V9" t="str">
        <f>'Account Creation'!AB9</f>
        <v>Guatemala</v>
      </c>
      <c r="W9" t="str">
        <f>'Account Creation'!AC9</f>
        <v>Guatemala City</v>
      </c>
      <c r="AF9" s="97" t="str">
        <f>IF(B9="","",'Account Creation'!AD9)</f>
        <v/>
      </c>
      <c r="AG9" s="97"/>
      <c r="AH9" s="97"/>
      <c r="AI9" s="97"/>
      <c r="AJ9" s="97"/>
      <c r="AK9" s="97" t="str">
        <f t="shared" si="7"/>
        <v/>
      </c>
      <c r="AL9" s="97" t="str">
        <f t="shared" si="8"/>
        <v/>
      </c>
      <c r="AM9" s="97" t="str">
        <f t="shared" si="9"/>
        <v/>
      </c>
      <c r="AN9" s="97" t="str">
        <f t="shared" si="10"/>
        <v/>
      </c>
      <c r="AO9" s="97" t="str">
        <f t="shared" si="11"/>
        <v/>
      </c>
      <c r="AP9" s="97" t="str">
        <f t="shared" si="12"/>
        <v/>
      </c>
    </row>
    <row r="10" spans="1:44" x14ac:dyDescent="0.25">
      <c r="A10" s="97" t="str">
        <f t="shared" si="0"/>
        <v/>
      </c>
      <c r="C10" t="str">
        <f>TRIM('Account Creation'!B10)</f>
        <v>Juan</v>
      </c>
      <c r="D10" t="str">
        <f>TRIM('Account Creation'!D10)</f>
        <v>Flores</v>
      </c>
      <c r="F10" s="97" t="str">
        <f>IF(TRIM('Account Creation'!Z10)="0","",TRIM('Account Creation'!Z10))</f>
        <v/>
      </c>
      <c r="H10" t="str">
        <f>'Account Creation'!V10</f>
        <v>24-7Intouch_GTM_GUA_Chat_Nest</v>
      </c>
      <c r="J10" t="str">
        <f>'Account Creation'!Y10</f>
        <v>10670368:3:TRUE</v>
      </c>
      <c r="K10" s="97" t="str">
        <f t="shared" si="1"/>
        <v/>
      </c>
      <c r="L10" s="97" t="str">
        <f t="shared" si="2"/>
        <v/>
      </c>
      <c r="M10" s="97" t="str">
        <f t="shared" si="3"/>
        <v/>
      </c>
      <c r="N10" s="97"/>
      <c r="O10" s="97" t="str">
        <f t="shared" si="4"/>
        <v/>
      </c>
      <c r="P10" s="97" t="str">
        <f t="shared" si="5"/>
        <v/>
      </c>
      <c r="Q10" s="97" t="str">
        <f t="shared" si="6"/>
        <v/>
      </c>
      <c r="U10" t="str">
        <f>'Account Creation'!AA10</f>
        <v>Guatemala</v>
      </c>
      <c r="V10" t="str">
        <f>'Account Creation'!AB10</f>
        <v>Guatemala</v>
      </c>
      <c r="W10" t="str">
        <f>'Account Creation'!AC10</f>
        <v>Guatemala City</v>
      </c>
      <c r="AF10" s="97" t="str">
        <f>IF(B10="","",'Account Creation'!AD10)</f>
        <v/>
      </c>
      <c r="AG10" s="97"/>
      <c r="AH10" s="97"/>
      <c r="AI10" s="97"/>
      <c r="AJ10" s="97"/>
      <c r="AK10" s="97" t="str">
        <f t="shared" si="7"/>
        <v/>
      </c>
      <c r="AL10" s="97" t="str">
        <f t="shared" si="8"/>
        <v/>
      </c>
      <c r="AM10" s="97" t="str">
        <f t="shared" si="9"/>
        <v/>
      </c>
      <c r="AN10" s="97" t="str">
        <f t="shared" si="10"/>
        <v/>
      </c>
      <c r="AO10" s="97" t="str">
        <f t="shared" si="11"/>
        <v/>
      </c>
      <c r="AP10" s="97" t="str">
        <f t="shared" si="12"/>
        <v/>
      </c>
    </row>
    <row r="11" spans="1:44" x14ac:dyDescent="0.25">
      <c r="A11" s="97" t="str">
        <f t="shared" si="0"/>
        <v/>
      </c>
      <c r="C11" t="str">
        <f>TRIM('Account Creation'!B11)</f>
        <v>Gabriel</v>
      </c>
      <c r="D11" t="str">
        <f>TRIM('Account Creation'!D11)</f>
        <v>Morales</v>
      </c>
      <c r="F11" s="97" t="str">
        <f>IF(TRIM('Account Creation'!Z11)="0","",TRIM('Account Creation'!Z11))</f>
        <v/>
      </c>
      <c r="H11" t="str">
        <f>'Account Creation'!V11</f>
        <v>24-7Intouch_GTM_GUA_Chat_Nest</v>
      </c>
      <c r="J11" t="str">
        <f>'Account Creation'!Y11</f>
        <v>10670368:3:TRUE</v>
      </c>
      <c r="K11" s="97" t="str">
        <f t="shared" si="1"/>
        <v/>
      </c>
      <c r="L11" s="97" t="str">
        <f t="shared" si="2"/>
        <v/>
      </c>
      <c r="M11" s="97" t="str">
        <f t="shared" si="3"/>
        <v/>
      </c>
      <c r="N11" s="97"/>
      <c r="O11" s="97" t="str">
        <f t="shared" si="4"/>
        <v/>
      </c>
      <c r="P11" s="97" t="str">
        <f t="shared" si="5"/>
        <v/>
      </c>
      <c r="Q11" s="97" t="str">
        <f t="shared" si="6"/>
        <v/>
      </c>
      <c r="U11" t="str">
        <f>'Account Creation'!AA11</f>
        <v>Guatemala</v>
      </c>
      <c r="V11" t="str">
        <f>'Account Creation'!AB11</f>
        <v>Guatemala</v>
      </c>
      <c r="W11" t="str">
        <f>'Account Creation'!AC11</f>
        <v>Guatemala City</v>
      </c>
      <c r="AF11" s="97" t="str">
        <f>IF(B11="","",'Account Creation'!AD11)</f>
        <v/>
      </c>
      <c r="AG11" s="97"/>
      <c r="AH11" s="97"/>
      <c r="AI11" s="97"/>
      <c r="AJ11" s="97"/>
      <c r="AK11" s="97" t="str">
        <f t="shared" si="7"/>
        <v/>
      </c>
      <c r="AL11" s="97" t="str">
        <f t="shared" si="8"/>
        <v/>
      </c>
      <c r="AM11" s="97" t="str">
        <f t="shared" si="9"/>
        <v/>
      </c>
      <c r="AN11" s="97" t="str">
        <f t="shared" si="10"/>
        <v/>
      </c>
      <c r="AO11" s="97" t="str">
        <f t="shared" si="11"/>
        <v/>
      </c>
      <c r="AP11" s="97" t="str">
        <f t="shared" si="12"/>
        <v/>
      </c>
    </row>
    <row r="12" spans="1:44" x14ac:dyDescent="0.25">
      <c r="A12" s="97" t="str">
        <f t="shared" si="0"/>
        <v/>
      </c>
      <c r="C12" t="str">
        <f>TRIM('Account Creation'!B12)</f>
        <v>Mercedez</v>
      </c>
      <c r="D12" t="str">
        <f>TRIM('Account Creation'!D12)</f>
        <v>De Leon</v>
      </c>
      <c r="F12" s="97" t="str">
        <f>IF(TRIM('Account Creation'!Z12)="0","",TRIM('Account Creation'!Z12))</f>
        <v/>
      </c>
      <c r="H12" t="str">
        <f>'Account Creation'!V12</f>
        <v>24-7Intouch_GTM_GUA_Chat_Nest</v>
      </c>
      <c r="J12" t="str">
        <f>'Account Creation'!Y12</f>
        <v>10670368:3:TRUE</v>
      </c>
      <c r="K12" s="97" t="str">
        <f t="shared" si="1"/>
        <v/>
      </c>
      <c r="L12" s="97" t="str">
        <f t="shared" si="2"/>
        <v/>
      </c>
      <c r="M12" s="97" t="str">
        <f t="shared" si="3"/>
        <v/>
      </c>
      <c r="N12" s="97"/>
      <c r="O12" s="97" t="str">
        <f t="shared" si="4"/>
        <v/>
      </c>
      <c r="P12" s="97" t="str">
        <f t="shared" si="5"/>
        <v/>
      </c>
      <c r="Q12" s="97" t="str">
        <f t="shared" si="6"/>
        <v/>
      </c>
      <c r="U12" t="str">
        <f>'Account Creation'!AA12</f>
        <v>Guatemala</v>
      </c>
      <c r="V12" t="str">
        <f>'Account Creation'!AB12</f>
        <v>Guatemala</v>
      </c>
      <c r="W12" t="str">
        <f>'Account Creation'!AC12</f>
        <v>Guatemala City</v>
      </c>
      <c r="AF12" s="97" t="str">
        <f>IF(B12="","",'Account Creation'!AD12)</f>
        <v/>
      </c>
      <c r="AG12" s="97"/>
      <c r="AH12" s="97"/>
      <c r="AI12" s="97"/>
      <c r="AJ12" s="97"/>
      <c r="AK12" s="97" t="str">
        <f t="shared" si="7"/>
        <v/>
      </c>
      <c r="AL12" s="97" t="str">
        <f t="shared" si="8"/>
        <v/>
      </c>
      <c r="AM12" s="97" t="str">
        <f t="shared" si="9"/>
        <v/>
      </c>
      <c r="AN12" s="97" t="str">
        <f t="shared" si="10"/>
        <v/>
      </c>
      <c r="AO12" s="97" t="str">
        <f t="shared" si="11"/>
        <v/>
      </c>
      <c r="AP12" s="97" t="str">
        <f t="shared" si="12"/>
        <v/>
      </c>
    </row>
    <row r="13" spans="1:44" x14ac:dyDescent="0.25">
      <c r="A13" s="97" t="str">
        <f t="shared" si="0"/>
        <v/>
      </c>
      <c r="C13" t="str">
        <f>TRIM('Account Creation'!B13)</f>
        <v>Eduardo</v>
      </c>
      <c r="D13" t="str">
        <f>TRIM('Account Creation'!D13)</f>
        <v>Prera</v>
      </c>
      <c r="F13" s="97" t="str">
        <f>IF(TRIM('Account Creation'!Z13)="0","",TRIM('Account Creation'!Z13))</f>
        <v/>
      </c>
      <c r="H13" t="str">
        <f>'Account Creation'!V13</f>
        <v>24-7Intouch_GTM_GUA_Chat_Nest</v>
      </c>
      <c r="J13" t="str">
        <f>'Account Creation'!Y13</f>
        <v>10670368:3:TRUE</v>
      </c>
      <c r="K13" s="97" t="str">
        <f t="shared" si="1"/>
        <v/>
      </c>
      <c r="L13" s="97" t="str">
        <f t="shared" si="2"/>
        <v/>
      </c>
      <c r="M13" s="97" t="str">
        <f t="shared" si="3"/>
        <v/>
      </c>
      <c r="N13" s="97"/>
      <c r="O13" s="97" t="str">
        <f t="shared" si="4"/>
        <v/>
      </c>
      <c r="P13" s="97" t="str">
        <f t="shared" si="5"/>
        <v/>
      </c>
      <c r="Q13" s="97" t="str">
        <f t="shared" si="6"/>
        <v/>
      </c>
      <c r="U13" t="str">
        <f>'Account Creation'!AA13</f>
        <v>Guatemala</v>
      </c>
      <c r="V13" t="str">
        <f>'Account Creation'!AB13</f>
        <v>Guatemala</v>
      </c>
      <c r="W13" t="str">
        <f>'Account Creation'!AC13</f>
        <v>Guatemala City</v>
      </c>
      <c r="AF13" s="97" t="str">
        <f>IF(B13="","",'Account Creation'!AD13)</f>
        <v/>
      </c>
      <c r="AG13" s="97"/>
      <c r="AH13" s="97"/>
      <c r="AI13" s="97"/>
      <c r="AJ13" s="97"/>
      <c r="AK13" s="97" t="str">
        <f t="shared" si="7"/>
        <v/>
      </c>
      <c r="AL13" s="97" t="str">
        <f t="shared" si="8"/>
        <v/>
      </c>
      <c r="AM13" s="97" t="str">
        <f t="shared" si="9"/>
        <v/>
      </c>
      <c r="AN13" s="97" t="str">
        <f t="shared" si="10"/>
        <v/>
      </c>
      <c r="AO13" s="97" t="str">
        <f t="shared" si="11"/>
        <v/>
      </c>
      <c r="AP13" s="97" t="str">
        <f t="shared" si="12"/>
        <v/>
      </c>
    </row>
    <row r="14" spans="1:44" x14ac:dyDescent="0.25">
      <c r="A14" s="97" t="str">
        <f t="shared" si="0"/>
        <v/>
      </c>
      <c r="C14" t="str">
        <f>TRIM('Account Creation'!B14)</f>
        <v>Madelin</v>
      </c>
      <c r="D14" t="str">
        <f>TRIM('Account Creation'!D14)</f>
        <v>Abal</v>
      </c>
      <c r="F14" s="97" t="str">
        <f>IF(TRIM('Account Creation'!Z14)="0","",TRIM('Account Creation'!Z14))</f>
        <v/>
      </c>
      <c r="H14" t="str">
        <f>'Account Creation'!V14</f>
        <v>24-7Intouch_GTM_GUA_Chat_Nest</v>
      </c>
      <c r="J14" t="str">
        <f>'Account Creation'!Y14</f>
        <v>10670368:3:TRUE</v>
      </c>
      <c r="K14" s="97" t="str">
        <f t="shared" si="1"/>
        <v/>
      </c>
      <c r="L14" s="97" t="str">
        <f t="shared" si="2"/>
        <v/>
      </c>
      <c r="M14" s="97" t="str">
        <f t="shared" si="3"/>
        <v/>
      </c>
      <c r="N14" s="97"/>
      <c r="O14" s="97" t="str">
        <f t="shared" si="4"/>
        <v/>
      </c>
      <c r="P14" s="97" t="str">
        <f t="shared" si="5"/>
        <v/>
      </c>
      <c r="Q14" s="97" t="str">
        <f t="shared" si="6"/>
        <v/>
      </c>
      <c r="U14" t="str">
        <f>'Account Creation'!AA14</f>
        <v>Guatemala</v>
      </c>
      <c r="V14" t="str">
        <f>'Account Creation'!AB14</f>
        <v>Guatemala</v>
      </c>
      <c r="W14" t="str">
        <f>'Account Creation'!AC14</f>
        <v>Guatemala City</v>
      </c>
      <c r="AF14" s="97" t="str">
        <f>IF(B14="","",'Account Creation'!AD14)</f>
        <v/>
      </c>
      <c r="AG14" s="97"/>
      <c r="AH14" s="97"/>
      <c r="AI14" s="97"/>
      <c r="AJ14" s="97"/>
      <c r="AK14" s="97" t="str">
        <f t="shared" si="7"/>
        <v/>
      </c>
      <c r="AL14" s="97" t="str">
        <f t="shared" si="8"/>
        <v/>
      </c>
      <c r="AM14" s="97" t="str">
        <f t="shared" si="9"/>
        <v/>
      </c>
      <c r="AN14" s="97" t="str">
        <f t="shared" si="10"/>
        <v/>
      </c>
      <c r="AO14" s="97" t="str">
        <f t="shared" si="11"/>
        <v/>
      </c>
      <c r="AP14" s="97" t="str">
        <f t="shared" si="12"/>
        <v/>
      </c>
    </row>
    <row r="15" spans="1:44" x14ac:dyDescent="0.25">
      <c r="A15" s="97" t="str">
        <f t="shared" si="0"/>
        <v/>
      </c>
      <c r="C15" t="str">
        <f>TRIM('Account Creation'!B15)</f>
        <v>Dyana</v>
      </c>
      <c r="D15" t="str">
        <f>TRIM('Account Creation'!D15)</f>
        <v>Calicio</v>
      </c>
      <c r="F15" s="97" t="str">
        <f>IF(TRIM('Account Creation'!Z15)="0","",TRIM('Account Creation'!Z15))</f>
        <v/>
      </c>
      <c r="H15" t="str">
        <f>'Account Creation'!V15</f>
        <v>24-7Intouch_GTM_GUA_Chat_Nest</v>
      </c>
      <c r="J15" t="str">
        <f>'Account Creation'!Y15</f>
        <v>10670368:3:TRUE</v>
      </c>
      <c r="K15" s="97" t="str">
        <f t="shared" si="1"/>
        <v/>
      </c>
      <c r="L15" s="97" t="str">
        <f t="shared" si="2"/>
        <v/>
      </c>
      <c r="M15" s="97" t="str">
        <f t="shared" si="3"/>
        <v/>
      </c>
      <c r="N15" s="97"/>
      <c r="O15" s="97" t="str">
        <f t="shared" si="4"/>
        <v/>
      </c>
      <c r="P15" s="97" t="str">
        <f t="shared" si="5"/>
        <v/>
      </c>
      <c r="Q15" s="97" t="str">
        <f t="shared" si="6"/>
        <v/>
      </c>
      <c r="U15" t="str">
        <f>'Account Creation'!AA15</f>
        <v>Guatemala</v>
      </c>
      <c r="V15" t="str">
        <f>'Account Creation'!AB15</f>
        <v>Guatemala</v>
      </c>
      <c r="W15" t="str">
        <f>'Account Creation'!AC15</f>
        <v>Guatemala City</v>
      </c>
      <c r="AF15" s="97" t="str">
        <f>IF(B15="","",'Account Creation'!AD15)</f>
        <v/>
      </c>
      <c r="AG15" s="97"/>
      <c r="AH15" s="97"/>
      <c r="AI15" s="97"/>
      <c r="AJ15" s="97"/>
      <c r="AK15" s="97" t="str">
        <f t="shared" si="7"/>
        <v/>
      </c>
      <c r="AL15" s="97" t="str">
        <f t="shared" si="8"/>
        <v/>
      </c>
      <c r="AM15" s="97" t="str">
        <f t="shared" si="9"/>
        <v/>
      </c>
      <c r="AN15" s="97" t="str">
        <f t="shared" si="10"/>
        <v/>
      </c>
      <c r="AO15" s="97" t="str">
        <f t="shared" si="11"/>
        <v/>
      </c>
      <c r="AP15" s="97" t="str">
        <f t="shared" si="12"/>
        <v/>
      </c>
    </row>
    <row r="16" spans="1:44" x14ac:dyDescent="0.25">
      <c r="A16" s="97" t="str">
        <f t="shared" si="0"/>
        <v/>
      </c>
      <c r="C16" t="str">
        <f>TRIM('Account Creation'!B16)</f>
        <v>Sandra</v>
      </c>
      <c r="D16" t="str">
        <f>TRIM('Account Creation'!D16)</f>
        <v>Arango</v>
      </c>
      <c r="F16" s="97" t="str">
        <f>IF(TRIM('Account Creation'!Z16)="0","",TRIM('Account Creation'!Z16))</f>
        <v/>
      </c>
      <c r="H16" t="str">
        <f>'Account Creation'!V16</f>
        <v>24-7Intouch_GTM_GUA_Chat_Nest</v>
      </c>
      <c r="J16" t="str">
        <f>'Account Creation'!Y16</f>
        <v>10670368:3:TRUE</v>
      </c>
      <c r="K16" s="97" t="str">
        <f t="shared" si="1"/>
        <v/>
      </c>
      <c r="L16" s="97" t="str">
        <f t="shared" si="2"/>
        <v/>
      </c>
      <c r="M16" s="97" t="str">
        <f t="shared" si="3"/>
        <v/>
      </c>
      <c r="N16" s="97"/>
      <c r="O16" s="97" t="str">
        <f t="shared" si="4"/>
        <v/>
      </c>
      <c r="P16" s="97" t="str">
        <f t="shared" si="5"/>
        <v/>
      </c>
      <c r="Q16" s="97" t="str">
        <f t="shared" si="6"/>
        <v/>
      </c>
      <c r="U16" t="str">
        <f>'Account Creation'!AA16</f>
        <v>Guatemala</v>
      </c>
      <c r="V16" t="str">
        <f>'Account Creation'!AB16</f>
        <v>Guatemala</v>
      </c>
      <c r="W16" t="str">
        <f>'Account Creation'!AC16</f>
        <v>Guatemala City</v>
      </c>
      <c r="AF16" s="97" t="str">
        <f>IF(B16="","",'Account Creation'!AD16)</f>
        <v/>
      </c>
      <c r="AG16" s="97"/>
      <c r="AH16" s="97"/>
      <c r="AI16" s="97"/>
      <c r="AJ16" s="97"/>
      <c r="AK16" s="97" t="str">
        <f t="shared" si="7"/>
        <v/>
      </c>
      <c r="AL16" s="97" t="str">
        <f t="shared" si="8"/>
        <v/>
      </c>
      <c r="AM16" s="97" t="str">
        <f t="shared" si="9"/>
        <v/>
      </c>
      <c r="AN16" s="97" t="str">
        <f t="shared" si="10"/>
        <v/>
      </c>
      <c r="AO16" s="97" t="str">
        <f t="shared" si="11"/>
        <v/>
      </c>
      <c r="AP16" s="97" t="str">
        <f t="shared" si="12"/>
        <v/>
      </c>
    </row>
    <row r="17" spans="1:42" x14ac:dyDescent="0.25">
      <c r="A17" s="97"/>
      <c r="F17" s="97"/>
      <c r="K17" s="97"/>
      <c r="L17" s="97"/>
      <c r="M17" s="97"/>
      <c r="N17" s="97"/>
      <c r="O17" s="97"/>
      <c r="P17" s="97"/>
      <c r="Q17" s="97"/>
      <c r="AF17" s="97"/>
      <c r="AG17" s="97"/>
      <c r="AH17" s="97"/>
      <c r="AI17" s="97"/>
      <c r="AJ17" s="97"/>
      <c r="AK17" s="97"/>
      <c r="AL17" s="97"/>
      <c r="AM17" s="97"/>
      <c r="AN17" s="97"/>
      <c r="AO17" s="97"/>
      <c r="AP17" s="97"/>
    </row>
    <row r="18" spans="1:42" x14ac:dyDescent="0.25">
      <c r="A18" s="97"/>
      <c r="F18" s="97"/>
      <c r="K18" s="97"/>
      <c r="L18" s="97"/>
      <c r="M18" s="97"/>
      <c r="N18" s="97"/>
      <c r="O18" s="97"/>
      <c r="P18" s="97"/>
      <c r="Q18" s="97"/>
      <c r="AF18" s="97"/>
      <c r="AG18" s="97"/>
      <c r="AH18" s="97"/>
      <c r="AI18" s="97"/>
      <c r="AJ18" s="97"/>
      <c r="AK18" s="97"/>
      <c r="AL18" s="97"/>
      <c r="AM18" s="97"/>
      <c r="AN18" s="97"/>
      <c r="AO18" s="97"/>
      <c r="AP18" s="97"/>
    </row>
    <row r="19" spans="1:42" x14ac:dyDescent="0.25">
      <c r="A19" s="97"/>
      <c r="F19" s="97"/>
      <c r="K19" s="97"/>
      <c r="L19" s="97"/>
      <c r="M19" s="97"/>
      <c r="N19" s="97"/>
      <c r="O19" s="97"/>
      <c r="P19" s="97"/>
      <c r="Q19" s="97"/>
      <c r="AF19" s="97"/>
      <c r="AG19" s="97"/>
      <c r="AH19" s="97"/>
      <c r="AI19" s="97"/>
      <c r="AJ19" s="97"/>
      <c r="AK19" s="97"/>
      <c r="AL19" s="97"/>
      <c r="AM19" s="97"/>
      <c r="AN19" s="97"/>
      <c r="AO19" s="97"/>
      <c r="AP19" s="97"/>
    </row>
    <row r="20" spans="1:42" x14ac:dyDescent="0.25">
      <c r="A20" s="97"/>
      <c r="F20" s="97"/>
      <c r="K20" s="97"/>
      <c r="L20" s="97"/>
      <c r="M20" s="97"/>
      <c r="N20" s="97"/>
      <c r="O20" s="97"/>
      <c r="P20" s="97"/>
      <c r="Q20" s="97"/>
      <c r="AF20" s="97"/>
      <c r="AG20" s="97"/>
      <c r="AH20" s="97"/>
      <c r="AI20" s="97"/>
      <c r="AJ20" s="97"/>
      <c r="AK20" s="97"/>
      <c r="AL20" s="97"/>
      <c r="AM20" s="97"/>
      <c r="AN20" s="97"/>
      <c r="AO20" s="97"/>
      <c r="AP20" s="97"/>
    </row>
    <row r="21" spans="1:42" x14ac:dyDescent="0.25">
      <c r="A21" s="97"/>
      <c r="F21" s="97"/>
      <c r="K21" s="97"/>
      <c r="L21" s="97"/>
      <c r="M21" s="97"/>
      <c r="N21" s="97"/>
      <c r="O21" s="97"/>
      <c r="P21" s="97"/>
      <c r="Q21" s="97"/>
      <c r="AF21" s="97"/>
      <c r="AG21" s="97"/>
      <c r="AH21" s="97"/>
      <c r="AI21" s="97"/>
      <c r="AJ21" s="97"/>
      <c r="AK21" s="97"/>
      <c r="AL21" s="97"/>
      <c r="AM21" s="97"/>
      <c r="AN21" s="97"/>
      <c r="AO21" s="97"/>
      <c r="AP21" s="97"/>
    </row>
    <row r="22" spans="1:42" x14ac:dyDescent="0.25">
      <c r="A22" s="97"/>
      <c r="F22" s="97"/>
      <c r="K22" s="97"/>
      <c r="L22" s="97"/>
      <c r="M22" s="97"/>
      <c r="N22" s="97"/>
      <c r="O22" s="97"/>
      <c r="P22" s="97"/>
      <c r="Q22" s="97"/>
      <c r="AF22" s="97"/>
      <c r="AG22" s="97"/>
      <c r="AH22" s="97"/>
      <c r="AI22" s="97"/>
      <c r="AJ22" s="97"/>
      <c r="AK22" s="97"/>
      <c r="AL22" s="97"/>
      <c r="AM22" s="97"/>
      <c r="AN22" s="97"/>
      <c r="AO22" s="97"/>
      <c r="AP22" s="97"/>
    </row>
    <row r="23" spans="1:42" x14ac:dyDescent="0.25">
      <c r="A23" s="97"/>
      <c r="F23" s="97"/>
      <c r="K23" s="97"/>
      <c r="L23" s="97"/>
      <c r="M23" s="97"/>
      <c r="N23" s="97"/>
      <c r="O23" s="97"/>
      <c r="P23" s="97"/>
      <c r="Q23" s="97"/>
      <c r="AF23" s="97"/>
      <c r="AG23" s="97"/>
      <c r="AH23" s="97"/>
      <c r="AI23" s="97"/>
      <c r="AJ23" s="97"/>
      <c r="AK23" s="97"/>
      <c r="AL23" s="97"/>
      <c r="AM23" s="97"/>
      <c r="AN23" s="97"/>
      <c r="AO23" s="97"/>
      <c r="AP23" s="97"/>
    </row>
    <row r="24" spans="1:42" x14ac:dyDescent="0.25">
      <c r="A24" s="97"/>
      <c r="F24" s="97"/>
      <c r="K24" s="97"/>
      <c r="L24" s="97"/>
      <c r="M24" s="97"/>
      <c r="N24" s="97"/>
      <c r="O24" s="97"/>
      <c r="P24" s="97"/>
      <c r="Q24" s="97"/>
      <c r="AF24" s="97"/>
      <c r="AG24" s="97"/>
      <c r="AH24" s="97"/>
      <c r="AI24" s="97"/>
      <c r="AJ24" s="97"/>
      <c r="AK24" s="97"/>
      <c r="AL24" s="97"/>
      <c r="AM24" s="97"/>
      <c r="AN24" s="97"/>
      <c r="AO24" s="97"/>
      <c r="AP24" s="97"/>
    </row>
    <row r="25" spans="1:42" x14ac:dyDescent="0.25">
      <c r="A25" s="97"/>
      <c r="F25" s="97"/>
      <c r="K25" s="97"/>
      <c r="L25" s="97"/>
      <c r="M25" s="97"/>
      <c r="N25" s="97"/>
      <c r="O25" s="97"/>
      <c r="P25" s="97"/>
      <c r="Q25" s="97"/>
      <c r="AF25" s="97"/>
      <c r="AG25" s="97"/>
      <c r="AH25" s="97"/>
      <c r="AI25" s="97"/>
      <c r="AJ25" s="97"/>
      <c r="AK25" s="97"/>
      <c r="AL25" s="97"/>
      <c r="AM25" s="97"/>
      <c r="AN25" s="97"/>
      <c r="AO25" s="97"/>
      <c r="AP25" s="97"/>
    </row>
    <row r="26" spans="1:42" x14ac:dyDescent="0.25">
      <c r="A26" s="97"/>
      <c r="F26" s="97"/>
      <c r="K26" s="97"/>
      <c r="L26" s="97"/>
      <c r="M26" s="97"/>
      <c r="N26" s="97"/>
      <c r="O26" s="97"/>
      <c r="P26" s="97"/>
      <c r="Q26" s="97"/>
      <c r="AF26" s="97"/>
      <c r="AG26" s="97"/>
      <c r="AH26" s="97"/>
      <c r="AI26" s="97"/>
      <c r="AJ26" s="97"/>
      <c r="AK26" s="97"/>
      <c r="AL26" s="97"/>
      <c r="AM26" s="97"/>
      <c r="AN26" s="97"/>
      <c r="AO26" s="97"/>
      <c r="AP26" s="97"/>
    </row>
    <row r="27" spans="1:42" x14ac:dyDescent="0.25">
      <c r="A27" s="97"/>
      <c r="F27" s="97"/>
      <c r="K27" s="97"/>
      <c r="L27" s="97"/>
      <c r="M27" s="97"/>
      <c r="N27" s="97"/>
      <c r="O27" s="97"/>
      <c r="P27" s="97"/>
      <c r="Q27" s="97"/>
      <c r="AF27" s="97"/>
      <c r="AG27" s="97"/>
      <c r="AH27" s="97"/>
      <c r="AI27" s="97"/>
      <c r="AJ27" s="97"/>
      <c r="AK27" s="97"/>
      <c r="AL27" s="97"/>
      <c r="AM27" s="97"/>
      <c r="AN27" s="97"/>
      <c r="AO27" s="97"/>
      <c r="AP27" s="97"/>
    </row>
    <row r="28" spans="1:42" x14ac:dyDescent="0.25">
      <c r="A28" s="97"/>
      <c r="F28" s="97"/>
      <c r="K28" s="97"/>
      <c r="L28" s="97"/>
      <c r="M28" s="97"/>
      <c r="N28" s="97"/>
      <c r="O28" s="97"/>
      <c r="P28" s="97"/>
      <c r="Q28" s="97"/>
      <c r="AF28" s="97"/>
      <c r="AG28" s="97"/>
      <c r="AH28" s="97"/>
      <c r="AI28" s="97"/>
      <c r="AJ28" s="97"/>
      <c r="AK28" s="97"/>
      <c r="AL28" s="97"/>
      <c r="AM28" s="97"/>
      <c r="AN28" s="97"/>
      <c r="AO28" s="97"/>
      <c r="AP28" s="97"/>
    </row>
    <row r="29" spans="1:42" x14ac:dyDescent="0.25">
      <c r="A29" s="97"/>
      <c r="F29" s="97"/>
      <c r="K29" s="97"/>
      <c r="L29" s="97"/>
      <c r="M29" s="97"/>
      <c r="N29" s="97"/>
      <c r="O29" s="97"/>
      <c r="P29" s="97"/>
      <c r="Q29" s="97"/>
      <c r="AF29" s="97"/>
      <c r="AG29" s="97"/>
      <c r="AH29" s="97"/>
      <c r="AI29" s="97"/>
      <c r="AJ29" s="97"/>
      <c r="AK29" s="97"/>
      <c r="AL29" s="97"/>
      <c r="AM29" s="97"/>
      <c r="AN29" s="97"/>
      <c r="AO29" s="97"/>
      <c r="AP29" s="97"/>
    </row>
    <row r="30" spans="1:42" x14ac:dyDescent="0.25">
      <c r="A30" s="97"/>
      <c r="F30" s="97"/>
      <c r="K30" s="97"/>
      <c r="L30" s="97"/>
      <c r="M30" s="97"/>
      <c r="N30" s="97"/>
      <c r="O30" s="97"/>
      <c r="P30" s="97"/>
      <c r="Q30" s="97"/>
      <c r="AF30" s="97"/>
      <c r="AG30" s="97"/>
      <c r="AH30" s="97"/>
      <c r="AI30" s="97"/>
      <c r="AJ30" s="97"/>
      <c r="AK30" s="97"/>
      <c r="AL30" s="97"/>
      <c r="AM30" s="97"/>
      <c r="AN30" s="97"/>
      <c r="AO30" s="97"/>
      <c r="AP30" s="97"/>
    </row>
    <row r="31" spans="1:42" x14ac:dyDescent="0.25">
      <c r="A31" s="97"/>
      <c r="F31" s="97"/>
      <c r="K31" s="97"/>
      <c r="L31" s="97"/>
      <c r="M31" s="97"/>
      <c r="N31" s="97"/>
      <c r="O31" s="97"/>
      <c r="P31" s="97"/>
      <c r="Q31" s="97"/>
      <c r="AF31" s="97"/>
      <c r="AG31" s="97"/>
      <c r="AH31" s="97"/>
      <c r="AI31" s="97"/>
      <c r="AJ31" s="97"/>
      <c r="AK31" s="97"/>
      <c r="AL31" s="97"/>
      <c r="AM31" s="97"/>
      <c r="AN31" s="97"/>
      <c r="AO31" s="97"/>
      <c r="AP31" s="97"/>
    </row>
    <row r="32" spans="1:42" x14ac:dyDescent="0.25">
      <c r="A32" s="97"/>
      <c r="F32" s="97"/>
      <c r="K32" s="97"/>
      <c r="L32" s="97"/>
      <c r="M32" s="97"/>
      <c r="N32" s="97"/>
      <c r="O32" s="97"/>
      <c r="P32" s="97"/>
      <c r="Q32" s="97"/>
      <c r="AF32" s="97"/>
      <c r="AG32" s="97"/>
      <c r="AH32" s="97"/>
      <c r="AI32" s="97"/>
      <c r="AJ32" s="97"/>
      <c r="AK32" s="97"/>
      <c r="AL32" s="97"/>
      <c r="AM32" s="97"/>
      <c r="AN32" s="97"/>
      <c r="AO32" s="97"/>
      <c r="AP32" s="97"/>
    </row>
    <row r="33" spans="1:42" x14ac:dyDescent="0.25">
      <c r="A33" s="97"/>
      <c r="F33" s="97"/>
      <c r="K33" s="97"/>
      <c r="L33" s="97"/>
      <c r="M33" s="97"/>
      <c r="N33" s="97"/>
      <c r="O33" s="97"/>
      <c r="P33" s="97"/>
      <c r="Q33" s="97"/>
      <c r="AF33" s="97"/>
      <c r="AG33" s="97"/>
      <c r="AH33" s="97"/>
      <c r="AI33" s="97"/>
      <c r="AJ33" s="97"/>
      <c r="AK33" s="97"/>
      <c r="AL33" s="97"/>
      <c r="AM33" s="97"/>
      <c r="AN33" s="97"/>
      <c r="AO33" s="97"/>
      <c r="AP33" s="97"/>
    </row>
    <row r="34" spans="1:42" x14ac:dyDescent="0.25">
      <c r="A34" s="97"/>
      <c r="F34" s="97"/>
      <c r="K34" s="97"/>
      <c r="L34" s="97"/>
      <c r="M34" s="97"/>
      <c r="N34" s="97"/>
      <c r="O34" s="97"/>
      <c r="P34" s="97"/>
      <c r="Q34" s="97"/>
      <c r="AF34" s="97"/>
      <c r="AG34" s="97"/>
      <c r="AH34" s="97"/>
      <c r="AI34" s="97"/>
      <c r="AJ34" s="97"/>
      <c r="AK34" s="97"/>
      <c r="AL34" s="97"/>
      <c r="AM34" s="97"/>
      <c r="AN34" s="97"/>
      <c r="AO34" s="97"/>
      <c r="AP34" s="97"/>
    </row>
    <row r="35" spans="1:42" x14ac:dyDescent="0.25">
      <c r="A35" s="97"/>
      <c r="F35" s="97"/>
      <c r="K35" s="97"/>
      <c r="L35" s="97"/>
      <c r="M35" s="97"/>
      <c r="N35" s="97"/>
      <c r="O35" s="97"/>
      <c r="P35" s="97"/>
      <c r="Q35" s="97"/>
      <c r="AF35" s="97"/>
      <c r="AG35" s="97"/>
      <c r="AH35" s="97"/>
      <c r="AI35" s="97"/>
      <c r="AJ35" s="97"/>
      <c r="AK35" s="97"/>
      <c r="AL35" s="97"/>
      <c r="AM35" s="97"/>
      <c r="AN35" s="97"/>
      <c r="AO35" s="97"/>
      <c r="AP35" s="97"/>
    </row>
    <row r="36" spans="1:42" x14ac:dyDescent="0.25">
      <c r="A36" s="97"/>
      <c r="F36" s="97"/>
      <c r="K36" s="97"/>
      <c r="L36" s="97"/>
      <c r="M36" s="97"/>
      <c r="N36" s="97"/>
      <c r="O36" s="97"/>
      <c r="P36" s="97"/>
      <c r="Q36" s="97"/>
      <c r="AF36" s="97"/>
      <c r="AG36" s="97"/>
      <c r="AH36" s="97"/>
      <c r="AI36" s="97"/>
      <c r="AJ36" s="97"/>
      <c r="AK36" s="97"/>
      <c r="AL36" s="97"/>
      <c r="AM36" s="97"/>
      <c r="AN36" s="97"/>
      <c r="AO36" s="97"/>
      <c r="AP36" s="97"/>
    </row>
    <row r="37" spans="1:42" x14ac:dyDescent="0.25">
      <c r="A37" s="97"/>
      <c r="F37" s="97"/>
      <c r="K37" s="97"/>
      <c r="L37" s="97"/>
      <c r="M37" s="97"/>
      <c r="N37" s="97"/>
      <c r="O37" s="97"/>
      <c r="P37" s="97"/>
      <c r="Q37" s="97"/>
      <c r="AF37" s="97"/>
      <c r="AG37" s="97"/>
      <c r="AH37" s="97"/>
      <c r="AI37" s="97"/>
      <c r="AJ37" s="97"/>
      <c r="AK37" s="97"/>
      <c r="AL37" s="97"/>
      <c r="AM37" s="97"/>
      <c r="AN37" s="97"/>
      <c r="AO37" s="97"/>
      <c r="AP37" s="97"/>
    </row>
    <row r="38" spans="1:42" x14ac:dyDescent="0.25">
      <c r="A38" s="97"/>
      <c r="F38" s="97"/>
      <c r="K38" s="97"/>
      <c r="L38" s="97"/>
      <c r="M38" s="97"/>
      <c r="N38" s="97"/>
      <c r="O38" s="97"/>
      <c r="P38" s="97"/>
      <c r="Q38" s="97"/>
      <c r="AF38" s="97"/>
      <c r="AG38" s="97"/>
      <c r="AH38" s="97"/>
      <c r="AI38" s="97"/>
      <c r="AJ38" s="97"/>
      <c r="AK38" s="97"/>
      <c r="AL38" s="97"/>
      <c r="AM38" s="97"/>
      <c r="AN38" s="97"/>
      <c r="AO38" s="97"/>
      <c r="AP38" s="97"/>
    </row>
    <row r="39" spans="1:42" x14ac:dyDescent="0.25">
      <c r="A39" s="97"/>
      <c r="F39" s="97"/>
      <c r="K39" s="97"/>
      <c r="L39" s="97"/>
      <c r="M39" s="97"/>
      <c r="N39" s="97"/>
      <c r="O39" s="97"/>
      <c r="P39" s="97"/>
      <c r="Q39" s="97"/>
      <c r="AF39" s="97"/>
      <c r="AG39" s="97"/>
      <c r="AH39" s="97"/>
      <c r="AI39" s="97"/>
      <c r="AJ39" s="97"/>
      <c r="AK39" s="97"/>
      <c r="AL39" s="97"/>
      <c r="AM39" s="97"/>
      <c r="AN39" s="97"/>
      <c r="AO39" s="97"/>
      <c r="AP39" s="97"/>
    </row>
    <row r="40" spans="1:42" x14ac:dyDescent="0.25">
      <c r="A40" s="97"/>
      <c r="F40" s="97"/>
      <c r="K40" s="97"/>
      <c r="L40" s="97"/>
      <c r="M40" s="97"/>
      <c r="N40" s="97"/>
      <c r="O40" s="97"/>
      <c r="P40" s="97"/>
      <c r="Q40" s="97"/>
      <c r="AF40" s="97"/>
      <c r="AG40" s="97"/>
      <c r="AH40" s="97"/>
      <c r="AI40" s="97"/>
      <c r="AJ40" s="97"/>
      <c r="AK40" s="97"/>
      <c r="AL40" s="97"/>
      <c r="AM40" s="97"/>
      <c r="AN40" s="97"/>
      <c r="AO40" s="97"/>
      <c r="AP40" s="97"/>
    </row>
    <row r="41" spans="1:42" x14ac:dyDescent="0.25">
      <c r="A41" s="97"/>
      <c r="F41" s="97"/>
      <c r="K41" s="97"/>
      <c r="L41" s="97"/>
      <c r="M41" s="97"/>
      <c r="N41" s="97"/>
      <c r="O41" s="97"/>
      <c r="P41" s="97"/>
      <c r="Q41" s="97"/>
      <c r="AF41" s="97"/>
      <c r="AG41" s="97"/>
      <c r="AH41" s="97"/>
      <c r="AI41" s="97"/>
      <c r="AJ41" s="97"/>
      <c r="AK41" s="97"/>
      <c r="AL41" s="97"/>
      <c r="AM41" s="97"/>
      <c r="AN41" s="97"/>
      <c r="AO41" s="97"/>
      <c r="AP41" s="97"/>
    </row>
    <row r="42" spans="1:42" x14ac:dyDescent="0.25">
      <c r="A42" s="97"/>
      <c r="F42" s="97"/>
      <c r="K42" s="97"/>
      <c r="L42" s="97"/>
      <c r="M42" s="97"/>
      <c r="N42" s="97"/>
      <c r="O42" s="97"/>
      <c r="P42" s="97"/>
      <c r="Q42" s="97"/>
      <c r="AF42" s="97"/>
      <c r="AG42" s="97"/>
      <c r="AH42" s="97"/>
      <c r="AI42" s="97"/>
      <c r="AJ42" s="97"/>
      <c r="AK42" s="97"/>
      <c r="AL42" s="97"/>
      <c r="AM42" s="97"/>
      <c r="AN42" s="97"/>
      <c r="AO42" s="97"/>
      <c r="AP42" s="97"/>
    </row>
    <row r="43" spans="1:42" x14ac:dyDescent="0.25">
      <c r="A43" s="97"/>
      <c r="F43" s="97"/>
      <c r="K43" s="97"/>
      <c r="L43" s="97"/>
      <c r="M43" s="97"/>
      <c r="N43" s="97"/>
      <c r="O43" s="97"/>
      <c r="P43" s="97"/>
      <c r="Q43" s="97"/>
      <c r="AF43" s="97"/>
      <c r="AG43" s="97"/>
      <c r="AH43" s="97"/>
      <c r="AI43" s="97"/>
      <c r="AJ43" s="97"/>
      <c r="AK43" s="97"/>
      <c r="AL43" s="97"/>
      <c r="AM43" s="97"/>
      <c r="AN43" s="97"/>
      <c r="AO43" s="97"/>
      <c r="AP43" s="97"/>
    </row>
    <row r="44" spans="1:42" x14ac:dyDescent="0.25">
      <c r="A44" s="97"/>
      <c r="F44" s="97"/>
      <c r="K44" s="97"/>
      <c r="L44" s="97"/>
      <c r="M44" s="97"/>
      <c r="N44" s="97"/>
      <c r="O44" s="97"/>
      <c r="P44" s="97"/>
      <c r="Q44" s="97"/>
      <c r="AF44" s="97"/>
      <c r="AG44" s="97"/>
      <c r="AH44" s="97"/>
      <c r="AI44" s="97"/>
      <c r="AJ44" s="97"/>
      <c r="AK44" s="97"/>
      <c r="AL44" s="97"/>
      <c r="AM44" s="97"/>
      <c r="AN44" s="97"/>
      <c r="AO44" s="97"/>
      <c r="AP44" s="97"/>
    </row>
    <row r="45" spans="1:42" x14ac:dyDescent="0.25">
      <c r="A45" s="97"/>
      <c r="F45" s="97"/>
      <c r="K45" s="97"/>
      <c r="L45" s="97"/>
      <c r="M45" s="97"/>
      <c r="N45" s="97"/>
      <c r="O45" s="97"/>
      <c r="P45" s="97"/>
      <c r="Q45" s="97"/>
      <c r="AF45" s="97"/>
      <c r="AG45" s="97"/>
      <c r="AH45" s="97"/>
      <c r="AI45" s="97"/>
      <c r="AJ45" s="97"/>
      <c r="AK45" s="97"/>
      <c r="AL45" s="97"/>
      <c r="AM45" s="97"/>
      <c r="AN45" s="97"/>
      <c r="AO45" s="97"/>
      <c r="AP45" s="97"/>
    </row>
    <row r="46" spans="1:42" x14ac:dyDescent="0.25">
      <c r="A46" s="97"/>
      <c r="F46" s="97"/>
      <c r="K46" s="97"/>
      <c r="L46" s="97"/>
      <c r="M46" s="97"/>
      <c r="N46" s="97"/>
      <c r="O46" s="97"/>
      <c r="P46" s="97"/>
      <c r="Q46" s="97"/>
      <c r="AF46" s="97"/>
      <c r="AG46" s="97"/>
      <c r="AH46" s="97"/>
      <c r="AI46" s="97"/>
      <c r="AJ46" s="97"/>
      <c r="AK46" s="97"/>
      <c r="AL46" s="97"/>
      <c r="AM46" s="97"/>
      <c r="AN46" s="97"/>
      <c r="AO46" s="97"/>
      <c r="AP46" s="97"/>
    </row>
    <row r="47" spans="1:42" x14ac:dyDescent="0.25">
      <c r="A47" s="97"/>
      <c r="F47" s="97"/>
      <c r="K47" s="97"/>
      <c r="L47" s="97"/>
      <c r="M47" s="97"/>
      <c r="N47" s="97"/>
      <c r="O47" s="97"/>
      <c r="P47" s="97"/>
      <c r="Q47" s="97"/>
      <c r="AF47" s="97"/>
      <c r="AG47" s="97"/>
      <c r="AH47" s="97"/>
      <c r="AI47" s="97"/>
      <c r="AJ47" s="97"/>
      <c r="AK47" s="97"/>
      <c r="AL47" s="97"/>
      <c r="AM47" s="97"/>
      <c r="AN47" s="97"/>
      <c r="AO47" s="97"/>
      <c r="AP47" s="97"/>
    </row>
    <row r="48" spans="1:42" x14ac:dyDescent="0.25">
      <c r="A48" s="97"/>
      <c r="F48" s="97"/>
      <c r="K48" s="97"/>
      <c r="L48" s="97"/>
      <c r="M48" s="97"/>
      <c r="N48" s="97"/>
      <c r="O48" s="97"/>
      <c r="P48" s="97"/>
      <c r="Q48" s="97"/>
      <c r="AF48" s="97"/>
      <c r="AG48" s="97"/>
      <c r="AH48" s="97"/>
      <c r="AI48" s="97"/>
      <c r="AJ48" s="97"/>
      <c r="AK48" s="97"/>
      <c r="AL48" s="97"/>
      <c r="AM48" s="97"/>
      <c r="AN48" s="97"/>
      <c r="AO48" s="97"/>
      <c r="AP48" s="97"/>
    </row>
    <row r="49" spans="1:42" x14ac:dyDescent="0.25">
      <c r="A49" s="97"/>
      <c r="F49" s="97"/>
      <c r="K49" s="97"/>
      <c r="L49" s="97"/>
      <c r="M49" s="97"/>
      <c r="N49" s="97"/>
      <c r="O49" s="97"/>
      <c r="P49" s="97"/>
      <c r="Q49" s="97"/>
      <c r="AF49" s="97"/>
      <c r="AG49" s="97"/>
      <c r="AH49" s="97"/>
      <c r="AI49" s="97"/>
      <c r="AJ49" s="97"/>
      <c r="AK49" s="97"/>
      <c r="AL49" s="97"/>
      <c r="AM49" s="97"/>
      <c r="AN49" s="97"/>
      <c r="AO49" s="97"/>
      <c r="AP49" s="97"/>
    </row>
    <row r="50" spans="1:42" x14ac:dyDescent="0.25">
      <c r="A50" s="97"/>
      <c r="F50" s="97"/>
      <c r="K50" s="97"/>
      <c r="L50" s="97"/>
      <c r="M50" s="97"/>
      <c r="N50" s="97"/>
      <c r="O50" s="97"/>
      <c r="P50" s="97"/>
      <c r="Q50" s="97"/>
      <c r="AF50" s="97"/>
      <c r="AG50" s="97"/>
      <c r="AH50" s="97"/>
      <c r="AI50" s="97"/>
      <c r="AJ50" s="97"/>
      <c r="AK50" s="97"/>
      <c r="AL50" s="97"/>
      <c r="AM50" s="97"/>
      <c r="AN50" s="97"/>
      <c r="AO50" s="97"/>
      <c r="AP50" s="97"/>
    </row>
    <row r="51" spans="1:42" x14ac:dyDescent="0.25">
      <c r="A51" s="97"/>
      <c r="F51" s="97"/>
      <c r="K51" s="97"/>
      <c r="L51" s="97"/>
      <c r="M51" s="97"/>
      <c r="N51" s="97"/>
      <c r="O51" s="97"/>
      <c r="P51" s="97"/>
      <c r="Q51" s="97"/>
      <c r="AF51" s="97"/>
      <c r="AG51" s="97"/>
      <c r="AH51" s="97"/>
      <c r="AI51" s="97"/>
      <c r="AJ51" s="97"/>
      <c r="AK51" s="97"/>
      <c r="AL51" s="97"/>
      <c r="AM51" s="97"/>
      <c r="AN51" s="97"/>
      <c r="AO51" s="97"/>
      <c r="AP51" s="97"/>
    </row>
    <row r="52" spans="1:42" x14ac:dyDescent="0.25">
      <c r="A52" s="97"/>
      <c r="F52" s="97"/>
      <c r="K52" s="97"/>
      <c r="L52" s="97"/>
      <c r="M52" s="97"/>
      <c r="N52" s="97"/>
      <c r="O52" s="97"/>
      <c r="P52" s="97"/>
      <c r="Q52" s="97"/>
      <c r="AF52" s="97"/>
      <c r="AG52" s="97"/>
      <c r="AH52" s="97"/>
      <c r="AI52" s="97"/>
      <c r="AJ52" s="97"/>
      <c r="AK52" s="97"/>
      <c r="AL52" s="97"/>
      <c r="AM52" s="97"/>
      <c r="AN52" s="97"/>
      <c r="AO52" s="97"/>
      <c r="AP52" s="97"/>
    </row>
    <row r="53" spans="1:42" x14ac:dyDescent="0.25">
      <c r="A53" s="97"/>
      <c r="F53" s="97"/>
      <c r="K53" s="97"/>
      <c r="L53" s="97"/>
      <c r="M53" s="97"/>
      <c r="N53" s="97"/>
      <c r="O53" s="97"/>
      <c r="P53" s="97"/>
      <c r="Q53" s="97"/>
      <c r="AF53" s="97"/>
      <c r="AG53" s="97"/>
      <c r="AH53" s="97"/>
      <c r="AI53" s="97"/>
      <c r="AJ53" s="97"/>
      <c r="AK53" s="97"/>
      <c r="AL53" s="97"/>
      <c r="AM53" s="97"/>
      <c r="AN53" s="97"/>
      <c r="AO53" s="97"/>
      <c r="AP53" s="97"/>
    </row>
    <row r="54" spans="1:42" x14ac:dyDescent="0.25">
      <c r="A54" s="97"/>
      <c r="F54" s="97"/>
      <c r="K54" s="97"/>
      <c r="L54" s="97"/>
      <c r="M54" s="97"/>
      <c r="N54" s="97"/>
      <c r="O54" s="97"/>
      <c r="P54" s="97"/>
      <c r="Q54" s="97"/>
      <c r="AF54" s="97"/>
      <c r="AG54" s="97"/>
      <c r="AH54" s="97"/>
      <c r="AI54" s="97"/>
      <c r="AJ54" s="97"/>
      <c r="AK54" s="97"/>
      <c r="AL54" s="97"/>
      <c r="AM54" s="97"/>
      <c r="AN54" s="97"/>
      <c r="AO54" s="97"/>
      <c r="AP54" s="97"/>
    </row>
    <row r="55" spans="1:42" x14ac:dyDescent="0.25">
      <c r="A55" s="97"/>
      <c r="F55" s="97"/>
      <c r="K55" s="97"/>
      <c r="L55" s="97"/>
      <c r="M55" s="97"/>
      <c r="N55" s="97"/>
      <c r="O55" s="97"/>
      <c r="P55" s="97"/>
      <c r="Q55" s="97"/>
      <c r="AF55" s="97"/>
      <c r="AG55" s="97"/>
      <c r="AH55" s="97"/>
      <c r="AI55" s="97"/>
      <c r="AJ55" s="97"/>
      <c r="AK55" s="97"/>
      <c r="AL55" s="97"/>
      <c r="AM55" s="97"/>
      <c r="AN55" s="97"/>
      <c r="AO55" s="97"/>
      <c r="AP55" s="97"/>
    </row>
    <row r="56" spans="1:42" x14ac:dyDescent="0.25">
      <c r="A56" s="97"/>
      <c r="F56" s="97"/>
      <c r="K56" s="97"/>
      <c r="L56" s="97"/>
      <c r="M56" s="97"/>
      <c r="N56" s="97"/>
      <c r="O56" s="97"/>
      <c r="P56" s="97"/>
      <c r="Q56" s="97"/>
      <c r="AF56" s="97"/>
      <c r="AG56" s="97"/>
      <c r="AH56" s="97"/>
      <c r="AI56" s="97"/>
      <c r="AJ56" s="97"/>
      <c r="AK56" s="97"/>
      <c r="AL56" s="97"/>
      <c r="AM56" s="97"/>
      <c r="AN56" s="97"/>
      <c r="AO56" s="97"/>
      <c r="AP56" s="97"/>
    </row>
    <row r="57" spans="1:42" x14ac:dyDescent="0.25">
      <c r="A57" s="97"/>
      <c r="F57" s="97"/>
      <c r="K57" s="97"/>
      <c r="L57" s="97"/>
      <c r="M57" s="97"/>
      <c r="N57" s="97"/>
      <c r="O57" s="97"/>
      <c r="P57" s="97"/>
      <c r="Q57" s="97"/>
      <c r="AF57" s="97"/>
      <c r="AG57" s="97"/>
      <c r="AH57" s="97"/>
      <c r="AI57" s="97"/>
      <c r="AJ57" s="97"/>
      <c r="AK57" s="97"/>
      <c r="AL57" s="97"/>
      <c r="AM57" s="97"/>
      <c r="AN57" s="97"/>
      <c r="AO57" s="97"/>
      <c r="AP57" s="97"/>
    </row>
    <row r="58" spans="1:42" x14ac:dyDescent="0.25">
      <c r="A58" s="97"/>
      <c r="F58" s="97"/>
      <c r="K58" s="97"/>
      <c r="L58" s="97"/>
      <c r="M58" s="97"/>
      <c r="N58" s="97"/>
      <c r="O58" s="97"/>
      <c r="P58" s="97"/>
      <c r="Q58" s="97"/>
      <c r="AF58" s="97"/>
      <c r="AG58" s="97"/>
      <c r="AH58" s="97"/>
      <c r="AI58" s="97"/>
      <c r="AJ58" s="97"/>
      <c r="AK58" s="97"/>
      <c r="AL58" s="97"/>
      <c r="AM58" s="97"/>
      <c r="AN58" s="97"/>
      <c r="AO58" s="97"/>
      <c r="AP58" s="97"/>
    </row>
    <row r="59" spans="1:42" x14ac:dyDescent="0.25">
      <c r="A59" s="97"/>
      <c r="F59" s="97"/>
      <c r="K59" s="97"/>
      <c r="L59" s="97"/>
      <c r="M59" s="97"/>
      <c r="N59" s="97"/>
      <c r="O59" s="97"/>
      <c r="P59" s="97"/>
      <c r="Q59" s="97"/>
      <c r="AF59" s="97"/>
      <c r="AG59" s="97"/>
      <c r="AH59" s="97"/>
      <c r="AI59" s="97"/>
      <c r="AJ59" s="97"/>
      <c r="AK59" s="97"/>
      <c r="AL59" s="97"/>
      <c r="AM59" s="97"/>
      <c r="AN59" s="97"/>
      <c r="AO59" s="97"/>
      <c r="AP59" s="97"/>
    </row>
    <row r="60" spans="1:42" x14ac:dyDescent="0.25">
      <c r="A60" s="97"/>
      <c r="F60" s="97"/>
      <c r="K60" s="97"/>
      <c r="L60" s="97"/>
      <c r="M60" s="97"/>
      <c r="N60" s="97"/>
      <c r="O60" s="97"/>
      <c r="P60" s="97"/>
      <c r="Q60" s="97"/>
      <c r="AF60" s="97"/>
      <c r="AG60" s="97"/>
      <c r="AH60" s="97"/>
      <c r="AI60" s="97"/>
      <c r="AJ60" s="97"/>
      <c r="AK60" s="97"/>
      <c r="AL60" s="97"/>
      <c r="AM60" s="97"/>
      <c r="AN60" s="97"/>
      <c r="AO60" s="97"/>
      <c r="AP60" s="97"/>
    </row>
    <row r="61" spans="1:42" x14ac:dyDescent="0.25">
      <c r="A61" s="97"/>
      <c r="F61" s="97"/>
      <c r="K61" s="97"/>
      <c r="L61" s="97"/>
      <c r="M61" s="97"/>
      <c r="N61" s="97"/>
      <c r="O61" s="97"/>
      <c r="P61" s="97"/>
      <c r="Q61" s="97"/>
      <c r="AF61" s="97"/>
      <c r="AG61" s="97"/>
      <c r="AH61" s="97"/>
      <c r="AI61" s="97"/>
      <c r="AJ61" s="97"/>
      <c r="AK61" s="97"/>
      <c r="AL61" s="97"/>
      <c r="AM61" s="97"/>
      <c r="AN61" s="97"/>
      <c r="AO61" s="97"/>
      <c r="AP61" s="97"/>
    </row>
    <row r="62" spans="1:42" x14ac:dyDescent="0.25">
      <c r="A62" s="97"/>
      <c r="F62" s="97"/>
      <c r="K62" s="97"/>
      <c r="L62" s="97"/>
      <c r="M62" s="97"/>
      <c r="N62" s="97"/>
      <c r="O62" s="97"/>
      <c r="P62" s="97"/>
      <c r="Q62" s="97"/>
      <c r="AF62" s="97"/>
      <c r="AG62" s="97"/>
      <c r="AH62" s="97"/>
      <c r="AI62" s="97"/>
      <c r="AJ62" s="97"/>
      <c r="AK62" s="97"/>
      <c r="AL62" s="97"/>
      <c r="AM62" s="97"/>
      <c r="AN62" s="97"/>
      <c r="AO62" s="97"/>
      <c r="AP62" s="97"/>
    </row>
    <row r="63" spans="1:42" x14ac:dyDescent="0.25">
      <c r="A63" s="97"/>
      <c r="F63" s="97"/>
      <c r="K63" s="97"/>
      <c r="L63" s="97"/>
      <c r="M63" s="97"/>
      <c r="N63" s="97"/>
      <c r="O63" s="97"/>
      <c r="P63" s="97"/>
      <c r="Q63" s="97"/>
      <c r="AF63" s="97"/>
      <c r="AG63" s="97"/>
      <c r="AH63" s="97"/>
      <c r="AI63" s="97"/>
      <c r="AJ63" s="97"/>
      <c r="AK63" s="97"/>
      <c r="AL63" s="97"/>
      <c r="AM63" s="97"/>
      <c r="AN63" s="97"/>
      <c r="AO63" s="97"/>
      <c r="AP63" s="97"/>
    </row>
    <row r="64" spans="1:42" x14ac:dyDescent="0.25">
      <c r="A64" s="97"/>
      <c r="F64" s="97"/>
      <c r="K64" s="97"/>
      <c r="L64" s="97"/>
      <c r="M64" s="97"/>
      <c r="N64" s="97"/>
      <c r="O64" s="97"/>
      <c r="P64" s="97"/>
      <c r="Q64" s="97"/>
      <c r="AF64" s="97"/>
      <c r="AG64" s="97"/>
      <c r="AH64" s="97"/>
      <c r="AI64" s="97"/>
      <c r="AJ64" s="97"/>
      <c r="AK64" s="97"/>
      <c r="AL64" s="97"/>
      <c r="AM64" s="97"/>
      <c r="AN64" s="97"/>
      <c r="AO64" s="97"/>
      <c r="AP64" s="97"/>
    </row>
    <row r="65" spans="1:42" x14ac:dyDescent="0.25">
      <c r="A65" s="97"/>
      <c r="F65" s="97"/>
      <c r="K65" s="97"/>
      <c r="L65" s="97"/>
      <c r="M65" s="97"/>
      <c r="N65" s="97"/>
      <c r="O65" s="97"/>
      <c r="P65" s="97"/>
      <c r="Q65" s="97"/>
      <c r="AF65" s="97"/>
      <c r="AG65" s="97"/>
      <c r="AH65" s="97"/>
      <c r="AI65" s="97"/>
      <c r="AJ65" s="97"/>
      <c r="AK65" s="97"/>
      <c r="AL65" s="97"/>
      <c r="AM65" s="97"/>
      <c r="AN65" s="97"/>
      <c r="AO65" s="97"/>
      <c r="AP65" s="97"/>
    </row>
    <row r="66" spans="1:42" x14ac:dyDescent="0.25">
      <c r="A66" s="97"/>
      <c r="F66" s="97"/>
      <c r="K66" s="97"/>
      <c r="L66" s="97"/>
      <c r="M66" s="97"/>
      <c r="N66" s="97"/>
      <c r="O66" s="97"/>
      <c r="P66" s="97"/>
      <c r="Q66" s="97"/>
      <c r="AF66" s="97"/>
      <c r="AG66" s="97"/>
      <c r="AH66" s="97"/>
      <c r="AI66" s="97"/>
      <c r="AJ66" s="97"/>
      <c r="AK66" s="97"/>
      <c r="AL66" s="97"/>
      <c r="AM66" s="97"/>
      <c r="AN66" s="97"/>
      <c r="AO66" s="97"/>
      <c r="AP66" s="97"/>
    </row>
    <row r="67" spans="1:42" x14ac:dyDescent="0.25">
      <c r="A67" s="97"/>
      <c r="F67" s="97"/>
      <c r="K67" s="97"/>
      <c r="L67" s="97"/>
      <c r="M67" s="97"/>
      <c r="N67" s="97"/>
      <c r="O67" s="97"/>
      <c r="P67" s="97"/>
      <c r="Q67" s="97"/>
      <c r="AF67" s="97"/>
      <c r="AG67" s="97"/>
      <c r="AH67" s="97"/>
      <c r="AI67" s="97"/>
      <c r="AJ67" s="97"/>
      <c r="AK67" s="97"/>
      <c r="AL67" s="97"/>
      <c r="AM67" s="97"/>
      <c r="AN67" s="97"/>
      <c r="AO67" s="97"/>
      <c r="AP67" s="97"/>
    </row>
    <row r="68" spans="1:42" x14ac:dyDescent="0.25">
      <c r="A68" s="97"/>
      <c r="F68" s="97"/>
      <c r="K68" s="97"/>
      <c r="L68" s="97"/>
      <c r="M68" s="97"/>
      <c r="N68" s="97"/>
      <c r="O68" s="97"/>
      <c r="P68" s="97"/>
      <c r="Q68" s="97"/>
      <c r="AF68" s="97"/>
      <c r="AG68" s="97"/>
      <c r="AH68" s="97"/>
      <c r="AI68" s="97"/>
      <c r="AJ68" s="97"/>
      <c r="AK68" s="97"/>
      <c r="AL68" s="97"/>
      <c r="AM68" s="97"/>
      <c r="AN68" s="97"/>
      <c r="AO68" s="97"/>
      <c r="AP68" s="97"/>
    </row>
    <row r="69" spans="1:42" x14ac:dyDescent="0.25">
      <c r="A69" s="97"/>
      <c r="F69" s="97"/>
      <c r="K69" s="97"/>
      <c r="L69" s="97"/>
      <c r="M69" s="97"/>
      <c r="N69" s="97"/>
      <c r="O69" s="97"/>
      <c r="P69" s="97"/>
      <c r="Q69" s="97"/>
      <c r="AF69" s="97"/>
      <c r="AG69" s="97"/>
      <c r="AH69" s="97"/>
      <c r="AI69" s="97"/>
      <c r="AJ69" s="97"/>
      <c r="AK69" s="97"/>
      <c r="AL69" s="97"/>
      <c r="AM69" s="97"/>
      <c r="AN69" s="97"/>
      <c r="AO69" s="97"/>
      <c r="AP69" s="97"/>
    </row>
    <row r="70" spans="1:42" x14ac:dyDescent="0.25">
      <c r="A70" s="97"/>
      <c r="F70" s="97"/>
      <c r="K70" s="97"/>
      <c r="L70" s="97"/>
      <c r="M70" s="97"/>
      <c r="N70" s="97"/>
      <c r="O70" s="97"/>
      <c r="P70" s="97"/>
      <c r="Q70" s="97"/>
      <c r="AF70" s="97"/>
      <c r="AG70" s="97"/>
      <c r="AH70" s="97"/>
      <c r="AI70" s="97"/>
      <c r="AJ70" s="97"/>
      <c r="AK70" s="97"/>
      <c r="AL70" s="97"/>
      <c r="AM70" s="97"/>
      <c r="AN70" s="97"/>
      <c r="AO70" s="97"/>
      <c r="AP70" s="97"/>
    </row>
    <row r="71" spans="1:42" x14ac:dyDescent="0.25">
      <c r="A71" s="97"/>
      <c r="F71" s="97"/>
      <c r="K71" s="97"/>
      <c r="L71" s="97"/>
      <c r="M71" s="97"/>
      <c r="N71" s="97"/>
      <c r="O71" s="97"/>
      <c r="P71" s="97"/>
      <c r="Q71" s="97"/>
      <c r="AF71" s="97"/>
      <c r="AG71" s="97"/>
      <c r="AH71" s="97"/>
      <c r="AI71" s="97"/>
      <c r="AJ71" s="97"/>
      <c r="AK71" s="97"/>
      <c r="AL71" s="97"/>
      <c r="AM71" s="97"/>
      <c r="AN71" s="97"/>
      <c r="AO71" s="97"/>
      <c r="AP71" s="97"/>
    </row>
    <row r="72" spans="1:42" x14ac:dyDescent="0.25">
      <c r="A72" s="97"/>
      <c r="F72" s="97"/>
      <c r="K72" s="97"/>
      <c r="L72" s="97"/>
      <c r="M72" s="97"/>
      <c r="N72" s="97"/>
      <c r="O72" s="97"/>
      <c r="P72" s="97"/>
      <c r="Q72" s="97"/>
      <c r="AF72" s="97"/>
      <c r="AG72" s="97"/>
      <c r="AH72" s="97"/>
      <c r="AI72" s="97"/>
      <c r="AJ72" s="97"/>
      <c r="AK72" s="97"/>
      <c r="AL72" s="97"/>
      <c r="AM72" s="97"/>
      <c r="AN72" s="97"/>
      <c r="AO72" s="97"/>
      <c r="AP72" s="97"/>
    </row>
    <row r="73" spans="1:42" x14ac:dyDescent="0.25">
      <c r="A73" s="97"/>
      <c r="F73" s="97"/>
      <c r="K73" s="97"/>
      <c r="L73" s="97"/>
      <c r="M73" s="97"/>
      <c r="N73" s="97"/>
      <c r="O73" s="97"/>
      <c r="P73" s="97"/>
      <c r="Q73" s="97"/>
      <c r="AF73" s="97"/>
      <c r="AG73" s="97"/>
      <c r="AH73" s="97"/>
      <c r="AI73" s="97"/>
      <c r="AJ73" s="97"/>
      <c r="AK73" s="97"/>
      <c r="AL73" s="97"/>
      <c r="AM73" s="97"/>
      <c r="AN73" s="97"/>
      <c r="AO73" s="97"/>
      <c r="AP73" s="97"/>
    </row>
    <row r="74" spans="1:42" x14ac:dyDescent="0.25">
      <c r="A74" s="97"/>
      <c r="F74" s="97"/>
      <c r="K74" s="97"/>
      <c r="L74" s="97"/>
      <c r="M74" s="97"/>
      <c r="N74" s="97"/>
      <c r="O74" s="97"/>
      <c r="P74" s="97"/>
      <c r="Q74" s="97"/>
      <c r="AF74" s="97"/>
      <c r="AG74" s="97"/>
      <c r="AH74" s="97"/>
      <c r="AI74" s="97"/>
      <c r="AJ74" s="97"/>
      <c r="AK74" s="97"/>
      <c r="AL74" s="97"/>
      <c r="AM74" s="97"/>
      <c r="AN74" s="97"/>
      <c r="AO74" s="97"/>
      <c r="AP74" s="97"/>
    </row>
    <row r="75" spans="1:42" x14ac:dyDescent="0.25">
      <c r="A75" s="97"/>
      <c r="F75" s="97"/>
      <c r="K75" s="97"/>
      <c r="L75" s="97"/>
      <c r="M75" s="97"/>
      <c r="N75" s="97"/>
      <c r="O75" s="97"/>
      <c r="P75" s="97"/>
      <c r="Q75" s="97"/>
      <c r="AF75" s="97"/>
      <c r="AG75" s="97"/>
      <c r="AH75" s="97"/>
      <c r="AI75" s="97"/>
      <c r="AJ75" s="97"/>
      <c r="AK75" s="97"/>
      <c r="AL75" s="97"/>
      <c r="AM75" s="97"/>
      <c r="AN75" s="97"/>
      <c r="AO75" s="97"/>
      <c r="AP75" s="97"/>
    </row>
    <row r="76" spans="1:42" x14ac:dyDescent="0.25">
      <c r="A76" s="97"/>
      <c r="F76" s="97"/>
      <c r="K76" s="97"/>
      <c r="L76" s="97"/>
      <c r="M76" s="97"/>
      <c r="N76" s="97"/>
      <c r="O76" s="97"/>
      <c r="P76" s="97"/>
      <c r="Q76" s="97"/>
      <c r="AF76" s="97"/>
      <c r="AG76" s="97"/>
      <c r="AH76" s="97"/>
      <c r="AI76" s="97"/>
      <c r="AJ76" s="97"/>
      <c r="AK76" s="97"/>
      <c r="AL76" s="97"/>
      <c r="AM76" s="97"/>
      <c r="AN76" s="97"/>
      <c r="AO76" s="97"/>
      <c r="AP76" s="97"/>
    </row>
    <row r="77" spans="1:42" x14ac:dyDescent="0.25">
      <c r="A77" s="97"/>
      <c r="F77" s="97"/>
      <c r="K77" s="97"/>
      <c r="L77" s="97"/>
      <c r="M77" s="97"/>
      <c r="N77" s="97"/>
      <c r="O77" s="97"/>
      <c r="P77" s="97"/>
      <c r="Q77" s="97"/>
      <c r="AF77" s="97"/>
      <c r="AG77" s="97"/>
      <c r="AH77" s="97"/>
      <c r="AI77" s="97"/>
      <c r="AJ77" s="97"/>
      <c r="AK77" s="97"/>
      <c r="AL77" s="97"/>
      <c r="AM77" s="97"/>
      <c r="AN77" s="97"/>
      <c r="AO77" s="97"/>
      <c r="AP77" s="97"/>
    </row>
    <row r="78" spans="1:42" x14ac:dyDescent="0.25">
      <c r="A78" s="97"/>
      <c r="F78" s="97"/>
      <c r="K78" s="97"/>
      <c r="L78" s="97"/>
      <c r="M78" s="97"/>
      <c r="N78" s="97"/>
      <c r="O78" s="97"/>
      <c r="P78" s="97"/>
      <c r="Q78" s="97"/>
      <c r="AF78" s="97"/>
      <c r="AG78" s="97"/>
      <c r="AH78" s="97"/>
      <c r="AI78" s="97"/>
      <c r="AJ78" s="97"/>
      <c r="AK78" s="97"/>
      <c r="AL78" s="97"/>
      <c r="AM78" s="97"/>
      <c r="AN78" s="97"/>
      <c r="AO78" s="97"/>
      <c r="AP78" s="97"/>
    </row>
    <row r="79" spans="1:42" x14ac:dyDescent="0.25">
      <c r="A79" s="97"/>
      <c r="F79" s="97"/>
      <c r="K79" s="97"/>
      <c r="L79" s="97"/>
      <c r="M79" s="97"/>
      <c r="N79" s="97"/>
      <c r="O79" s="97"/>
      <c r="P79" s="97"/>
      <c r="Q79" s="97"/>
      <c r="AF79" s="97"/>
      <c r="AG79" s="97"/>
      <c r="AH79" s="97"/>
      <c r="AI79" s="97"/>
      <c r="AJ79" s="97"/>
      <c r="AK79" s="97"/>
      <c r="AL79" s="97"/>
      <c r="AM79" s="97"/>
      <c r="AN79" s="97"/>
      <c r="AO79" s="97"/>
      <c r="AP79" s="97"/>
    </row>
    <row r="80" spans="1:42" x14ac:dyDescent="0.25">
      <c r="A80" s="97"/>
      <c r="F80" s="97"/>
      <c r="K80" s="97"/>
      <c r="L80" s="97"/>
      <c r="M80" s="97"/>
      <c r="N80" s="97"/>
      <c r="O80" s="97"/>
      <c r="P80" s="97"/>
      <c r="Q80" s="97"/>
      <c r="AF80" s="97"/>
      <c r="AG80" s="97"/>
      <c r="AH80" s="97"/>
      <c r="AI80" s="97"/>
      <c r="AJ80" s="97"/>
      <c r="AK80" s="97"/>
      <c r="AL80" s="97"/>
      <c r="AM80" s="97"/>
      <c r="AN80" s="97"/>
      <c r="AO80" s="97"/>
      <c r="AP80" s="97"/>
    </row>
    <row r="81" spans="1:42" x14ac:dyDescent="0.25">
      <c r="A81" s="97"/>
      <c r="F81" s="97"/>
      <c r="K81" s="97"/>
      <c r="L81" s="97"/>
      <c r="M81" s="97"/>
      <c r="N81" s="97"/>
      <c r="O81" s="97"/>
      <c r="P81" s="97"/>
      <c r="Q81" s="97"/>
      <c r="AF81" s="97"/>
      <c r="AG81" s="97"/>
      <c r="AH81" s="97"/>
      <c r="AI81" s="97"/>
      <c r="AJ81" s="97"/>
      <c r="AK81" s="97"/>
      <c r="AL81" s="97"/>
      <c r="AM81" s="97"/>
      <c r="AN81" s="97"/>
      <c r="AO81" s="97"/>
      <c r="AP81" s="97"/>
    </row>
    <row r="82" spans="1:42" x14ac:dyDescent="0.25">
      <c r="A82" s="97"/>
      <c r="F82" s="97"/>
      <c r="K82" s="97"/>
      <c r="L82" s="97"/>
      <c r="M82" s="97"/>
      <c r="N82" s="97"/>
      <c r="O82" s="97"/>
      <c r="P82" s="97"/>
      <c r="Q82" s="97"/>
      <c r="AF82" s="97"/>
      <c r="AG82" s="97"/>
      <c r="AH82" s="97"/>
      <c r="AI82" s="97"/>
      <c r="AJ82" s="97"/>
      <c r="AK82" s="97"/>
      <c r="AL82" s="97"/>
      <c r="AM82" s="97"/>
      <c r="AN82" s="97"/>
      <c r="AO82" s="97"/>
      <c r="AP82" s="97"/>
    </row>
    <row r="83" spans="1:42" x14ac:dyDescent="0.25">
      <c r="A83" s="97"/>
      <c r="F83" s="97"/>
      <c r="K83" s="97"/>
      <c r="L83" s="97"/>
      <c r="M83" s="97"/>
      <c r="N83" s="97"/>
      <c r="O83" s="97"/>
      <c r="P83" s="97"/>
      <c r="Q83" s="97"/>
      <c r="AF83" s="97"/>
      <c r="AG83" s="97"/>
      <c r="AH83" s="97"/>
      <c r="AI83" s="97"/>
      <c r="AJ83" s="97"/>
      <c r="AK83" s="97"/>
      <c r="AL83" s="97"/>
      <c r="AM83" s="97"/>
      <c r="AN83" s="97"/>
      <c r="AO83" s="97"/>
      <c r="AP83" s="97"/>
    </row>
    <row r="84" spans="1:42" x14ac:dyDescent="0.25">
      <c r="A84" s="97"/>
      <c r="F84" s="97"/>
      <c r="K84" s="97"/>
      <c r="L84" s="97"/>
      <c r="M84" s="97"/>
      <c r="N84" s="97"/>
      <c r="O84" s="97"/>
      <c r="P84" s="97"/>
      <c r="Q84" s="97"/>
      <c r="AF84" s="97"/>
      <c r="AG84" s="97"/>
      <c r="AH84" s="97"/>
      <c r="AI84" s="97"/>
      <c r="AJ84" s="97"/>
      <c r="AK84" s="97"/>
      <c r="AL84" s="97"/>
      <c r="AM84" s="97"/>
      <c r="AN84" s="97"/>
      <c r="AO84" s="97"/>
      <c r="AP84" s="97"/>
    </row>
    <row r="85" spans="1:42" x14ac:dyDescent="0.25">
      <c r="A85" s="97"/>
      <c r="F85" s="97"/>
      <c r="K85" s="97"/>
      <c r="L85" s="97"/>
      <c r="M85" s="97"/>
      <c r="N85" s="97"/>
      <c r="O85" s="97"/>
      <c r="P85" s="97"/>
      <c r="Q85" s="97"/>
      <c r="AF85" s="97"/>
      <c r="AG85" s="97"/>
      <c r="AH85" s="97"/>
      <c r="AI85" s="97"/>
      <c r="AJ85" s="97"/>
      <c r="AK85" s="97"/>
      <c r="AL85" s="97"/>
      <c r="AM85" s="97"/>
      <c r="AN85" s="97"/>
      <c r="AO85" s="97"/>
      <c r="AP85" s="97"/>
    </row>
    <row r="86" spans="1:42" x14ac:dyDescent="0.25">
      <c r="A86" s="97"/>
      <c r="F86" s="97"/>
      <c r="K86" s="97"/>
      <c r="L86" s="97"/>
      <c r="M86" s="97"/>
      <c r="N86" s="97"/>
      <c r="O86" s="97"/>
      <c r="P86" s="97"/>
      <c r="Q86" s="97"/>
      <c r="AF86" s="97"/>
      <c r="AG86" s="97"/>
      <c r="AH86" s="97"/>
      <c r="AI86" s="97"/>
      <c r="AJ86" s="97"/>
      <c r="AK86" s="97"/>
      <c r="AL86" s="97"/>
      <c r="AM86" s="97"/>
      <c r="AN86" s="97"/>
      <c r="AO86" s="97"/>
      <c r="AP86" s="97"/>
    </row>
    <row r="87" spans="1:42" x14ac:dyDescent="0.25">
      <c r="A87" s="97"/>
      <c r="F87" s="97"/>
      <c r="K87" s="97"/>
      <c r="L87" s="97"/>
      <c r="M87" s="97"/>
      <c r="N87" s="97"/>
      <c r="O87" s="97"/>
      <c r="P87" s="97"/>
      <c r="Q87" s="97"/>
      <c r="AF87" s="97"/>
      <c r="AG87" s="97"/>
      <c r="AH87" s="97"/>
      <c r="AI87" s="97"/>
      <c r="AJ87" s="97"/>
      <c r="AK87" s="97"/>
      <c r="AL87" s="97"/>
      <c r="AM87" s="97"/>
      <c r="AN87" s="97"/>
      <c r="AO87" s="97"/>
      <c r="AP87" s="97"/>
    </row>
    <row r="88" spans="1:42" x14ac:dyDescent="0.25">
      <c r="A88" s="97"/>
      <c r="F88" s="97"/>
      <c r="K88" s="97"/>
      <c r="L88" s="97"/>
      <c r="M88" s="97"/>
      <c r="N88" s="97"/>
      <c r="O88" s="97"/>
      <c r="P88" s="97"/>
      <c r="Q88" s="97"/>
      <c r="AF88" s="97"/>
      <c r="AG88" s="97"/>
      <c r="AH88" s="97"/>
      <c r="AI88" s="97"/>
      <c r="AJ88" s="97"/>
      <c r="AK88" s="97"/>
      <c r="AL88" s="97"/>
      <c r="AM88" s="97"/>
      <c r="AN88" s="97"/>
      <c r="AO88" s="97"/>
      <c r="AP88" s="97"/>
    </row>
    <row r="89" spans="1:42" x14ac:dyDescent="0.25">
      <c r="A89" s="97"/>
      <c r="F89" s="97"/>
      <c r="K89" s="97"/>
      <c r="L89" s="97"/>
      <c r="M89" s="97"/>
      <c r="N89" s="97"/>
      <c r="O89" s="97"/>
      <c r="P89" s="97"/>
      <c r="Q89" s="97"/>
      <c r="AF89" s="97"/>
      <c r="AG89" s="97"/>
      <c r="AH89" s="97"/>
      <c r="AI89" s="97"/>
      <c r="AJ89" s="97"/>
      <c r="AK89" s="97"/>
      <c r="AL89" s="97"/>
      <c r="AM89" s="97"/>
      <c r="AN89" s="97"/>
      <c r="AO89" s="97"/>
      <c r="AP89" s="97"/>
    </row>
    <row r="90" spans="1:42" x14ac:dyDescent="0.25">
      <c r="A90" s="97"/>
      <c r="F90" s="97"/>
      <c r="K90" s="97"/>
      <c r="L90" s="97"/>
      <c r="M90" s="97"/>
      <c r="N90" s="97"/>
      <c r="O90" s="97"/>
      <c r="P90" s="97"/>
      <c r="Q90" s="97"/>
      <c r="AF90" s="97"/>
      <c r="AG90" s="97"/>
      <c r="AH90" s="97"/>
      <c r="AI90" s="97"/>
      <c r="AJ90" s="97"/>
      <c r="AK90" s="97"/>
      <c r="AL90" s="97"/>
      <c r="AM90" s="97"/>
      <c r="AN90" s="97"/>
      <c r="AO90" s="97"/>
      <c r="AP90" s="97"/>
    </row>
    <row r="91" spans="1:42" x14ac:dyDescent="0.25">
      <c r="A91" s="97"/>
      <c r="F91" s="97"/>
      <c r="K91" s="97"/>
      <c r="L91" s="97"/>
      <c r="M91" s="97"/>
      <c r="N91" s="97"/>
      <c r="O91" s="97"/>
      <c r="P91" s="97"/>
      <c r="Q91" s="97"/>
      <c r="AF91" s="97"/>
      <c r="AG91" s="97"/>
      <c r="AH91" s="97"/>
      <c r="AI91" s="97"/>
      <c r="AJ91" s="97"/>
      <c r="AK91" s="97"/>
      <c r="AL91" s="97"/>
      <c r="AM91" s="97"/>
      <c r="AN91" s="97"/>
      <c r="AO91" s="97"/>
      <c r="AP91" s="97"/>
    </row>
    <row r="92" spans="1:42" x14ac:dyDescent="0.25">
      <c r="A92" s="97"/>
      <c r="F92" s="97"/>
      <c r="K92" s="97"/>
      <c r="L92" s="97"/>
      <c r="M92" s="97"/>
      <c r="N92" s="97"/>
      <c r="O92" s="97"/>
      <c r="P92" s="97"/>
      <c r="Q92" s="97"/>
      <c r="AF92" s="97"/>
      <c r="AG92" s="97"/>
      <c r="AH92" s="97"/>
      <c r="AI92" s="97"/>
      <c r="AJ92" s="97"/>
      <c r="AK92" s="97"/>
      <c r="AL92" s="97"/>
      <c r="AM92" s="97"/>
      <c r="AN92" s="97"/>
      <c r="AO92" s="97"/>
      <c r="AP92" s="97"/>
    </row>
    <row r="93" spans="1:42" x14ac:dyDescent="0.25">
      <c r="A93" s="97"/>
      <c r="F93" s="97"/>
      <c r="K93" s="97"/>
      <c r="L93" s="97"/>
      <c r="M93" s="97"/>
      <c r="N93" s="97"/>
      <c r="O93" s="97"/>
      <c r="P93" s="97"/>
      <c r="Q93" s="97"/>
      <c r="AF93" s="97"/>
      <c r="AG93" s="97"/>
      <c r="AH93" s="97"/>
      <c r="AI93" s="97"/>
      <c r="AJ93" s="97"/>
      <c r="AK93" s="97"/>
      <c r="AL93" s="97"/>
      <c r="AM93" s="97"/>
      <c r="AN93" s="97"/>
      <c r="AO93" s="97"/>
      <c r="AP93" s="97"/>
    </row>
    <row r="94" spans="1:42" x14ac:dyDescent="0.25">
      <c r="A94" s="97"/>
      <c r="F94" s="97"/>
      <c r="K94" s="97"/>
      <c r="L94" s="97"/>
      <c r="M94" s="97"/>
      <c r="N94" s="97"/>
      <c r="O94" s="97"/>
      <c r="P94" s="97"/>
      <c r="Q94" s="97"/>
      <c r="AF94" s="97"/>
      <c r="AG94" s="97"/>
      <c r="AH94" s="97"/>
      <c r="AI94" s="97"/>
      <c r="AJ94" s="97"/>
      <c r="AK94" s="97"/>
      <c r="AL94" s="97"/>
      <c r="AM94" s="97"/>
      <c r="AN94" s="97"/>
      <c r="AO94" s="97"/>
      <c r="AP94" s="97"/>
    </row>
    <row r="95" spans="1:42" x14ac:dyDescent="0.25">
      <c r="A95" s="97"/>
      <c r="F95" s="97"/>
      <c r="K95" s="97"/>
      <c r="L95" s="97"/>
      <c r="M95" s="97"/>
      <c r="N95" s="97"/>
      <c r="O95" s="97"/>
      <c r="P95" s="97"/>
      <c r="Q95" s="97"/>
      <c r="AF95" s="97"/>
      <c r="AG95" s="97"/>
      <c r="AH95" s="97"/>
      <c r="AI95" s="97"/>
      <c r="AJ95" s="97"/>
      <c r="AK95" s="97"/>
      <c r="AL95" s="97"/>
      <c r="AM95" s="97"/>
      <c r="AN95" s="97"/>
      <c r="AO95" s="97"/>
      <c r="AP95" s="97"/>
    </row>
    <row r="96" spans="1:42" x14ac:dyDescent="0.25">
      <c r="A96" s="97"/>
      <c r="F96" s="97"/>
      <c r="K96" s="97"/>
      <c r="L96" s="97"/>
      <c r="M96" s="97"/>
      <c r="N96" s="97"/>
      <c r="O96" s="97"/>
      <c r="P96" s="97"/>
      <c r="Q96" s="97"/>
      <c r="AF96" s="97"/>
      <c r="AG96" s="97"/>
      <c r="AH96" s="97"/>
      <c r="AI96" s="97"/>
      <c r="AJ96" s="97"/>
      <c r="AK96" s="97"/>
      <c r="AL96" s="97"/>
      <c r="AM96" s="97"/>
      <c r="AN96" s="97"/>
      <c r="AO96" s="97"/>
      <c r="AP96" s="97"/>
    </row>
    <row r="97" spans="1:42" x14ac:dyDescent="0.25">
      <c r="A97" s="97"/>
      <c r="F97" s="97"/>
      <c r="K97" s="97"/>
      <c r="L97" s="97"/>
      <c r="M97" s="97"/>
      <c r="N97" s="97"/>
      <c r="O97" s="97"/>
      <c r="P97" s="97"/>
      <c r="Q97" s="97"/>
      <c r="AF97" s="97"/>
      <c r="AG97" s="97"/>
      <c r="AH97" s="97"/>
      <c r="AI97" s="97"/>
      <c r="AJ97" s="97"/>
      <c r="AK97" s="97"/>
      <c r="AL97" s="97"/>
      <c r="AM97" s="97"/>
      <c r="AN97" s="97"/>
      <c r="AO97" s="97"/>
      <c r="AP97" s="97"/>
    </row>
    <row r="98" spans="1:42" x14ac:dyDescent="0.25">
      <c r="A98" s="97"/>
      <c r="F98" s="97"/>
      <c r="K98" s="97"/>
      <c r="L98" s="97"/>
      <c r="M98" s="97"/>
      <c r="N98" s="97"/>
      <c r="O98" s="97"/>
      <c r="P98" s="97"/>
      <c r="Q98" s="97"/>
      <c r="AF98" s="97"/>
      <c r="AG98" s="97"/>
      <c r="AH98" s="97"/>
      <c r="AI98" s="97"/>
      <c r="AJ98" s="97"/>
      <c r="AK98" s="97"/>
      <c r="AL98" s="97"/>
      <c r="AM98" s="97"/>
      <c r="AN98" s="97"/>
      <c r="AO98" s="97"/>
      <c r="AP98" s="97"/>
    </row>
    <row r="99" spans="1:42" x14ac:dyDescent="0.25">
      <c r="A99" s="97"/>
      <c r="F99" s="97"/>
      <c r="K99" s="97"/>
      <c r="L99" s="97"/>
      <c r="M99" s="97"/>
      <c r="N99" s="97"/>
      <c r="O99" s="97"/>
      <c r="P99" s="97"/>
      <c r="Q99" s="97"/>
      <c r="AF99" s="97"/>
      <c r="AG99" s="97"/>
      <c r="AH99" s="97"/>
      <c r="AI99" s="97"/>
      <c r="AJ99" s="97"/>
      <c r="AK99" s="97"/>
      <c r="AL99" s="97"/>
      <c r="AM99" s="97"/>
      <c r="AN99" s="97"/>
      <c r="AO99" s="97"/>
      <c r="AP99" s="97"/>
    </row>
    <row r="100" spans="1:42" x14ac:dyDescent="0.25">
      <c r="A100" s="97"/>
      <c r="F100" s="97"/>
      <c r="K100" s="97"/>
      <c r="L100" s="97"/>
      <c r="M100" s="97"/>
      <c r="N100" s="97"/>
      <c r="O100" s="97"/>
      <c r="P100" s="97"/>
      <c r="Q100" s="97"/>
      <c r="AF100" s="97"/>
      <c r="AG100" s="97"/>
      <c r="AH100" s="97"/>
      <c r="AI100" s="97"/>
      <c r="AJ100" s="97"/>
      <c r="AK100" s="97"/>
      <c r="AL100" s="97"/>
      <c r="AM100" s="97"/>
      <c r="AN100" s="97"/>
      <c r="AO100" s="97"/>
      <c r="AP100" s="97"/>
    </row>
    <row r="101" spans="1:42" x14ac:dyDescent="0.25">
      <c r="A101" s="97"/>
      <c r="F101" s="97"/>
      <c r="K101" s="97"/>
      <c r="L101" s="97"/>
      <c r="M101" s="97"/>
      <c r="N101" s="97"/>
      <c r="O101" s="97"/>
      <c r="P101" s="97"/>
      <c r="Q101" s="97"/>
      <c r="AF101" s="97"/>
      <c r="AG101" s="97"/>
      <c r="AH101" s="97"/>
      <c r="AI101" s="97"/>
      <c r="AJ101" s="97"/>
      <c r="AK101" s="97"/>
      <c r="AL101" s="97"/>
      <c r="AM101" s="97"/>
      <c r="AN101" s="97"/>
      <c r="AO101" s="97"/>
      <c r="AP101" s="97"/>
    </row>
    <row r="102" spans="1:42" x14ac:dyDescent="0.25">
      <c r="A102" s="97"/>
      <c r="F102" s="97"/>
      <c r="K102" s="97"/>
      <c r="L102" s="97"/>
      <c r="M102" s="97"/>
      <c r="N102" s="97"/>
      <c r="O102" s="97"/>
      <c r="P102" s="97"/>
      <c r="Q102" s="97"/>
      <c r="AF102" s="97"/>
      <c r="AG102" s="97"/>
      <c r="AH102" s="97"/>
      <c r="AI102" s="97"/>
      <c r="AJ102" s="97"/>
      <c r="AK102" s="97"/>
      <c r="AL102" s="97"/>
      <c r="AM102" s="97"/>
      <c r="AN102" s="97"/>
      <c r="AO102" s="97"/>
      <c r="AP102" s="97"/>
    </row>
    <row r="103" spans="1:42" x14ac:dyDescent="0.25">
      <c r="A103" s="97"/>
      <c r="F103" s="97"/>
      <c r="K103" s="97"/>
      <c r="L103" s="97"/>
      <c r="M103" s="97"/>
      <c r="N103" s="97"/>
      <c r="O103" s="97"/>
      <c r="P103" s="97"/>
      <c r="Q103" s="97"/>
      <c r="AF103" s="97"/>
      <c r="AG103" s="97"/>
      <c r="AH103" s="97"/>
      <c r="AI103" s="97"/>
      <c r="AJ103" s="97"/>
      <c r="AK103" s="97"/>
      <c r="AL103" s="97"/>
      <c r="AM103" s="97"/>
      <c r="AN103" s="97"/>
      <c r="AO103" s="97"/>
      <c r="AP103" s="97"/>
    </row>
    <row r="104" spans="1:42" x14ac:dyDescent="0.25">
      <c r="A104" s="97"/>
      <c r="F104" s="97"/>
      <c r="J104" s="97"/>
      <c r="K104" s="97"/>
      <c r="L104" s="97"/>
      <c r="M104" s="97"/>
      <c r="N104" s="97"/>
      <c r="O104" s="97"/>
      <c r="P104" s="97"/>
      <c r="Q104" s="97"/>
      <c r="AF104" s="97"/>
      <c r="AG104" s="97"/>
      <c r="AH104" s="97"/>
      <c r="AI104" s="97"/>
      <c r="AJ104" s="97"/>
      <c r="AK104" s="97"/>
      <c r="AL104" s="97"/>
      <c r="AM104" s="97"/>
      <c r="AN104" s="97"/>
      <c r="AO104" s="97"/>
      <c r="AP104" s="97"/>
    </row>
    <row r="105" spans="1:42" x14ac:dyDescent="0.25">
      <c r="A105" s="97"/>
      <c r="F105" s="97"/>
      <c r="J105" s="97"/>
      <c r="K105" s="97"/>
      <c r="L105" s="97"/>
      <c r="M105" s="97"/>
      <c r="N105" s="97"/>
      <c r="O105" s="97"/>
      <c r="P105" s="97"/>
      <c r="Q105" s="97"/>
      <c r="AF105" s="97"/>
      <c r="AG105" s="97"/>
      <c r="AH105" s="97"/>
      <c r="AI105" s="97"/>
      <c r="AJ105" s="97"/>
      <c r="AK105" s="97"/>
      <c r="AL105" s="97"/>
      <c r="AM105" s="97"/>
      <c r="AN105" s="97"/>
      <c r="AO105" s="97"/>
      <c r="AP105" s="97"/>
    </row>
    <row r="106" spans="1:42" x14ac:dyDescent="0.25">
      <c r="A106" s="97"/>
      <c r="F106" s="97"/>
      <c r="J106" s="97"/>
      <c r="K106" s="97"/>
      <c r="L106" s="97"/>
      <c r="M106" s="97"/>
      <c r="N106" s="97"/>
      <c r="O106" s="97"/>
      <c r="P106" s="97"/>
      <c r="Q106" s="97"/>
      <c r="AF106" s="97"/>
      <c r="AG106" s="97"/>
      <c r="AH106" s="97"/>
      <c r="AI106" s="97"/>
      <c r="AJ106" s="97"/>
      <c r="AK106" s="97"/>
      <c r="AL106" s="97"/>
      <c r="AM106" s="97"/>
      <c r="AN106" s="97"/>
      <c r="AO106" s="97"/>
      <c r="AP106" s="97"/>
    </row>
    <row r="107" spans="1:42" x14ac:dyDescent="0.25">
      <c r="A107" s="97"/>
      <c r="F107" s="97"/>
      <c r="J107" s="97"/>
      <c r="K107" s="97"/>
      <c r="L107" s="97"/>
      <c r="M107" s="97"/>
      <c r="N107" s="97"/>
      <c r="O107" s="97"/>
      <c r="P107" s="97"/>
      <c r="Q107" s="97"/>
      <c r="AF107" s="97"/>
      <c r="AG107" s="97"/>
      <c r="AH107" s="97"/>
      <c r="AI107" s="97"/>
      <c r="AJ107" s="97"/>
      <c r="AK107" s="97"/>
      <c r="AL107" s="97"/>
      <c r="AM107" s="97"/>
      <c r="AN107" s="97"/>
      <c r="AO107" s="97"/>
      <c r="AP107" s="97"/>
    </row>
    <row r="108" spans="1:42" x14ac:dyDescent="0.25">
      <c r="A108" s="97"/>
      <c r="F108" s="97"/>
      <c r="K108" s="97"/>
      <c r="L108" s="97"/>
      <c r="M108" s="97"/>
      <c r="N108" s="97"/>
      <c r="O108" s="97"/>
      <c r="P108" s="97"/>
      <c r="Q108" s="97"/>
      <c r="AF108" s="97"/>
      <c r="AG108" s="97"/>
      <c r="AH108" s="97"/>
      <c r="AI108" s="97"/>
      <c r="AJ108" s="97"/>
      <c r="AK108" s="97"/>
      <c r="AL108" s="97"/>
      <c r="AM108" s="97"/>
      <c r="AN108" s="97"/>
      <c r="AO108" s="97"/>
      <c r="AP108" s="97"/>
    </row>
    <row r="109" spans="1:42" x14ac:dyDescent="0.25">
      <c r="A109" s="97"/>
      <c r="F109" s="97"/>
      <c r="K109" s="97"/>
      <c r="L109" s="97"/>
      <c r="M109" s="97"/>
      <c r="N109" s="97"/>
      <c r="O109" s="97"/>
      <c r="P109" s="97"/>
      <c r="Q109" s="97"/>
      <c r="AF109" s="97"/>
      <c r="AG109" s="97"/>
      <c r="AH109" s="97"/>
      <c r="AI109" s="97"/>
      <c r="AJ109" s="97"/>
      <c r="AK109" s="97"/>
      <c r="AL109" s="97"/>
      <c r="AM109" s="97"/>
      <c r="AN109" s="97"/>
      <c r="AO109" s="97"/>
      <c r="AP109" s="97"/>
    </row>
    <row r="110" spans="1:42" x14ac:dyDescent="0.25">
      <c r="A110" s="97"/>
      <c r="F110" s="97"/>
      <c r="K110" s="97"/>
      <c r="L110" s="97"/>
      <c r="M110" s="97"/>
      <c r="N110" s="97"/>
      <c r="O110" s="97"/>
      <c r="P110" s="97"/>
      <c r="Q110" s="97"/>
      <c r="AF110" s="97"/>
      <c r="AG110" s="97"/>
      <c r="AH110" s="97"/>
      <c r="AI110" s="97"/>
      <c r="AJ110" s="97"/>
      <c r="AK110" s="97"/>
      <c r="AL110" s="97"/>
      <c r="AM110" s="97"/>
      <c r="AN110" s="97"/>
      <c r="AO110" s="97"/>
      <c r="AP110" s="97"/>
    </row>
    <row r="111" spans="1:42" x14ac:dyDescent="0.25">
      <c r="A111" s="97"/>
      <c r="F111" s="97"/>
      <c r="K111" s="97"/>
      <c r="L111" s="97"/>
      <c r="M111" s="97"/>
      <c r="N111" s="97"/>
      <c r="O111" s="97"/>
      <c r="P111" s="97"/>
      <c r="Q111" s="97"/>
      <c r="AF111" s="97"/>
      <c r="AG111" s="97"/>
      <c r="AH111" s="97"/>
      <c r="AI111" s="97"/>
      <c r="AJ111" s="97"/>
      <c r="AK111" s="97"/>
      <c r="AL111" s="97"/>
      <c r="AM111" s="97"/>
      <c r="AN111" s="97"/>
      <c r="AO111" s="97"/>
      <c r="AP111" s="97"/>
    </row>
    <row r="112" spans="1:42" x14ac:dyDescent="0.25">
      <c r="A112" s="97"/>
      <c r="F112" s="97"/>
      <c r="K112" s="97"/>
      <c r="L112" s="97"/>
      <c r="M112" s="97"/>
      <c r="N112" s="97"/>
      <c r="O112" s="97"/>
      <c r="P112" s="97"/>
      <c r="Q112" s="97"/>
      <c r="AF112" s="97"/>
      <c r="AG112" s="97"/>
      <c r="AH112" s="97"/>
      <c r="AI112" s="97"/>
      <c r="AJ112" s="97"/>
      <c r="AK112" s="97"/>
      <c r="AL112" s="97"/>
      <c r="AM112" s="97"/>
      <c r="AN112" s="97"/>
      <c r="AO112" s="97"/>
      <c r="AP112" s="97"/>
    </row>
    <row r="113" spans="1:42" x14ac:dyDescent="0.25">
      <c r="A113" s="97"/>
      <c r="F113" s="97"/>
      <c r="K113" s="97"/>
      <c r="L113" s="97"/>
      <c r="M113" s="97"/>
      <c r="N113" s="97"/>
      <c r="O113" s="97"/>
      <c r="P113" s="97"/>
      <c r="Q113" s="97"/>
      <c r="AF113" s="97"/>
      <c r="AG113" s="97"/>
      <c r="AH113" s="97"/>
      <c r="AI113" s="97"/>
      <c r="AJ113" s="97"/>
      <c r="AK113" s="97"/>
      <c r="AL113" s="97"/>
      <c r="AM113" s="97"/>
      <c r="AN113" s="97"/>
      <c r="AO113" s="97"/>
      <c r="AP113" s="97"/>
    </row>
    <row r="114" spans="1:42" x14ac:dyDescent="0.25">
      <c r="A114" s="97"/>
      <c r="F114" s="97"/>
      <c r="K114" s="97"/>
      <c r="L114" s="97"/>
      <c r="M114" s="97"/>
      <c r="N114" s="97"/>
      <c r="O114" s="97"/>
      <c r="P114" s="97"/>
      <c r="Q114" s="97"/>
      <c r="AF114" s="97"/>
      <c r="AG114" s="97"/>
      <c r="AH114" s="97"/>
      <c r="AI114" s="97"/>
      <c r="AJ114" s="97"/>
      <c r="AK114" s="97"/>
      <c r="AL114" s="97"/>
      <c r="AM114" s="97"/>
      <c r="AN114" s="97"/>
      <c r="AO114" s="97"/>
      <c r="AP114" s="97"/>
    </row>
    <row r="115" spans="1:42" x14ac:dyDescent="0.25">
      <c r="A115" s="97"/>
      <c r="F115" s="97"/>
      <c r="K115" s="97"/>
      <c r="L115" s="97"/>
      <c r="M115" s="97"/>
      <c r="N115" s="97"/>
      <c r="O115" s="97"/>
      <c r="P115" s="97"/>
      <c r="Q115" s="97"/>
      <c r="AF115" s="97"/>
      <c r="AG115" s="97"/>
      <c r="AH115" s="97"/>
      <c r="AI115" s="97"/>
      <c r="AJ115" s="97"/>
      <c r="AK115" s="97"/>
      <c r="AL115" s="97"/>
      <c r="AM115" s="97"/>
      <c r="AN115" s="97"/>
      <c r="AO115" s="97"/>
      <c r="AP115" s="97"/>
    </row>
    <row r="116" spans="1:42" x14ac:dyDescent="0.25">
      <c r="A116" s="97"/>
      <c r="F116" s="97"/>
      <c r="K116" s="97"/>
      <c r="L116" s="97"/>
      <c r="M116" s="97"/>
      <c r="N116" s="97"/>
      <c r="O116" s="97"/>
      <c r="P116" s="97"/>
      <c r="Q116" s="97"/>
      <c r="AF116" s="97"/>
      <c r="AG116" s="97"/>
      <c r="AH116" s="97"/>
      <c r="AI116" s="97"/>
      <c r="AJ116" s="97"/>
      <c r="AK116" s="97"/>
      <c r="AL116" s="97"/>
      <c r="AM116" s="97"/>
      <c r="AN116" s="97"/>
      <c r="AO116" s="97"/>
      <c r="AP116" s="97"/>
    </row>
    <row r="117" spans="1:42" x14ac:dyDescent="0.25">
      <c r="A117" s="97"/>
      <c r="F117" s="97"/>
      <c r="K117" s="97"/>
      <c r="L117" s="97"/>
      <c r="M117" s="97"/>
      <c r="N117" s="97"/>
      <c r="O117" s="97"/>
      <c r="P117" s="97"/>
      <c r="Q117" s="97"/>
      <c r="AF117" s="97"/>
      <c r="AG117" s="97"/>
      <c r="AH117" s="97"/>
      <c r="AI117" s="97"/>
      <c r="AJ117" s="97"/>
      <c r="AK117" s="97"/>
      <c r="AL117" s="97"/>
      <c r="AM117" s="97"/>
      <c r="AN117" s="97"/>
      <c r="AO117" s="97"/>
      <c r="AP117" s="97"/>
    </row>
    <row r="118" spans="1:42" x14ac:dyDescent="0.25">
      <c r="A118" s="97"/>
      <c r="F118" s="97"/>
      <c r="K118" s="97"/>
      <c r="L118" s="97"/>
      <c r="M118" s="97"/>
      <c r="N118" s="97"/>
      <c r="O118" s="97"/>
      <c r="P118" s="97"/>
      <c r="Q118" s="97"/>
      <c r="AF118" s="97"/>
      <c r="AG118" s="97"/>
      <c r="AH118" s="97"/>
      <c r="AI118" s="97"/>
      <c r="AJ118" s="97"/>
      <c r="AK118" s="97"/>
      <c r="AL118" s="97"/>
      <c r="AM118" s="97"/>
      <c r="AN118" s="97"/>
      <c r="AO118" s="97"/>
      <c r="AP118" s="97"/>
    </row>
    <row r="119" spans="1:42" x14ac:dyDescent="0.25">
      <c r="A119" s="97"/>
      <c r="F119" s="97"/>
      <c r="K119" s="97"/>
      <c r="L119" s="97"/>
      <c r="M119" s="97"/>
      <c r="N119" s="97"/>
      <c r="O119" s="97"/>
      <c r="P119" s="97"/>
      <c r="Q119" s="97"/>
      <c r="AF119" s="97"/>
      <c r="AG119" s="97"/>
      <c r="AH119" s="97"/>
      <c r="AI119" s="97"/>
      <c r="AJ119" s="97"/>
      <c r="AK119" s="97"/>
      <c r="AL119" s="97"/>
      <c r="AM119" s="97"/>
      <c r="AN119" s="97"/>
      <c r="AO119" s="97"/>
      <c r="AP119" s="97"/>
    </row>
    <row r="120" spans="1:42" x14ac:dyDescent="0.25">
      <c r="A120" s="97"/>
      <c r="F120" s="97"/>
      <c r="K120" s="97"/>
      <c r="L120" s="97"/>
      <c r="M120" s="97"/>
      <c r="N120" s="97"/>
      <c r="O120" s="97"/>
      <c r="P120" s="97"/>
      <c r="Q120" s="97"/>
      <c r="AF120" s="97"/>
      <c r="AG120" s="97"/>
      <c r="AH120" s="97"/>
      <c r="AI120" s="97"/>
      <c r="AJ120" s="97"/>
      <c r="AK120" s="97"/>
      <c r="AL120" s="97"/>
      <c r="AM120" s="97"/>
      <c r="AN120" s="97"/>
      <c r="AO120" s="97"/>
      <c r="AP120" s="97"/>
    </row>
    <row r="121" spans="1:42" x14ac:dyDescent="0.25">
      <c r="A121" s="97"/>
      <c r="F121" s="97"/>
      <c r="K121" s="97"/>
      <c r="L121" s="97"/>
      <c r="M121" s="97"/>
      <c r="N121" s="97"/>
      <c r="O121" s="97"/>
      <c r="P121" s="97"/>
      <c r="Q121" s="97"/>
      <c r="AF121" s="97"/>
      <c r="AG121" s="97"/>
      <c r="AH121" s="97"/>
      <c r="AI121" s="97"/>
      <c r="AJ121" s="97"/>
      <c r="AK121" s="97"/>
      <c r="AL121" s="97"/>
      <c r="AM121" s="97"/>
      <c r="AN121" s="97"/>
      <c r="AO121" s="97"/>
      <c r="AP121" s="97"/>
    </row>
    <row r="122" spans="1:42" x14ac:dyDescent="0.25">
      <c r="A122" s="97"/>
      <c r="F122" s="97"/>
      <c r="K122" s="97"/>
      <c r="L122" s="97"/>
      <c r="M122" s="97"/>
      <c r="N122" s="97"/>
      <c r="O122" s="97"/>
      <c r="P122" s="97"/>
      <c r="Q122" s="97"/>
      <c r="AF122" s="97"/>
      <c r="AG122" s="97"/>
      <c r="AH122" s="97"/>
      <c r="AI122" s="97"/>
      <c r="AJ122" s="97"/>
      <c r="AK122" s="97"/>
      <c r="AL122" s="97"/>
      <c r="AM122" s="97"/>
      <c r="AN122" s="97"/>
      <c r="AO122" s="97"/>
      <c r="AP122" s="97"/>
    </row>
    <row r="123" spans="1:42" x14ac:dyDescent="0.25">
      <c r="A123" s="97"/>
      <c r="F123" s="97"/>
      <c r="K123" s="97"/>
      <c r="L123" s="97"/>
      <c r="M123" s="97"/>
      <c r="N123" s="97"/>
      <c r="O123" s="97"/>
      <c r="P123" s="97"/>
      <c r="Q123" s="97"/>
      <c r="AF123" s="97"/>
      <c r="AG123" s="97"/>
      <c r="AH123" s="97"/>
      <c r="AI123" s="97"/>
      <c r="AJ123" s="97"/>
      <c r="AK123" s="97"/>
      <c r="AL123" s="97"/>
      <c r="AM123" s="97"/>
      <c r="AN123" s="97"/>
      <c r="AO123" s="97"/>
      <c r="AP123" s="97"/>
    </row>
    <row r="124" spans="1:42" x14ac:dyDescent="0.25">
      <c r="A124" s="97"/>
      <c r="F124" s="97"/>
      <c r="K124" s="97"/>
      <c r="L124" s="97"/>
      <c r="M124" s="97"/>
      <c r="N124" s="97"/>
      <c r="O124" s="97"/>
      <c r="P124" s="97"/>
      <c r="Q124" s="97"/>
      <c r="AF124" s="97"/>
      <c r="AG124" s="97"/>
      <c r="AH124" s="97"/>
      <c r="AI124" s="97"/>
      <c r="AJ124" s="97"/>
      <c r="AK124" s="97"/>
      <c r="AL124" s="97"/>
      <c r="AM124" s="97"/>
      <c r="AN124" s="97"/>
      <c r="AO124" s="97"/>
      <c r="AP124" s="97"/>
    </row>
    <row r="125" spans="1:42" x14ac:dyDescent="0.25">
      <c r="A125" s="97"/>
      <c r="F125" s="97"/>
      <c r="K125" s="97"/>
      <c r="L125" s="97"/>
      <c r="M125" s="97"/>
      <c r="N125" s="97"/>
      <c r="O125" s="97"/>
      <c r="P125" s="97"/>
      <c r="Q125" s="97"/>
      <c r="AF125" s="97"/>
      <c r="AG125" s="97"/>
      <c r="AH125" s="97"/>
      <c r="AI125" s="97"/>
      <c r="AJ125" s="97"/>
      <c r="AK125" s="97"/>
      <c r="AL125" s="97"/>
      <c r="AM125" s="97"/>
      <c r="AN125" s="97"/>
      <c r="AO125" s="97"/>
      <c r="AP125" s="97"/>
    </row>
    <row r="126" spans="1:42" x14ac:dyDescent="0.25">
      <c r="A126" s="97"/>
      <c r="F126" s="97"/>
      <c r="K126" s="97"/>
      <c r="L126" s="97"/>
      <c r="M126" s="97"/>
      <c r="N126" s="97"/>
      <c r="O126" s="97"/>
      <c r="P126" s="97"/>
      <c r="Q126" s="97"/>
      <c r="AF126" s="97"/>
      <c r="AG126" s="97"/>
      <c r="AH126" s="97"/>
      <c r="AI126" s="97"/>
      <c r="AJ126" s="97"/>
      <c r="AK126" s="97"/>
      <c r="AL126" s="97"/>
      <c r="AM126" s="97"/>
      <c r="AN126" s="97"/>
      <c r="AO126" s="97"/>
      <c r="AP126" s="97"/>
    </row>
    <row r="127" spans="1:42" x14ac:dyDescent="0.25">
      <c r="A127" s="97"/>
      <c r="F127" s="97"/>
      <c r="K127" s="97"/>
      <c r="L127" s="97"/>
      <c r="M127" s="97"/>
      <c r="N127" s="97"/>
      <c r="O127" s="97"/>
      <c r="P127" s="97"/>
      <c r="Q127" s="97"/>
      <c r="AF127" s="97"/>
      <c r="AG127" s="97"/>
      <c r="AH127" s="97"/>
      <c r="AI127" s="97"/>
      <c r="AJ127" s="97"/>
      <c r="AK127" s="97"/>
      <c r="AL127" s="97"/>
      <c r="AM127" s="97"/>
      <c r="AN127" s="97"/>
      <c r="AO127" s="97"/>
      <c r="AP127" s="97"/>
    </row>
    <row r="128" spans="1:42" x14ac:dyDescent="0.25">
      <c r="A128" s="97"/>
      <c r="F128" s="97"/>
      <c r="K128" s="97"/>
      <c r="L128" s="97"/>
      <c r="M128" s="97"/>
      <c r="N128" s="97"/>
      <c r="O128" s="97"/>
      <c r="P128" s="97"/>
      <c r="Q128" s="97"/>
      <c r="AF128" s="97"/>
      <c r="AG128" s="97"/>
      <c r="AH128" s="97"/>
      <c r="AI128" s="97"/>
      <c r="AJ128" s="97"/>
      <c r="AK128" s="97"/>
      <c r="AL128" s="97"/>
      <c r="AM128" s="97"/>
      <c r="AN128" s="97"/>
      <c r="AO128" s="97"/>
      <c r="AP128" s="97"/>
    </row>
    <row r="129" spans="1:42" x14ac:dyDescent="0.25">
      <c r="A129" s="97"/>
      <c r="F129" s="97"/>
      <c r="K129" s="97"/>
      <c r="L129" s="97"/>
      <c r="M129" s="97"/>
      <c r="N129" s="97"/>
      <c r="O129" s="97"/>
      <c r="P129" s="97"/>
      <c r="Q129" s="97"/>
      <c r="AF129" s="97"/>
      <c r="AG129" s="97"/>
      <c r="AH129" s="97"/>
      <c r="AI129" s="97"/>
      <c r="AJ129" s="97"/>
      <c r="AK129" s="97"/>
      <c r="AL129" s="97"/>
      <c r="AM129" s="97"/>
      <c r="AN129" s="97"/>
      <c r="AO129" s="97"/>
      <c r="AP129" s="97"/>
    </row>
    <row r="130" spans="1:42" x14ac:dyDescent="0.25">
      <c r="A130" s="97"/>
      <c r="F130" s="97"/>
      <c r="K130" s="97"/>
      <c r="L130" s="97"/>
      <c r="M130" s="97"/>
      <c r="N130" s="97"/>
      <c r="O130" s="97"/>
      <c r="P130" s="97"/>
      <c r="Q130" s="97"/>
      <c r="AF130" s="97"/>
      <c r="AG130" s="97"/>
      <c r="AH130" s="97"/>
      <c r="AI130" s="97"/>
      <c r="AJ130" s="97"/>
      <c r="AK130" s="97"/>
      <c r="AL130" s="97"/>
      <c r="AM130" s="97"/>
      <c r="AN130" s="97"/>
      <c r="AO130" s="97"/>
      <c r="AP130" s="97"/>
    </row>
    <row r="131" spans="1:42" x14ac:dyDescent="0.25">
      <c r="A131" s="97"/>
      <c r="F131" s="97"/>
      <c r="K131" s="97"/>
      <c r="L131" s="97"/>
      <c r="M131" s="97"/>
      <c r="N131" s="97"/>
      <c r="O131" s="97"/>
      <c r="P131" s="97"/>
      <c r="Q131" s="97"/>
      <c r="AF131" s="97"/>
      <c r="AG131" s="97"/>
      <c r="AH131" s="97"/>
      <c r="AI131" s="97"/>
      <c r="AJ131" s="97"/>
      <c r="AK131" s="97"/>
      <c r="AL131" s="97"/>
      <c r="AM131" s="97"/>
      <c r="AN131" s="97"/>
      <c r="AO131" s="97"/>
      <c r="AP131" s="97"/>
    </row>
    <row r="132" spans="1:42" x14ac:dyDescent="0.25">
      <c r="A132" s="97"/>
      <c r="F132" s="97"/>
      <c r="K132" s="97"/>
      <c r="L132" s="97"/>
      <c r="M132" s="97"/>
      <c r="N132" s="97"/>
      <c r="O132" s="97"/>
      <c r="P132" s="97"/>
      <c r="Q132" s="97"/>
      <c r="AF132" s="97"/>
      <c r="AG132" s="97"/>
      <c r="AH132" s="97"/>
      <c r="AI132" s="97"/>
      <c r="AJ132" s="97"/>
      <c r="AK132" s="97"/>
      <c r="AL132" s="97"/>
      <c r="AM132" s="97"/>
      <c r="AN132" s="97"/>
      <c r="AO132" s="97"/>
      <c r="AP132" s="97"/>
    </row>
    <row r="133" spans="1:42" x14ac:dyDescent="0.25">
      <c r="A133" s="97"/>
      <c r="F133" s="97"/>
      <c r="K133" s="97"/>
      <c r="L133" s="97"/>
      <c r="M133" s="97"/>
      <c r="N133" s="97"/>
      <c r="O133" s="97"/>
      <c r="P133" s="97"/>
      <c r="Q133" s="97"/>
      <c r="AF133" s="97"/>
      <c r="AG133" s="97"/>
      <c r="AH133" s="97"/>
      <c r="AI133" s="97"/>
      <c r="AJ133" s="97"/>
      <c r="AK133" s="97"/>
      <c r="AL133" s="97"/>
      <c r="AM133" s="97"/>
      <c r="AN133" s="97"/>
      <c r="AO133" s="97"/>
      <c r="AP133" s="97"/>
    </row>
    <row r="134" spans="1:42" x14ac:dyDescent="0.25">
      <c r="A134" s="97"/>
      <c r="F134" s="97"/>
      <c r="K134" s="97"/>
      <c r="L134" s="97"/>
      <c r="M134" s="97"/>
      <c r="N134" s="97"/>
      <c r="O134" s="97"/>
      <c r="P134" s="97"/>
      <c r="Q134" s="97"/>
      <c r="AF134" s="97"/>
      <c r="AG134" s="97"/>
      <c r="AH134" s="97"/>
      <c r="AI134" s="97"/>
      <c r="AJ134" s="97"/>
      <c r="AK134" s="97"/>
      <c r="AL134" s="97"/>
      <c r="AM134" s="97"/>
      <c r="AN134" s="97"/>
      <c r="AO134" s="97"/>
      <c r="AP134" s="97"/>
    </row>
    <row r="135" spans="1:42" x14ac:dyDescent="0.25">
      <c r="A135" s="97"/>
      <c r="F135" s="97"/>
      <c r="K135" s="97"/>
      <c r="L135" s="97"/>
      <c r="M135" s="97"/>
      <c r="N135" s="97"/>
      <c r="O135" s="97"/>
      <c r="P135" s="97"/>
      <c r="Q135" s="97"/>
      <c r="AF135" s="97"/>
      <c r="AG135" s="97"/>
      <c r="AH135" s="97"/>
      <c r="AI135" s="97"/>
      <c r="AJ135" s="97"/>
      <c r="AK135" s="97"/>
      <c r="AL135" s="97"/>
      <c r="AM135" s="97"/>
      <c r="AN135" s="97"/>
      <c r="AO135" s="97"/>
      <c r="AP135" s="97"/>
    </row>
    <row r="136" spans="1:42" x14ac:dyDescent="0.25">
      <c r="A136" s="97"/>
      <c r="F136" s="97"/>
      <c r="K136" s="97"/>
      <c r="L136" s="97"/>
      <c r="M136" s="97"/>
      <c r="N136" s="97"/>
      <c r="O136" s="97"/>
      <c r="P136" s="97"/>
      <c r="Q136" s="97"/>
      <c r="AF136" s="97"/>
      <c r="AG136" s="97"/>
      <c r="AH136" s="97"/>
      <c r="AI136" s="97"/>
      <c r="AJ136" s="97"/>
      <c r="AK136" s="97"/>
      <c r="AL136" s="97"/>
      <c r="AM136" s="97"/>
      <c r="AN136" s="97"/>
      <c r="AO136" s="97"/>
      <c r="AP136" s="97"/>
    </row>
    <row r="137" spans="1:42" x14ac:dyDescent="0.25">
      <c r="A137" s="97"/>
      <c r="F137" s="97"/>
      <c r="K137" s="97"/>
      <c r="L137" s="97"/>
      <c r="M137" s="97"/>
      <c r="N137" s="97"/>
      <c r="O137" s="97"/>
      <c r="P137" s="97"/>
      <c r="Q137" s="97"/>
      <c r="AF137" s="97"/>
      <c r="AG137" s="97"/>
      <c r="AH137" s="97"/>
      <c r="AI137" s="97"/>
      <c r="AJ137" s="97"/>
      <c r="AK137" s="97"/>
      <c r="AL137" s="97"/>
      <c r="AM137" s="97"/>
      <c r="AN137" s="97"/>
      <c r="AO137" s="97"/>
      <c r="AP137" s="97"/>
    </row>
    <row r="138" spans="1:42" x14ac:dyDescent="0.25">
      <c r="A138" s="97"/>
      <c r="F138" s="97"/>
      <c r="K138" s="97"/>
      <c r="L138" s="97"/>
      <c r="M138" s="97"/>
      <c r="N138" s="97"/>
      <c r="O138" s="97"/>
      <c r="P138" s="97"/>
      <c r="Q138" s="97"/>
      <c r="AF138" s="97"/>
      <c r="AG138" s="97"/>
      <c r="AH138" s="97"/>
      <c r="AI138" s="97"/>
      <c r="AJ138" s="97"/>
      <c r="AK138" s="97"/>
      <c r="AL138" s="97"/>
      <c r="AM138" s="97"/>
      <c r="AN138" s="97"/>
      <c r="AO138" s="97"/>
      <c r="AP138" s="97"/>
    </row>
    <row r="139" spans="1:42" x14ac:dyDescent="0.25">
      <c r="A139" s="97"/>
      <c r="F139" s="97"/>
      <c r="K139" s="97"/>
      <c r="L139" s="97"/>
      <c r="M139" s="97"/>
      <c r="N139" s="97"/>
      <c r="O139" s="97"/>
      <c r="P139" s="97"/>
      <c r="Q139" s="97"/>
      <c r="AF139" s="97"/>
      <c r="AG139" s="97"/>
      <c r="AH139" s="97"/>
      <c r="AI139" s="97"/>
      <c r="AJ139" s="97"/>
      <c r="AK139" s="97"/>
      <c r="AL139" s="97"/>
      <c r="AM139" s="97"/>
      <c r="AN139" s="97"/>
      <c r="AO139" s="97"/>
      <c r="AP139" s="97"/>
    </row>
    <row r="140" spans="1:42" x14ac:dyDescent="0.25">
      <c r="A140" s="97"/>
      <c r="F140" s="97"/>
      <c r="K140" s="97"/>
      <c r="L140" s="97"/>
      <c r="M140" s="97"/>
      <c r="N140" s="97"/>
      <c r="O140" s="97"/>
      <c r="P140" s="97"/>
      <c r="Q140" s="97"/>
      <c r="AF140" s="97"/>
      <c r="AG140" s="97"/>
      <c r="AH140" s="97"/>
      <c r="AI140" s="97"/>
      <c r="AJ140" s="97"/>
      <c r="AK140" s="97"/>
      <c r="AL140" s="97"/>
      <c r="AM140" s="97"/>
      <c r="AN140" s="97"/>
      <c r="AO140" s="97"/>
      <c r="AP140" s="97"/>
    </row>
    <row r="141" spans="1:42" x14ac:dyDescent="0.25">
      <c r="A141" s="97"/>
      <c r="F141" s="97"/>
      <c r="K141" s="97"/>
      <c r="L141" s="97"/>
      <c r="M141" s="97"/>
      <c r="N141" s="97"/>
      <c r="O141" s="97"/>
      <c r="P141" s="97"/>
      <c r="Q141" s="97"/>
      <c r="AF141" s="97"/>
      <c r="AG141" s="97"/>
      <c r="AH141" s="97"/>
      <c r="AI141" s="97"/>
      <c r="AJ141" s="97"/>
      <c r="AK141" s="97"/>
      <c r="AL141" s="97"/>
      <c r="AM141" s="97"/>
      <c r="AN141" s="97"/>
      <c r="AO141" s="97"/>
      <c r="AP141" s="97"/>
    </row>
    <row r="142" spans="1:42" x14ac:dyDescent="0.25">
      <c r="A142" s="97"/>
      <c r="F142" s="97"/>
      <c r="K142" s="97"/>
      <c r="L142" s="97"/>
      <c r="M142" s="97"/>
      <c r="N142" s="97"/>
      <c r="O142" s="97"/>
      <c r="P142" s="97"/>
      <c r="Q142" s="97"/>
      <c r="AF142" s="97"/>
      <c r="AG142" s="97"/>
      <c r="AH142" s="97"/>
      <c r="AI142" s="97"/>
      <c r="AJ142" s="97"/>
      <c r="AK142" s="97"/>
      <c r="AL142" s="97"/>
      <c r="AM142" s="97"/>
      <c r="AN142" s="97"/>
      <c r="AO142" s="97"/>
      <c r="AP142" s="97"/>
    </row>
    <row r="143" spans="1:42" x14ac:dyDescent="0.25">
      <c r="A143" s="97"/>
      <c r="F143" s="97"/>
      <c r="K143" s="97"/>
      <c r="L143" s="97"/>
      <c r="M143" s="97"/>
      <c r="N143" s="97"/>
      <c r="O143" s="97"/>
      <c r="P143" s="97"/>
      <c r="Q143" s="97"/>
      <c r="AF143" s="97"/>
      <c r="AG143" s="97"/>
      <c r="AH143" s="97"/>
      <c r="AI143" s="97"/>
      <c r="AJ143" s="97"/>
      <c r="AK143" s="97"/>
      <c r="AL143" s="97"/>
      <c r="AM143" s="97"/>
      <c r="AN143" s="97"/>
      <c r="AO143" s="97"/>
      <c r="AP143" s="97"/>
    </row>
    <row r="144" spans="1:42" x14ac:dyDescent="0.25">
      <c r="A144" s="97"/>
      <c r="F144" s="97"/>
      <c r="K144" s="97"/>
      <c r="L144" s="97"/>
      <c r="M144" s="97"/>
      <c r="N144" s="97"/>
      <c r="O144" s="97"/>
      <c r="P144" s="97"/>
      <c r="Q144" s="97"/>
      <c r="AF144" s="97"/>
      <c r="AG144" s="97"/>
      <c r="AH144" s="97"/>
      <c r="AI144" s="97"/>
      <c r="AJ144" s="97"/>
      <c r="AK144" s="97"/>
      <c r="AL144" s="97"/>
      <c r="AM144" s="97"/>
      <c r="AN144" s="97"/>
      <c r="AO144" s="97"/>
      <c r="AP144" s="97"/>
    </row>
    <row r="145" spans="1:42" x14ac:dyDescent="0.25">
      <c r="A145" s="97"/>
      <c r="F145" s="97"/>
      <c r="K145" s="97"/>
      <c r="L145" s="97"/>
      <c r="M145" s="97"/>
      <c r="N145" s="97"/>
      <c r="O145" s="97"/>
      <c r="P145" s="97"/>
      <c r="Q145" s="97"/>
      <c r="AF145" s="97"/>
      <c r="AG145" s="97"/>
      <c r="AH145" s="97"/>
      <c r="AI145" s="97"/>
      <c r="AJ145" s="97"/>
      <c r="AK145" s="97"/>
      <c r="AL145" s="97"/>
      <c r="AM145" s="97"/>
      <c r="AN145" s="97"/>
      <c r="AO145" s="97"/>
      <c r="AP145" s="97"/>
    </row>
    <row r="146" spans="1:42" x14ac:dyDescent="0.25">
      <c r="A146" s="97"/>
      <c r="F146" s="97"/>
      <c r="K146" s="97"/>
      <c r="L146" s="97"/>
      <c r="M146" s="97"/>
      <c r="N146" s="97"/>
      <c r="O146" s="97"/>
      <c r="P146" s="97"/>
      <c r="Q146" s="97"/>
      <c r="AF146" s="97"/>
      <c r="AG146" s="97"/>
      <c r="AH146" s="97"/>
      <c r="AI146" s="97"/>
      <c r="AJ146" s="97"/>
      <c r="AK146" s="97"/>
      <c r="AL146" s="97"/>
      <c r="AM146" s="97"/>
      <c r="AN146" s="97"/>
      <c r="AO146" s="97"/>
      <c r="AP146" s="97"/>
    </row>
    <row r="147" spans="1:42" x14ac:dyDescent="0.25">
      <c r="A147" s="97"/>
      <c r="F147" s="97"/>
      <c r="K147" s="97"/>
      <c r="L147" s="97"/>
      <c r="M147" s="97"/>
      <c r="N147" s="97"/>
      <c r="O147" s="97"/>
      <c r="P147" s="97"/>
      <c r="Q147" s="97"/>
      <c r="AF147" s="97"/>
      <c r="AG147" s="97"/>
      <c r="AH147" s="97"/>
      <c r="AI147" s="97"/>
      <c r="AJ147" s="97"/>
      <c r="AK147" s="97"/>
      <c r="AL147" s="97"/>
      <c r="AM147" s="97"/>
      <c r="AN147" s="97"/>
      <c r="AO147" s="97"/>
      <c r="AP147" s="97"/>
    </row>
    <row r="148" spans="1:42" x14ac:dyDescent="0.25">
      <c r="A148" s="97"/>
      <c r="F148" s="97"/>
      <c r="K148" s="97"/>
      <c r="L148" s="97"/>
      <c r="M148" s="97"/>
      <c r="N148" s="97"/>
      <c r="O148" s="97"/>
      <c r="P148" s="97"/>
      <c r="Q148" s="97"/>
      <c r="AF148" s="97"/>
      <c r="AG148" s="97"/>
      <c r="AH148" s="97"/>
      <c r="AI148" s="97"/>
      <c r="AJ148" s="97"/>
      <c r="AK148" s="97"/>
      <c r="AL148" s="97"/>
      <c r="AM148" s="97"/>
      <c r="AN148" s="97"/>
      <c r="AO148" s="97"/>
      <c r="AP148" s="97"/>
    </row>
    <row r="149" spans="1:42" x14ac:dyDescent="0.25">
      <c r="A149" s="97"/>
      <c r="F149" s="97"/>
      <c r="K149" s="97"/>
      <c r="L149" s="97"/>
      <c r="M149" s="97"/>
      <c r="N149" s="97"/>
      <c r="O149" s="97"/>
      <c r="P149" s="97"/>
      <c r="Q149" s="97"/>
      <c r="AF149" s="97"/>
      <c r="AG149" s="97"/>
      <c r="AH149" s="97"/>
      <c r="AI149" s="97"/>
      <c r="AJ149" s="97"/>
      <c r="AK149" s="97"/>
      <c r="AL149" s="97"/>
      <c r="AM149" s="97"/>
      <c r="AN149" s="97"/>
      <c r="AO149" s="97"/>
      <c r="AP149" s="97"/>
    </row>
    <row r="150" spans="1:42" x14ac:dyDescent="0.25">
      <c r="A150" s="97"/>
      <c r="F150" s="97"/>
      <c r="K150" s="97"/>
      <c r="L150" s="97"/>
      <c r="M150" s="97"/>
      <c r="N150" s="97"/>
      <c r="O150" s="97"/>
      <c r="P150" s="97"/>
      <c r="Q150" s="97"/>
      <c r="AF150" s="97"/>
      <c r="AG150" s="97"/>
      <c r="AH150" s="97"/>
      <c r="AI150" s="97"/>
      <c r="AJ150" s="97"/>
      <c r="AK150" s="97"/>
      <c r="AL150" s="97"/>
      <c r="AM150" s="97"/>
      <c r="AN150" s="97"/>
      <c r="AO150" s="97"/>
      <c r="AP150" s="97"/>
    </row>
    <row r="151" spans="1:42" x14ac:dyDescent="0.25">
      <c r="A151" s="97"/>
      <c r="F151" s="97"/>
      <c r="K151" s="97"/>
      <c r="L151" s="97"/>
      <c r="M151" s="97"/>
      <c r="N151" s="97"/>
      <c r="O151" s="97"/>
      <c r="P151" s="97"/>
      <c r="Q151" s="97"/>
      <c r="AF151" s="97"/>
      <c r="AG151" s="97"/>
      <c r="AH151" s="97"/>
      <c r="AI151" s="97"/>
      <c r="AJ151" s="97"/>
      <c r="AK151" s="97"/>
      <c r="AL151" s="97"/>
      <c r="AM151" s="97"/>
      <c r="AN151" s="97"/>
      <c r="AO151" s="97"/>
      <c r="AP151" s="97"/>
    </row>
    <row r="152" spans="1:42" x14ac:dyDescent="0.25">
      <c r="A152" s="97"/>
      <c r="F152" s="97"/>
      <c r="K152" s="97"/>
      <c r="L152" s="97"/>
      <c r="M152" s="97"/>
      <c r="N152" s="97"/>
      <c r="O152" s="97"/>
      <c r="P152" s="97"/>
      <c r="Q152" s="97"/>
      <c r="AF152" s="97"/>
      <c r="AG152" s="97"/>
      <c r="AH152" s="97"/>
      <c r="AI152" s="97"/>
      <c r="AJ152" s="97"/>
      <c r="AK152" s="97"/>
      <c r="AL152" s="97"/>
      <c r="AM152" s="97"/>
      <c r="AN152" s="97"/>
      <c r="AO152" s="97"/>
      <c r="AP152" s="97"/>
    </row>
    <row r="153" spans="1:42" x14ac:dyDescent="0.25">
      <c r="A153" s="97"/>
      <c r="F153" s="97"/>
      <c r="K153" s="97"/>
      <c r="L153" s="97"/>
      <c r="M153" s="97"/>
      <c r="N153" s="97"/>
      <c r="O153" s="97"/>
      <c r="P153" s="97"/>
      <c r="Q153" s="97"/>
      <c r="AF153" s="97"/>
      <c r="AG153" s="97"/>
      <c r="AH153" s="97"/>
      <c r="AI153" s="97"/>
      <c r="AJ153" s="97"/>
      <c r="AK153" s="97"/>
      <c r="AL153" s="97"/>
      <c r="AM153" s="97"/>
      <c r="AN153" s="97"/>
      <c r="AO153" s="97"/>
      <c r="AP153" s="97"/>
    </row>
    <row r="154" spans="1:42" x14ac:dyDescent="0.25">
      <c r="A154" s="97"/>
      <c r="F154" s="97"/>
      <c r="K154" s="97"/>
      <c r="L154" s="97"/>
      <c r="M154" s="97"/>
      <c r="N154" s="97"/>
      <c r="O154" s="97"/>
      <c r="P154" s="97"/>
      <c r="Q154" s="97"/>
      <c r="AF154" s="97"/>
      <c r="AG154" s="97"/>
      <c r="AH154" s="97"/>
      <c r="AI154" s="97"/>
      <c r="AJ154" s="97"/>
      <c r="AK154" s="97"/>
      <c r="AL154" s="97"/>
      <c r="AM154" s="97"/>
      <c r="AN154" s="97"/>
      <c r="AO154" s="97"/>
      <c r="AP154" s="97"/>
    </row>
    <row r="155" spans="1:42" x14ac:dyDescent="0.25">
      <c r="A155" s="97"/>
      <c r="F155" s="97"/>
      <c r="K155" s="97"/>
      <c r="L155" s="97"/>
      <c r="M155" s="97"/>
      <c r="N155" s="97"/>
      <c r="O155" s="97"/>
      <c r="P155" s="97"/>
      <c r="Q155" s="97"/>
      <c r="AF155" s="97"/>
      <c r="AG155" s="97"/>
      <c r="AH155" s="97"/>
      <c r="AI155" s="97"/>
      <c r="AJ155" s="97"/>
      <c r="AK155" s="97"/>
      <c r="AL155" s="97"/>
      <c r="AM155" s="97"/>
      <c r="AN155" s="97"/>
      <c r="AO155" s="97"/>
      <c r="AP155" s="97"/>
    </row>
    <row r="156" spans="1:42" x14ac:dyDescent="0.25">
      <c r="A156" s="97"/>
      <c r="F156" s="97"/>
      <c r="K156" s="97"/>
      <c r="L156" s="97"/>
      <c r="M156" s="97"/>
      <c r="N156" s="97"/>
      <c r="O156" s="97"/>
      <c r="P156" s="97"/>
      <c r="Q156" s="97"/>
      <c r="AF156" s="97"/>
      <c r="AG156" s="97"/>
      <c r="AH156" s="97"/>
      <c r="AI156" s="97"/>
      <c r="AJ156" s="97"/>
      <c r="AK156" s="97"/>
      <c r="AL156" s="97"/>
      <c r="AM156" s="97"/>
      <c r="AN156" s="97"/>
      <c r="AO156" s="97"/>
      <c r="AP156" s="97"/>
    </row>
    <row r="157" spans="1:42" x14ac:dyDescent="0.25">
      <c r="A157" s="97"/>
      <c r="F157" s="97"/>
      <c r="K157" s="97"/>
      <c r="L157" s="97"/>
      <c r="M157" s="97"/>
      <c r="N157" s="97"/>
      <c r="O157" s="97"/>
      <c r="P157" s="97"/>
      <c r="Q157" s="97"/>
      <c r="AF157" s="97"/>
      <c r="AG157" s="97"/>
      <c r="AH157" s="97"/>
      <c r="AI157" s="97"/>
      <c r="AJ157" s="97"/>
      <c r="AK157" s="97"/>
      <c r="AL157" s="97"/>
      <c r="AM157" s="97"/>
      <c r="AN157" s="97"/>
      <c r="AO157" s="97"/>
      <c r="AP157" s="97"/>
    </row>
    <row r="158" spans="1:42" x14ac:dyDescent="0.25">
      <c r="A158" s="97"/>
      <c r="F158" s="97"/>
      <c r="K158" s="97"/>
      <c r="L158" s="97"/>
      <c r="M158" s="97"/>
      <c r="N158" s="97"/>
      <c r="O158" s="97"/>
      <c r="P158" s="97"/>
      <c r="Q158" s="97"/>
      <c r="AF158" s="97"/>
      <c r="AG158" s="97"/>
      <c r="AH158" s="97"/>
      <c r="AI158" s="97"/>
      <c r="AJ158" s="97"/>
      <c r="AK158" s="97"/>
      <c r="AL158" s="97"/>
      <c r="AM158" s="97"/>
      <c r="AN158" s="97"/>
      <c r="AO158" s="97"/>
      <c r="AP158" s="97"/>
    </row>
    <row r="159" spans="1:42" x14ac:dyDescent="0.25">
      <c r="A159" s="97"/>
      <c r="F159" s="97"/>
      <c r="K159" s="97"/>
      <c r="L159" s="97"/>
      <c r="M159" s="97"/>
      <c r="N159" s="97"/>
      <c r="O159" s="97"/>
      <c r="P159" s="97"/>
      <c r="Q159" s="97"/>
      <c r="AF159" s="97"/>
      <c r="AG159" s="97"/>
      <c r="AH159" s="97"/>
      <c r="AI159" s="97"/>
      <c r="AJ159" s="97"/>
      <c r="AK159" s="97"/>
      <c r="AL159" s="97"/>
      <c r="AM159" s="97"/>
      <c r="AN159" s="97"/>
      <c r="AO159" s="97"/>
      <c r="AP159" s="97"/>
    </row>
    <row r="160" spans="1:42" x14ac:dyDescent="0.25">
      <c r="A160" s="97"/>
      <c r="F160" s="97"/>
      <c r="K160" s="97"/>
      <c r="L160" s="97"/>
      <c r="M160" s="97"/>
      <c r="N160" s="97"/>
      <c r="O160" s="97"/>
      <c r="P160" s="97"/>
      <c r="Q160" s="97"/>
      <c r="AF160" s="97"/>
      <c r="AG160" s="97"/>
      <c r="AH160" s="97"/>
      <c r="AI160" s="97"/>
      <c r="AJ160" s="97"/>
      <c r="AK160" s="97"/>
      <c r="AL160" s="97"/>
      <c r="AM160" s="97"/>
      <c r="AN160" s="97"/>
      <c r="AO160" s="97"/>
      <c r="AP160" s="97"/>
    </row>
    <row r="161" spans="1:42" x14ac:dyDescent="0.25">
      <c r="A161" s="97"/>
      <c r="F161" s="97"/>
      <c r="K161" s="97"/>
      <c r="L161" s="97"/>
      <c r="M161" s="97"/>
      <c r="N161" s="97"/>
      <c r="O161" s="97"/>
      <c r="P161" s="97"/>
      <c r="Q161" s="97"/>
      <c r="AF161" s="97"/>
      <c r="AG161" s="97"/>
      <c r="AH161" s="97"/>
      <c r="AI161" s="97"/>
      <c r="AJ161" s="97"/>
      <c r="AK161" s="97"/>
      <c r="AL161" s="97"/>
      <c r="AM161" s="97"/>
      <c r="AN161" s="97"/>
      <c r="AO161" s="97"/>
      <c r="AP161" s="97"/>
    </row>
    <row r="162" spans="1:42" x14ac:dyDescent="0.25">
      <c r="A162" s="97"/>
      <c r="F162" s="97"/>
      <c r="K162" s="97"/>
      <c r="L162" s="97"/>
      <c r="M162" s="97"/>
      <c r="N162" s="97"/>
      <c r="O162" s="97"/>
      <c r="P162" s="97"/>
      <c r="Q162" s="97"/>
      <c r="AF162" s="97"/>
      <c r="AG162" s="97"/>
      <c r="AH162" s="97"/>
      <c r="AI162" s="97"/>
      <c r="AJ162" s="97"/>
      <c r="AK162" s="97"/>
      <c r="AL162" s="97"/>
      <c r="AM162" s="97"/>
      <c r="AN162" s="97"/>
      <c r="AO162" s="97"/>
      <c r="AP162" s="97"/>
    </row>
    <row r="163" spans="1:42" x14ac:dyDescent="0.25">
      <c r="A163" s="97"/>
      <c r="F163" s="97"/>
      <c r="K163" s="97"/>
      <c r="L163" s="97"/>
      <c r="M163" s="97"/>
      <c r="N163" s="97"/>
      <c r="O163" s="97"/>
      <c r="P163" s="97"/>
      <c r="Q163" s="97"/>
      <c r="AF163" s="97"/>
      <c r="AG163" s="97"/>
      <c r="AH163" s="97"/>
      <c r="AI163" s="97"/>
      <c r="AJ163" s="97"/>
      <c r="AK163" s="97"/>
      <c r="AL163" s="97"/>
      <c r="AM163" s="97"/>
      <c r="AN163" s="97"/>
      <c r="AO163" s="97"/>
      <c r="AP163" s="97"/>
    </row>
    <row r="164" spans="1:42" x14ac:dyDescent="0.25">
      <c r="A164" s="97"/>
      <c r="F164" s="97"/>
      <c r="K164" s="97"/>
      <c r="L164" s="97"/>
      <c r="M164" s="97"/>
      <c r="N164" s="97"/>
      <c r="O164" s="97"/>
      <c r="P164" s="97"/>
      <c r="Q164" s="97"/>
      <c r="AF164" s="97"/>
      <c r="AG164" s="97"/>
      <c r="AH164" s="97"/>
      <c r="AI164" s="97"/>
      <c r="AJ164" s="97"/>
      <c r="AK164" s="97"/>
      <c r="AL164" s="97"/>
      <c r="AM164" s="97"/>
      <c r="AN164" s="97"/>
      <c r="AO164" s="97"/>
      <c r="AP164" s="97"/>
    </row>
    <row r="165" spans="1:42" x14ac:dyDescent="0.25">
      <c r="A165" s="97"/>
      <c r="F165" s="97"/>
      <c r="K165" s="97"/>
      <c r="L165" s="97"/>
      <c r="M165" s="97"/>
      <c r="N165" s="97"/>
      <c r="O165" s="97"/>
      <c r="P165" s="97"/>
      <c r="Q165" s="97"/>
      <c r="AF165" s="97"/>
      <c r="AG165" s="97"/>
      <c r="AH165" s="97"/>
      <c r="AI165" s="97"/>
      <c r="AJ165" s="97"/>
      <c r="AK165" s="97"/>
      <c r="AL165" s="97"/>
      <c r="AM165" s="97"/>
      <c r="AN165" s="97"/>
      <c r="AO165" s="97"/>
      <c r="AP165" s="97"/>
    </row>
    <row r="166" spans="1:42" x14ac:dyDescent="0.25">
      <c r="A166" s="97"/>
      <c r="F166" s="97"/>
      <c r="K166" s="97"/>
      <c r="L166" s="97"/>
      <c r="M166" s="97"/>
      <c r="N166" s="97"/>
      <c r="O166" s="97"/>
      <c r="P166" s="97"/>
      <c r="Q166" s="97"/>
      <c r="AF166" s="97"/>
      <c r="AG166" s="97"/>
      <c r="AH166" s="97"/>
      <c r="AI166" s="97"/>
      <c r="AJ166" s="97"/>
      <c r="AK166" s="97"/>
      <c r="AL166" s="97"/>
      <c r="AM166" s="97"/>
      <c r="AN166" s="97"/>
      <c r="AO166" s="97"/>
      <c r="AP166" s="97"/>
    </row>
    <row r="167" spans="1:42" x14ac:dyDescent="0.25">
      <c r="A167" s="97"/>
      <c r="F167" s="97"/>
      <c r="K167" s="97"/>
      <c r="L167" s="97"/>
      <c r="M167" s="97"/>
      <c r="N167" s="97"/>
      <c r="O167" s="97"/>
      <c r="P167" s="97"/>
      <c r="Q167" s="97"/>
      <c r="AF167" s="97"/>
      <c r="AG167" s="97"/>
      <c r="AH167" s="97"/>
      <c r="AI167" s="97"/>
      <c r="AJ167" s="97"/>
      <c r="AK167" s="97"/>
      <c r="AL167" s="97"/>
      <c r="AM167" s="97"/>
      <c r="AN167" s="97"/>
      <c r="AO167" s="97"/>
      <c r="AP167" s="97"/>
    </row>
    <row r="168" spans="1:42" x14ac:dyDescent="0.25">
      <c r="A168" s="97"/>
      <c r="F168" s="97"/>
      <c r="K168" s="97"/>
      <c r="L168" s="97"/>
      <c r="M168" s="97"/>
      <c r="N168" s="97"/>
      <c r="O168" s="97"/>
      <c r="P168" s="97"/>
      <c r="Q168" s="97"/>
      <c r="AF168" s="97"/>
      <c r="AG168" s="97"/>
      <c r="AH168" s="97"/>
      <c r="AI168" s="97"/>
      <c r="AJ168" s="97"/>
      <c r="AK168" s="97"/>
      <c r="AL168" s="97"/>
      <c r="AM168" s="97"/>
      <c r="AN168" s="97"/>
      <c r="AO168" s="97"/>
      <c r="AP168" s="97"/>
    </row>
    <row r="169" spans="1:42" x14ac:dyDescent="0.25">
      <c r="A169" s="97"/>
      <c r="F169" s="97"/>
      <c r="K169" s="97"/>
      <c r="L169" s="97"/>
      <c r="M169" s="97"/>
      <c r="N169" s="97"/>
      <c r="O169" s="97"/>
      <c r="P169" s="97"/>
      <c r="Q169" s="97"/>
      <c r="AF169" s="97"/>
      <c r="AG169" s="97"/>
      <c r="AH169" s="97"/>
      <c r="AI169" s="97"/>
      <c r="AJ169" s="97"/>
      <c r="AK169" s="97"/>
      <c r="AL169" s="97"/>
      <c r="AM169" s="97"/>
      <c r="AN169" s="97"/>
      <c r="AO169" s="97"/>
      <c r="AP169" s="97"/>
    </row>
    <row r="170" spans="1:42" x14ac:dyDescent="0.25">
      <c r="A170" s="97"/>
      <c r="F170" s="97"/>
      <c r="K170" s="97"/>
      <c r="L170" s="97"/>
      <c r="M170" s="97"/>
      <c r="N170" s="97"/>
      <c r="O170" s="97"/>
      <c r="P170" s="97"/>
      <c r="Q170" s="97"/>
      <c r="AF170" s="97"/>
      <c r="AG170" s="97"/>
      <c r="AH170" s="97"/>
      <c r="AI170" s="97"/>
      <c r="AJ170" s="97"/>
      <c r="AK170" s="97"/>
      <c r="AL170" s="97"/>
      <c r="AM170" s="97"/>
      <c r="AN170" s="97"/>
      <c r="AO170" s="97"/>
      <c r="AP170" s="97"/>
    </row>
    <row r="171" spans="1:42" x14ac:dyDescent="0.25">
      <c r="A171" s="97"/>
      <c r="F171" s="97"/>
      <c r="K171" s="97"/>
      <c r="L171" s="97"/>
      <c r="M171" s="97"/>
      <c r="N171" s="97"/>
      <c r="O171" s="97"/>
      <c r="P171" s="97"/>
      <c r="Q171" s="97"/>
      <c r="AF171" s="97"/>
      <c r="AG171" s="97"/>
      <c r="AH171" s="97"/>
      <c r="AI171" s="97"/>
      <c r="AJ171" s="97"/>
      <c r="AK171" s="97"/>
      <c r="AL171" s="97"/>
      <c r="AM171" s="97"/>
      <c r="AN171" s="97"/>
      <c r="AO171" s="97"/>
      <c r="AP171" s="97"/>
    </row>
    <row r="172" spans="1:42" x14ac:dyDescent="0.25">
      <c r="A172" s="97"/>
      <c r="F172" s="97"/>
      <c r="K172" s="97"/>
      <c r="L172" s="97"/>
      <c r="M172" s="97"/>
      <c r="N172" s="97"/>
      <c r="O172" s="97"/>
      <c r="P172" s="97"/>
      <c r="Q172" s="97"/>
      <c r="AF172" s="97"/>
      <c r="AG172" s="97"/>
      <c r="AH172" s="97"/>
      <c r="AI172" s="97"/>
      <c r="AJ172" s="97"/>
      <c r="AK172" s="97"/>
      <c r="AL172" s="97"/>
      <c r="AM172" s="97"/>
      <c r="AN172" s="97"/>
      <c r="AO172" s="97"/>
      <c r="AP172" s="97"/>
    </row>
    <row r="173" spans="1:42" x14ac:dyDescent="0.25">
      <c r="A173" s="97"/>
      <c r="F173" s="97"/>
      <c r="K173" s="97"/>
      <c r="L173" s="97"/>
      <c r="M173" s="97"/>
      <c r="N173" s="97"/>
      <c r="O173" s="97"/>
      <c r="P173" s="97"/>
      <c r="Q173" s="97"/>
      <c r="AF173" s="97"/>
      <c r="AG173" s="97"/>
      <c r="AH173" s="97"/>
      <c r="AI173" s="97"/>
      <c r="AJ173" s="97"/>
      <c r="AK173" s="97"/>
      <c r="AL173" s="97"/>
      <c r="AM173" s="97"/>
      <c r="AN173" s="97"/>
      <c r="AO173" s="97"/>
      <c r="AP173" s="97"/>
    </row>
    <row r="174" spans="1:42" x14ac:dyDescent="0.25">
      <c r="A174" s="97"/>
      <c r="F174" s="97"/>
      <c r="K174" s="97"/>
      <c r="L174" s="97"/>
      <c r="M174" s="97"/>
      <c r="N174" s="97"/>
      <c r="O174" s="97"/>
      <c r="P174" s="97"/>
      <c r="Q174" s="97"/>
      <c r="AF174" s="97"/>
      <c r="AG174" s="97"/>
      <c r="AH174" s="97"/>
      <c r="AI174" s="97"/>
      <c r="AJ174" s="97"/>
      <c r="AK174" s="97"/>
      <c r="AL174" s="97"/>
      <c r="AM174" s="97"/>
      <c r="AN174" s="97"/>
      <c r="AO174" s="97"/>
      <c r="AP174" s="97"/>
    </row>
    <row r="175" spans="1:42" x14ac:dyDescent="0.25">
      <c r="A175" s="97"/>
      <c r="F175" s="97"/>
      <c r="K175" s="97"/>
      <c r="L175" s="97"/>
      <c r="M175" s="97"/>
      <c r="N175" s="97"/>
      <c r="O175" s="97"/>
      <c r="P175" s="97"/>
      <c r="Q175" s="97"/>
      <c r="AF175" s="97"/>
      <c r="AG175" s="97"/>
      <c r="AH175" s="97"/>
      <c r="AI175" s="97"/>
      <c r="AJ175" s="97"/>
      <c r="AK175" s="97"/>
      <c r="AL175" s="97"/>
      <c r="AM175" s="97"/>
      <c r="AN175" s="97"/>
      <c r="AO175" s="97"/>
      <c r="AP175" s="97"/>
    </row>
    <row r="176" spans="1:42" x14ac:dyDescent="0.25">
      <c r="A176" s="97"/>
      <c r="F176" s="97"/>
      <c r="K176" s="97"/>
      <c r="L176" s="97"/>
      <c r="M176" s="97"/>
      <c r="N176" s="97"/>
      <c r="O176" s="97"/>
      <c r="P176" s="97"/>
      <c r="Q176" s="97"/>
      <c r="AF176" s="97"/>
      <c r="AG176" s="97"/>
      <c r="AH176" s="97"/>
      <c r="AI176" s="97"/>
      <c r="AJ176" s="97"/>
      <c r="AK176" s="97"/>
      <c r="AL176" s="97"/>
      <c r="AM176" s="97"/>
      <c r="AN176" s="97"/>
      <c r="AO176" s="97"/>
      <c r="AP176" s="97"/>
    </row>
    <row r="177" spans="1:42" x14ac:dyDescent="0.25">
      <c r="A177" s="97"/>
      <c r="F177" s="97"/>
      <c r="K177" s="97"/>
      <c r="L177" s="97"/>
      <c r="M177" s="97"/>
      <c r="N177" s="97"/>
      <c r="O177" s="97"/>
      <c r="P177" s="97"/>
      <c r="Q177" s="97"/>
      <c r="AF177" s="97"/>
      <c r="AG177" s="97"/>
      <c r="AH177" s="97"/>
      <c r="AI177" s="97"/>
      <c r="AJ177" s="97"/>
      <c r="AK177" s="97"/>
      <c r="AL177" s="97"/>
      <c r="AM177" s="97"/>
      <c r="AN177" s="97"/>
      <c r="AO177" s="97"/>
      <c r="AP177" s="97"/>
    </row>
    <row r="178" spans="1:42" x14ac:dyDescent="0.25">
      <c r="A178" s="97"/>
      <c r="F178" s="97"/>
      <c r="K178" s="97"/>
      <c r="L178" s="97"/>
      <c r="M178" s="97"/>
      <c r="N178" s="97"/>
      <c r="O178" s="97"/>
      <c r="P178" s="97"/>
      <c r="Q178" s="97"/>
      <c r="AF178" s="97"/>
      <c r="AG178" s="97"/>
      <c r="AH178" s="97"/>
      <c r="AI178" s="97"/>
      <c r="AJ178" s="97"/>
      <c r="AK178" s="97"/>
      <c r="AL178" s="97"/>
      <c r="AM178" s="97"/>
      <c r="AN178" s="97"/>
      <c r="AO178" s="97"/>
      <c r="AP178" s="97"/>
    </row>
    <row r="179" spans="1:42" x14ac:dyDescent="0.25">
      <c r="A179" s="97"/>
      <c r="F179" s="97"/>
      <c r="K179" s="97"/>
      <c r="L179" s="97"/>
      <c r="M179" s="97"/>
      <c r="N179" s="97"/>
      <c r="O179" s="97"/>
      <c r="P179" s="97"/>
      <c r="Q179" s="97"/>
      <c r="AF179" s="97"/>
      <c r="AG179" s="97"/>
      <c r="AH179" s="97"/>
      <c r="AI179" s="97"/>
      <c r="AJ179" s="97"/>
      <c r="AK179" s="97"/>
      <c r="AL179" s="97"/>
      <c r="AM179" s="97"/>
      <c r="AN179" s="97"/>
      <c r="AO179" s="97"/>
      <c r="AP179" s="97"/>
    </row>
    <row r="180" spans="1:42" x14ac:dyDescent="0.25">
      <c r="A180" s="97"/>
      <c r="F180" s="97"/>
      <c r="K180" s="97"/>
      <c r="L180" s="97"/>
      <c r="M180" s="97"/>
      <c r="N180" s="97"/>
      <c r="O180" s="97"/>
      <c r="P180" s="97"/>
      <c r="Q180" s="97"/>
      <c r="AF180" s="97"/>
      <c r="AG180" s="97"/>
      <c r="AH180" s="97"/>
      <c r="AI180" s="97"/>
      <c r="AJ180" s="97"/>
      <c r="AK180" s="97"/>
      <c r="AL180" s="97"/>
      <c r="AM180" s="97"/>
      <c r="AN180" s="97"/>
      <c r="AO180" s="97"/>
      <c r="AP180" s="97"/>
    </row>
    <row r="181" spans="1:42" x14ac:dyDescent="0.25">
      <c r="A181" s="97"/>
      <c r="F181" s="97"/>
      <c r="K181" s="97"/>
      <c r="L181" s="97"/>
      <c r="M181" s="97"/>
      <c r="N181" s="97"/>
      <c r="O181" s="97"/>
      <c r="P181" s="97"/>
      <c r="Q181" s="97"/>
      <c r="AF181" s="97"/>
      <c r="AG181" s="97"/>
      <c r="AH181" s="97"/>
      <c r="AI181" s="97"/>
      <c r="AJ181" s="97"/>
      <c r="AK181" s="97"/>
      <c r="AL181" s="97"/>
      <c r="AM181" s="97"/>
      <c r="AN181" s="97"/>
      <c r="AO181" s="97"/>
      <c r="AP181" s="97"/>
    </row>
    <row r="182" spans="1:42" x14ac:dyDescent="0.25">
      <c r="A182" s="97"/>
      <c r="F182" s="97"/>
      <c r="K182" s="97"/>
      <c r="L182" s="97"/>
      <c r="M182" s="97"/>
      <c r="N182" s="97"/>
      <c r="O182" s="97"/>
      <c r="P182" s="97"/>
      <c r="Q182" s="97"/>
      <c r="AF182" s="97"/>
      <c r="AG182" s="97"/>
      <c r="AH182" s="97"/>
      <c r="AI182" s="97"/>
      <c r="AJ182" s="97"/>
      <c r="AK182" s="97"/>
      <c r="AL182" s="97"/>
      <c r="AM182" s="97"/>
      <c r="AN182" s="97"/>
      <c r="AO182" s="97"/>
      <c r="AP182" s="97"/>
    </row>
    <row r="183" spans="1:42" x14ac:dyDescent="0.25">
      <c r="A183" s="97"/>
      <c r="F183" s="97"/>
      <c r="K183" s="97"/>
      <c r="L183" s="97"/>
      <c r="M183" s="97"/>
      <c r="N183" s="97"/>
      <c r="O183" s="97"/>
      <c r="P183" s="97"/>
      <c r="Q183" s="97"/>
      <c r="AF183" s="97"/>
      <c r="AG183" s="97"/>
      <c r="AH183" s="97"/>
      <c r="AI183" s="97"/>
      <c r="AJ183" s="97"/>
      <c r="AK183" s="97"/>
      <c r="AL183" s="97"/>
      <c r="AM183" s="97"/>
      <c r="AN183" s="97"/>
      <c r="AO183" s="97"/>
      <c r="AP183" s="97"/>
    </row>
    <row r="184" spans="1:42" x14ac:dyDescent="0.25">
      <c r="A184" s="97"/>
      <c r="F184" s="97"/>
      <c r="K184" s="97"/>
      <c r="L184" s="97"/>
      <c r="M184" s="97"/>
      <c r="N184" s="97"/>
      <c r="O184" s="97"/>
      <c r="P184" s="97"/>
      <c r="Q184" s="97"/>
      <c r="AF184" s="97"/>
      <c r="AG184" s="97"/>
      <c r="AH184" s="97"/>
      <c r="AI184" s="97"/>
      <c r="AJ184" s="97"/>
      <c r="AK184" s="97"/>
      <c r="AL184" s="97"/>
      <c r="AM184" s="97"/>
      <c r="AN184" s="97"/>
      <c r="AO184" s="97"/>
      <c r="AP184" s="97"/>
    </row>
    <row r="185" spans="1:42" x14ac:dyDescent="0.25">
      <c r="A185" s="97"/>
      <c r="F185" s="97"/>
      <c r="K185" s="97"/>
      <c r="L185" s="97"/>
      <c r="M185" s="97"/>
      <c r="N185" s="97"/>
      <c r="O185" s="97"/>
      <c r="P185" s="97"/>
      <c r="Q185" s="97"/>
      <c r="AF185" s="97"/>
      <c r="AG185" s="97"/>
      <c r="AH185" s="97"/>
      <c r="AI185" s="97"/>
      <c r="AJ185" s="97"/>
      <c r="AK185" s="97"/>
      <c r="AL185" s="97"/>
      <c r="AM185" s="97"/>
      <c r="AN185" s="97"/>
      <c r="AO185" s="97"/>
      <c r="AP185" s="97"/>
    </row>
    <row r="186" spans="1:42" x14ac:dyDescent="0.25">
      <c r="A186" s="97"/>
      <c r="F186" s="97"/>
      <c r="K186" s="97"/>
      <c r="L186" s="97"/>
      <c r="M186" s="97"/>
      <c r="N186" s="97"/>
      <c r="O186" s="97"/>
      <c r="P186" s="97"/>
      <c r="Q186" s="97"/>
      <c r="AF186" s="97"/>
      <c r="AG186" s="97"/>
      <c r="AH186" s="97"/>
      <c r="AI186" s="97"/>
      <c r="AJ186" s="97"/>
      <c r="AK186" s="97"/>
      <c r="AL186" s="97"/>
      <c r="AM186" s="97"/>
      <c r="AN186" s="97"/>
      <c r="AO186" s="97"/>
      <c r="AP186" s="97"/>
    </row>
    <row r="187" spans="1:42" x14ac:dyDescent="0.25">
      <c r="A187" s="97"/>
      <c r="F187" s="97"/>
      <c r="K187" s="97"/>
      <c r="L187" s="97"/>
      <c r="M187" s="97"/>
      <c r="N187" s="97"/>
      <c r="O187" s="97"/>
      <c r="P187" s="97"/>
      <c r="Q187" s="97"/>
      <c r="AF187" s="97"/>
      <c r="AG187" s="97"/>
      <c r="AH187" s="97"/>
      <c r="AI187" s="97"/>
      <c r="AJ187" s="97"/>
      <c r="AK187" s="97"/>
      <c r="AL187" s="97"/>
      <c r="AM187" s="97"/>
      <c r="AN187" s="97"/>
      <c r="AO187" s="97"/>
      <c r="AP187" s="97"/>
    </row>
    <row r="188" spans="1:42" x14ac:dyDescent="0.25">
      <c r="A188" s="97"/>
      <c r="F188" s="97"/>
      <c r="K188" s="97"/>
      <c r="L188" s="97"/>
      <c r="M188" s="97"/>
      <c r="N188" s="97"/>
      <c r="O188" s="97"/>
      <c r="P188" s="97"/>
      <c r="Q188" s="97"/>
      <c r="AF188" s="97"/>
      <c r="AG188" s="97"/>
      <c r="AH188" s="97"/>
      <c r="AI188" s="97"/>
      <c r="AJ188" s="97"/>
      <c r="AK188" s="97"/>
      <c r="AL188" s="97"/>
      <c r="AM188" s="97"/>
      <c r="AN188" s="97"/>
      <c r="AO188" s="97"/>
      <c r="AP188" s="97"/>
    </row>
    <row r="189" spans="1:42" x14ac:dyDescent="0.25">
      <c r="A189" s="97"/>
      <c r="F189" s="97"/>
      <c r="K189" s="97"/>
      <c r="L189" s="97"/>
      <c r="M189" s="97"/>
      <c r="N189" s="97"/>
      <c r="O189" s="97"/>
      <c r="P189" s="97"/>
      <c r="Q189" s="97"/>
      <c r="AF189" s="97"/>
      <c r="AG189" s="97"/>
      <c r="AH189" s="97"/>
      <c r="AI189" s="97"/>
      <c r="AJ189" s="97"/>
      <c r="AK189" s="97"/>
      <c r="AL189" s="97"/>
      <c r="AM189" s="97"/>
      <c r="AN189" s="97"/>
      <c r="AO189" s="97"/>
      <c r="AP189" s="97"/>
    </row>
    <row r="190" spans="1:42" x14ac:dyDescent="0.25">
      <c r="A190" s="97"/>
      <c r="F190" s="97"/>
      <c r="K190" s="97"/>
      <c r="L190" s="97"/>
      <c r="M190" s="97"/>
      <c r="N190" s="97"/>
      <c r="O190" s="97"/>
      <c r="P190" s="97"/>
      <c r="Q190" s="97"/>
      <c r="AF190" s="97"/>
      <c r="AG190" s="97"/>
      <c r="AH190" s="97"/>
      <c r="AI190" s="97"/>
      <c r="AJ190" s="97"/>
      <c r="AK190" s="97"/>
      <c r="AL190" s="97"/>
      <c r="AM190" s="97"/>
      <c r="AN190" s="97"/>
      <c r="AO190" s="97"/>
      <c r="AP190" s="97"/>
    </row>
    <row r="191" spans="1:42" x14ac:dyDescent="0.25">
      <c r="A191" s="97"/>
      <c r="F191" s="97"/>
      <c r="K191" s="97"/>
      <c r="L191" s="97"/>
      <c r="M191" s="97"/>
      <c r="N191" s="97"/>
      <c r="O191" s="97"/>
      <c r="P191" s="97"/>
      <c r="Q191" s="97"/>
      <c r="AF191" s="97"/>
      <c r="AG191" s="97"/>
      <c r="AH191" s="97"/>
      <c r="AI191" s="97"/>
      <c r="AJ191" s="97"/>
      <c r="AK191" s="97"/>
      <c r="AL191" s="97"/>
      <c r="AM191" s="97"/>
      <c r="AN191" s="97"/>
      <c r="AO191" s="97"/>
      <c r="AP191" s="97"/>
    </row>
    <row r="192" spans="1:42" x14ac:dyDescent="0.25">
      <c r="A192" s="97"/>
      <c r="F192" s="97"/>
      <c r="K192" s="97"/>
      <c r="L192" s="97"/>
      <c r="M192" s="97"/>
      <c r="N192" s="97"/>
      <c r="O192" s="97"/>
      <c r="P192" s="97"/>
      <c r="Q192" s="97"/>
      <c r="AF192" s="97"/>
      <c r="AG192" s="97"/>
      <c r="AH192" s="97"/>
      <c r="AI192" s="97"/>
      <c r="AJ192" s="97"/>
      <c r="AK192" s="97"/>
      <c r="AL192" s="97"/>
      <c r="AM192" s="97"/>
      <c r="AN192" s="97"/>
      <c r="AO192" s="97"/>
      <c r="AP192" s="97"/>
    </row>
    <row r="193" spans="1:42" x14ac:dyDescent="0.25">
      <c r="A193" s="97"/>
      <c r="F193" s="97"/>
      <c r="K193" s="97"/>
      <c r="L193" s="97"/>
      <c r="M193" s="97"/>
      <c r="N193" s="97"/>
      <c r="O193" s="97"/>
      <c r="P193" s="97"/>
      <c r="Q193" s="97"/>
      <c r="AF193" s="97"/>
      <c r="AG193" s="97"/>
      <c r="AH193" s="97"/>
      <c r="AI193" s="97"/>
      <c r="AJ193" s="97"/>
      <c r="AK193" s="97"/>
      <c r="AL193" s="97"/>
      <c r="AM193" s="97"/>
      <c r="AN193" s="97"/>
      <c r="AO193" s="97"/>
      <c r="AP193" s="97"/>
    </row>
    <row r="194" spans="1:42" x14ac:dyDescent="0.25">
      <c r="A194" s="97"/>
      <c r="F194" s="97"/>
      <c r="K194" s="97"/>
      <c r="L194" s="97"/>
      <c r="M194" s="97"/>
      <c r="N194" s="97"/>
      <c r="O194" s="97"/>
      <c r="P194" s="97"/>
      <c r="Q194" s="97"/>
      <c r="AF194" s="97"/>
      <c r="AG194" s="97"/>
      <c r="AH194" s="97"/>
      <c r="AI194" s="97"/>
      <c r="AJ194" s="97"/>
      <c r="AK194" s="97"/>
      <c r="AL194" s="97"/>
      <c r="AM194" s="97"/>
      <c r="AN194" s="97"/>
      <c r="AO194" s="97"/>
      <c r="AP194" s="97"/>
    </row>
    <row r="195" spans="1:42" x14ac:dyDescent="0.25">
      <c r="A195" s="97"/>
      <c r="F195" s="97"/>
      <c r="K195" s="97"/>
      <c r="L195" s="97"/>
      <c r="M195" s="97"/>
      <c r="N195" s="97"/>
      <c r="O195" s="97"/>
      <c r="P195" s="97"/>
      <c r="Q195" s="97"/>
      <c r="AF195" s="97"/>
      <c r="AG195" s="97"/>
      <c r="AH195" s="97"/>
      <c r="AI195" s="97"/>
      <c r="AJ195" s="97"/>
      <c r="AK195" s="97"/>
      <c r="AL195" s="97"/>
      <c r="AM195" s="97"/>
      <c r="AN195" s="97"/>
      <c r="AO195" s="97"/>
      <c r="AP195" s="97"/>
    </row>
    <row r="196" spans="1:42" x14ac:dyDescent="0.25">
      <c r="A196" s="97"/>
      <c r="F196" s="97"/>
      <c r="K196" s="97"/>
      <c r="L196" s="97"/>
      <c r="M196" s="97"/>
      <c r="N196" s="97"/>
      <c r="O196" s="97"/>
      <c r="P196" s="97"/>
      <c r="Q196" s="97"/>
      <c r="AF196" s="97"/>
      <c r="AG196" s="97"/>
      <c r="AH196" s="97"/>
      <c r="AI196" s="97"/>
      <c r="AJ196" s="97"/>
      <c r="AK196" s="97"/>
      <c r="AL196" s="97"/>
      <c r="AM196" s="97"/>
      <c r="AN196" s="97"/>
      <c r="AO196" s="97"/>
      <c r="AP196" s="97"/>
    </row>
    <row r="197" spans="1:42" x14ac:dyDescent="0.25">
      <c r="A197" s="97"/>
      <c r="F197" s="97"/>
      <c r="K197" s="97"/>
      <c r="L197" s="97"/>
      <c r="M197" s="97"/>
      <c r="N197" s="97"/>
      <c r="O197" s="97"/>
      <c r="P197" s="97"/>
      <c r="Q197" s="97"/>
      <c r="AF197" s="97"/>
      <c r="AG197" s="97"/>
      <c r="AH197" s="97"/>
      <c r="AI197" s="97"/>
      <c r="AJ197" s="97"/>
      <c r="AK197" s="97"/>
      <c r="AL197" s="97"/>
      <c r="AM197" s="97"/>
      <c r="AN197" s="97"/>
      <c r="AO197" s="97"/>
      <c r="AP197" s="97"/>
    </row>
    <row r="198" spans="1:42" x14ac:dyDescent="0.25">
      <c r="A198" s="97"/>
      <c r="F198" s="97"/>
      <c r="K198" s="97"/>
      <c r="L198" s="97"/>
      <c r="M198" s="97"/>
      <c r="N198" s="97"/>
      <c r="O198" s="97"/>
      <c r="P198" s="97"/>
      <c r="Q198" s="97"/>
      <c r="AF198" s="97"/>
      <c r="AG198" s="97"/>
      <c r="AH198" s="97"/>
      <c r="AI198" s="97"/>
      <c r="AJ198" s="97"/>
      <c r="AK198" s="97"/>
      <c r="AL198" s="97"/>
      <c r="AM198" s="97"/>
      <c r="AN198" s="97"/>
      <c r="AO198" s="97"/>
      <c r="AP198" s="97"/>
    </row>
    <row r="199" spans="1:42" x14ac:dyDescent="0.25">
      <c r="A199" s="97"/>
      <c r="F199" s="97"/>
      <c r="K199" s="97"/>
      <c r="L199" s="97"/>
      <c r="M199" s="97"/>
      <c r="N199" s="97"/>
      <c r="O199" s="97"/>
      <c r="P199" s="97"/>
      <c r="Q199" s="97"/>
      <c r="AF199" s="97"/>
      <c r="AG199" s="97"/>
      <c r="AH199" s="97"/>
      <c r="AI199" s="97"/>
      <c r="AJ199" s="97"/>
      <c r="AK199" s="97"/>
      <c r="AL199" s="97"/>
      <c r="AM199" s="97"/>
      <c r="AN199" s="97"/>
      <c r="AO199" s="97"/>
      <c r="AP199" s="97"/>
    </row>
    <row r="200" spans="1:42" x14ac:dyDescent="0.25">
      <c r="A200" s="97"/>
      <c r="F200" s="97"/>
      <c r="K200" s="97"/>
      <c r="L200" s="97"/>
      <c r="M200" s="97"/>
      <c r="N200" s="97"/>
      <c r="O200" s="97"/>
      <c r="P200" s="97"/>
      <c r="Q200" s="97"/>
      <c r="AF200" s="97"/>
      <c r="AG200" s="97"/>
      <c r="AH200" s="97"/>
      <c r="AI200" s="97"/>
      <c r="AJ200" s="97"/>
      <c r="AK200" s="97"/>
      <c r="AL200" s="97"/>
      <c r="AM200" s="97"/>
      <c r="AN200" s="97"/>
      <c r="AO200" s="97"/>
      <c r="AP200" s="97"/>
    </row>
    <row r="201" spans="1:42" x14ac:dyDescent="0.25">
      <c r="A201" s="97"/>
      <c r="F201" s="97"/>
      <c r="K201" s="97"/>
      <c r="L201" s="97"/>
      <c r="M201" s="97"/>
      <c r="N201" s="97"/>
      <c r="O201" s="97"/>
      <c r="P201" s="97"/>
      <c r="Q201" s="97"/>
      <c r="AF201" s="97"/>
      <c r="AG201" s="97"/>
      <c r="AH201" s="97"/>
      <c r="AI201" s="97"/>
      <c r="AJ201" s="97"/>
      <c r="AK201" s="97"/>
      <c r="AL201" s="97"/>
      <c r="AM201" s="97"/>
      <c r="AN201" s="97"/>
      <c r="AO201" s="97"/>
      <c r="AP201" s="97"/>
    </row>
    <row r="202" spans="1:42" x14ac:dyDescent="0.25">
      <c r="A202" s="97"/>
      <c r="F202" s="97"/>
      <c r="K202" s="97"/>
      <c r="L202" s="97"/>
      <c r="M202" s="97"/>
      <c r="N202" s="97"/>
      <c r="O202" s="97"/>
      <c r="P202" s="97"/>
      <c r="Q202" s="97"/>
      <c r="AF202" s="97"/>
      <c r="AG202" s="97"/>
      <c r="AH202" s="97"/>
      <c r="AI202" s="97"/>
      <c r="AJ202" s="97"/>
      <c r="AK202" s="97"/>
      <c r="AL202" s="97"/>
      <c r="AM202" s="97"/>
      <c r="AN202" s="97"/>
      <c r="AO202" s="97"/>
      <c r="AP202" s="97"/>
    </row>
    <row r="203" spans="1:42" x14ac:dyDescent="0.25">
      <c r="A203" s="97"/>
      <c r="F203" s="97"/>
      <c r="K203" s="97"/>
      <c r="L203" s="97"/>
      <c r="M203" s="97"/>
      <c r="N203" s="97"/>
      <c r="O203" s="97"/>
      <c r="P203" s="97"/>
      <c r="Q203" s="97"/>
      <c r="AF203" s="97"/>
      <c r="AG203" s="97"/>
      <c r="AH203" s="97"/>
      <c r="AI203" s="97"/>
      <c r="AJ203" s="97"/>
      <c r="AK203" s="97"/>
      <c r="AL203" s="97"/>
      <c r="AM203" s="97"/>
      <c r="AN203" s="97"/>
      <c r="AO203" s="97"/>
      <c r="AP203" s="97"/>
    </row>
    <row r="204" spans="1:42" x14ac:dyDescent="0.25">
      <c r="A204" s="97"/>
      <c r="F204" s="97"/>
      <c r="K204" s="97"/>
      <c r="L204" s="97"/>
      <c r="M204" s="97"/>
      <c r="N204" s="97"/>
      <c r="O204" s="97"/>
      <c r="P204" s="97"/>
      <c r="Q204" s="97"/>
      <c r="AF204" s="97"/>
      <c r="AG204" s="97"/>
      <c r="AH204" s="97"/>
      <c r="AI204" s="97"/>
      <c r="AJ204" s="97"/>
      <c r="AK204" s="97"/>
      <c r="AL204" s="97"/>
      <c r="AM204" s="97"/>
      <c r="AN204" s="97"/>
      <c r="AO204" s="97"/>
      <c r="AP204" s="97"/>
    </row>
    <row r="205" spans="1:42" x14ac:dyDescent="0.25">
      <c r="A205" s="97"/>
      <c r="F205" s="97"/>
      <c r="K205" s="97"/>
      <c r="L205" s="97"/>
      <c r="M205" s="97"/>
      <c r="N205" s="97"/>
      <c r="O205" s="97"/>
      <c r="P205" s="97"/>
      <c r="Q205" s="97"/>
      <c r="AF205" s="97"/>
      <c r="AG205" s="97"/>
      <c r="AH205" s="97"/>
      <c r="AI205" s="97"/>
      <c r="AJ205" s="97"/>
      <c r="AK205" s="97"/>
      <c r="AL205" s="97"/>
      <c r="AM205" s="97"/>
      <c r="AN205" s="97"/>
      <c r="AO205" s="97"/>
      <c r="AP205" s="97"/>
    </row>
    <row r="206" spans="1:42" x14ac:dyDescent="0.25">
      <c r="A206" s="97"/>
      <c r="F206" s="97"/>
      <c r="K206" s="97"/>
      <c r="L206" s="97"/>
      <c r="M206" s="97"/>
      <c r="N206" s="97"/>
      <c r="O206" s="97"/>
      <c r="P206" s="97"/>
      <c r="Q206" s="97"/>
      <c r="AF206" s="97"/>
      <c r="AG206" s="97"/>
      <c r="AH206" s="97"/>
      <c r="AI206" s="97"/>
      <c r="AJ206" s="97"/>
      <c r="AK206" s="97"/>
      <c r="AL206" s="97"/>
      <c r="AM206" s="97"/>
      <c r="AN206" s="97"/>
      <c r="AO206" s="97"/>
      <c r="AP206" s="97"/>
    </row>
    <row r="207" spans="1:42" x14ac:dyDescent="0.25">
      <c r="A207" s="97"/>
      <c r="F207" s="97"/>
      <c r="K207" s="97"/>
      <c r="L207" s="97"/>
      <c r="M207" s="97"/>
      <c r="N207" s="97"/>
      <c r="O207" s="97"/>
      <c r="P207" s="97"/>
      <c r="Q207" s="97"/>
      <c r="AF207" s="97"/>
      <c r="AG207" s="97"/>
      <c r="AH207" s="97"/>
      <c r="AI207" s="97"/>
      <c r="AJ207" s="97"/>
      <c r="AK207" s="97"/>
      <c r="AL207" s="97"/>
      <c r="AM207" s="97"/>
      <c r="AN207" s="97"/>
      <c r="AO207" s="97"/>
      <c r="AP207" s="97"/>
    </row>
    <row r="208" spans="1:42" x14ac:dyDescent="0.25">
      <c r="A208" s="97"/>
      <c r="F208" s="97"/>
      <c r="K208" s="97"/>
      <c r="L208" s="97"/>
      <c r="M208" s="97"/>
      <c r="N208" s="97"/>
      <c r="O208" s="97"/>
      <c r="P208" s="97"/>
      <c r="Q208" s="97"/>
      <c r="AF208" s="97"/>
      <c r="AG208" s="97"/>
      <c r="AH208" s="97"/>
      <c r="AI208" s="97"/>
      <c r="AJ208" s="97"/>
      <c r="AK208" s="97"/>
      <c r="AL208" s="97"/>
      <c r="AM208" s="97"/>
      <c r="AN208" s="97"/>
      <c r="AO208" s="97"/>
      <c r="AP208" s="97"/>
    </row>
    <row r="209" spans="1:42" x14ac:dyDescent="0.25">
      <c r="A209" s="97"/>
      <c r="F209" s="97"/>
      <c r="K209" s="97"/>
      <c r="L209" s="97"/>
      <c r="M209" s="97"/>
      <c r="N209" s="97"/>
      <c r="O209" s="97"/>
      <c r="P209" s="97"/>
      <c r="Q209" s="97"/>
      <c r="AF209" s="97"/>
      <c r="AG209" s="97"/>
      <c r="AH209" s="97"/>
      <c r="AI209" s="97"/>
      <c r="AJ209" s="97"/>
      <c r="AK209" s="97"/>
      <c r="AL209" s="97"/>
      <c r="AM209" s="97"/>
      <c r="AN209" s="97"/>
      <c r="AO209" s="97"/>
      <c r="AP209" s="97"/>
    </row>
    <row r="210" spans="1:42" x14ac:dyDescent="0.25">
      <c r="A210" s="97"/>
      <c r="F210" s="97"/>
      <c r="K210" s="97"/>
      <c r="L210" s="97"/>
      <c r="M210" s="97"/>
      <c r="N210" s="97"/>
      <c r="O210" s="97"/>
      <c r="P210" s="97"/>
      <c r="Q210" s="97"/>
      <c r="AF210" s="97"/>
      <c r="AG210" s="97"/>
      <c r="AH210" s="97"/>
      <c r="AI210" s="97"/>
      <c r="AJ210" s="97"/>
      <c r="AK210" s="97"/>
      <c r="AL210" s="97"/>
      <c r="AM210" s="97"/>
      <c r="AN210" s="97"/>
      <c r="AO210" s="97"/>
      <c r="AP210" s="97"/>
    </row>
    <row r="211" spans="1:42" x14ac:dyDescent="0.25">
      <c r="A211" s="97"/>
      <c r="F211" s="97"/>
      <c r="K211" s="97"/>
      <c r="L211" s="97"/>
      <c r="M211" s="97"/>
      <c r="N211" s="97"/>
      <c r="O211" s="97"/>
      <c r="P211" s="97"/>
      <c r="Q211" s="97"/>
      <c r="AF211" s="97"/>
      <c r="AG211" s="97"/>
      <c r="AH211" s="97"/>
      <c r="AI211" s="97"/>
      <c r="AJ211" s="97"/>
      <c r="AK211" s="97"/>
      <c r="AL211" s="97"/>
      <c r="AM211" s="97"/>
      <c r="AN211" s="97"/>
      <c r="AO211" s="97"/>
      <c r="AP211" s="97"/>
    </row>
    <row r="212" spans="1:42" x14ac:dyDescent="0.25">
      <c r="A212" s="97"/>
      <c r="F212" s="97"/>
      <c r="K212" s="97"/>
      <c r="L212" s="97"/>
      <c r="M212" s="97"/>
      <c r="N212" s="97"/>
      <c r="O212" s="97"/>
      <c r="P212" s="97"/>
      <c r="Q212" s="97"/>
      <c r="AF212" s="97"/>
      <c r="AG212" s="97"/>
      <c r="AH212" s="97"/>
      <c r="AI212" s="97"/>
      <c r="AJ212" s="97"/>
      <c r="AK212" s="97"/>
      <c r="AL212" s="97"/>
      <c r="AM212" s="97"/>
      <c r="AN212" s="97"/>
      <c r="AO212" s="97"/>
      <c r="AP212" s="97"/>
    </row>
    <row r="213" spans="1:42" x14ac:dyDescent="0.25">
      <c r="A213" s="97"/>
      <c r="F213" s="97"/>
      <c r="K213" s="97"/>
      <c r="L213" s="97"/>
      <c r="M213" s="97"/>
      <c r="N213" s="97"/>
      <c r="O213" s="97"/>
      <c r="P213" s="97"/>
      <c r="Q213" s="97"/>
      <c r="AF213" s="97"/>
      <c r="AG213" s="97"/>
      <c r="AH213" s="97"/>
      <c r="AI213" s="97"/>
      <c r="AJ213" s="97"/>
      <c r="AK213" s="97"/>
      <c r="AL213" s="97"/>
      <c r="AM213" s="97"/>
      <c r="AN213" s="97"/>
      <c r="AO213" s="97"/>
      <c r="AP213" s="97"/>
    </row>
    <row r="214" spans="1:42" x14ac:dyDescent="0.25">
      <c r="A214" s="97"/>
      <c r="F214" s="97"/>
      <c r="K214" s="97"/>
      <c r="L214" s="97"/>
      <c r="M214" s="97"/>
      <c r="N214" s="97"/>
      <c r="O214" s="97"/>
      <c r="P214" s="97"/>
      <c r="Q214" s="97"/>
      <c r="AF214" s="97"/>
      <c r="AG214" s="97"/>
      <c r="AH214" s="97"/>
      <c r="AI214" s="97"/>
      <c r="AJ214" s="97"/>
      <c r="AK214" s="97"/>
      <c r="AL214" s="97"/>
      <c r="AM214" s="97"/>
      <c r="AN214" s="97"/>
      <c r="AO214" s="97"/>
      <c r="AP214" s="97"/>
    </row>
    <row r="215" spans="1:42" x14ac:dyDescent="0.25">
      <c r="A215" s="97"/>
      <c r="F215" s="97"/>
      <c r="K215" s="97"/>
      <c r="L215" s="97"/>
      <c r="M215" s="97"/>
      <c r="N215" s="97"/>
      <c r="O215" s="97"/>
      <c r="P215" s="97"/>
      <c r="Q215" s="97"/>
      <c r="AF215" s="97"/>
      <c r="AG215" s="97"/>
      <c r="AH215" s="97"/>
      <c r="AI215" s="97"/>
      <c r="AJ215" s="97"/>
      <c r="AK215" s="97"/>
      <c r="AL215" s="97"/>
      <c r="AM215" s="97"/>
      <c r="AN215" s="97"/>
      <c r="AO215" s="97"/>
      <c r="AP215" s="97"/>
    </row>
    <row r="216" spans="1:42" x14ac:dyDescent="0.25">
      <c r="A216" s="97"/>
      <c r="F216" s="97"/>
      <c r="K216" s="97"/>
      <c r="L216" s="97"/>
      <c r="M216" s="97"/>
      <c r="N216" s="97"/>
      <c r="O216" s="97"/>
      <c r="P216" s="97"/>
      <c r="Q216" s="97"/>
      <c r="AF216" s="97"/>
      <c r="AG216" s="97"/>
      <c r="AH216" s="97"/>
      <c r="AI216" s="97"/>
      <c r="AJ216" s="97"/>
      <c r="AK216" s="97"/>
      <c r="AL216" s="97"/>
      <c r="AM216" s="97"/>
      <c r="AN216" s="97"/>
      <c r="AO216" s="97"/>
      <c r="AP216" s="97"/>
    </row>
    <row r="217" spans="1:42" x14ac:dyDescent="0.25">
      <c r="A217" s="97"/>
      <c r="F217" s="97"/>
      <c r="K217" s="97"/>
      <c r="L217" s="97"/>
      <c r="M217" s="97"/>
      <c r="N217" s="97"/>
      <c r="O217" s="97"/>
      <c r="P217" s="97"/>
      <c r="Q217" s="97"/>
      <c r="AF217" s="97"/>
      <c r="AG217" s="97"/>
      <c r="AH217" s="97"/>
      <c r="AI217" s="97"/>
      <c r="AJ217" s="97"/>
      <c r="AK217" s="97"/>
      <c r="AL217" s="97"/>
      <c r="AM217" s="97"/>
      <c r="AN217" s="97"/>
      <c r="AO217" s="97"/>
      <c r="AP217" s="97"/>
    </row>
    <row r="218" spans="1:42" x14ac:dyDescent="0.25">
      <c r="A218" s="97"/>
      <c r="F218" s="97"/>
      <c r="K218" s="97"/>
      <c r="L218" s="97"/>
      <c r="M218" s="97"/>
      <c r="N218" s="97"/>
      <c r="O218" s="97"/>
      <c r="P218" s="97"/>
      <c r="Q218" s="97"/>
      <c r="AF218" s="97"/>
      <c r="AG218" s="97"/>
      <c r="AH218" s="97"/>
      <c r="AI218" s="97"/>
      <c r="AJ218" s="97"/>
      <c r="AK218" s="97"/>
      <c r="AL218" s="97"/>
      <c r="AM218" s="97"/>
      <c r="AN218" s="97"/>
      <c r="AO218" s="97"/>
      <c r="AP218" s="97"/>
    </row>
    <row r="219" spans="1:42" x14ac:dyDescent="0.25">
      <c r="A219" s="97"/>
      <c r="F219" s="97"/>
      <c r="K219" s="97"/>
      <c r="L219" s="97"/>
      <c r="M219" s="97"/>
      <c r="N219" s="97"/>
      <c r="O219" s="97"/>
      <c r="P219" s="97"/>
      <c r="Q219" s="97"/>
      <c r="AF219" s="97"/>
      <c r="AG219" s="97"/>
      <c r="AH219" s="97"/>
      <c r="AI219" s="97"/>
      <c r="AJ219" s="97"/>
      <c r="AK219" s="97"/>
      <c r="AL219" s="97"/>
      <c r="AM219" s="97"/>
      <c r="AN219" s="97"/>
      <c r="AO219" s="97"/>
      <c r="AP219" s="97"/>
    </row>
    <row r="220" spans="1:42" x14ac:dyDescent="0.25">
      <c r="A220" s="97"/>
      <c r="F220" s="97"/>
      <c r="K220" s="97"/>
      <c r="L220" s="97"/>
      <c r="M220" s="97"/>
      <c r="N220" s="97"/>
      <c r="O220" s="97"/>
      <c r="P220" s="97"/>
      <c r="Q220" s="97"/>
      <c r="AF220" s="97"/>
      <c r="AG220" s="97"/>
      <c r="AH220" s="97"/>
      <c r="AI220" s="97"/>
      <c r="AJ220" s="97"/>
      <c r="AK220" s="97"/>
      <c r="AL220" s="97"/>
      <c r="AM220" s="97"/>
      <c r="AN220" s="97"/>
      <c r="AO220" s="97"/>
      <c r="AP220" s="97"/>
    </row>
    <row r="221" spans="1:42" x14ac:dyDescent="0.25">
      <c r="A221" s="97"/>
      <c r="F221" s="97"/>
      <c r="K221" s="97"/>
      <c r="L221" s="97"/>
      <c r="M221" s="97"/>
      <c r="N221" s="97"/>
      <c r="O221" s="97"/>
      <c r="P221" s="97"/>
      <c r="Q221" s="97"/>
      <c r="AF221" s="97"/>
      <c r="AG221" s="97"/>
      <c r="AH221" s="97"/>
      <c r="AI221" s="97"/>
      <c r="AJ221" s="97"/>
      <c r="AK221" s="97"/>
      <c r="AL221" s="97"/>
      <c r="AM221" s="97"/>
      <c r="AN221" s="97"/>
      <c r="AO221" s="97"/>
      <c r="AP221" s="97"/>
    </row>
    <row r="222" spans="1:42" x14ac:dyDescent="0.25">
      <c r="A222" s="97"/>
      <c r="F222" s="97"/>
      <c r="K222" s="97"/>
      <c r="L222" s="97"/>
      <c r="M222" s="97"/>
      <c r="N222" s="97"/>
      <c r="O222" s="97"/>
      <c r="P222" s="97"/>
      <c r="Q222" s="97"/>
      <c r="AF222" s="97"/>
      <c r="AG222" s="97"/>
      <c r="AH222" s="97"/>
      <c r="AI222" s="97"/>
      <c r="AJ222" s="97"/>
      <c r="AK222" s="97"/>
      <c r="AL222" s="97"/>
      <c r="AM222" s="97"/>
      <c r="AN222" s="97"/>
      <c r="AO222" s="97"/>
      <c r="AP222" s="97"/>
    </row>
    <row r="223" spans="1:42" x14ac:dyDescent="0.25">
      <c r="A223" s="97"/>
      <c r="F223" s="97"/>
      <c r="K223" s="97"/>
      <c r="L223" s="97"/>
      <c r="M223" s="97"/>
      <c r="N223" s="97"/>
      <c r="O223" s="97"/>
      <c r="P223" s="97"/>
      <c r="Q223" s="97"/>
      <c r="AF223" s="97"/>
      <c r="AG223" s="97"/>
      <c r="AH223" s="97"/>
      <c r="AI223" s="97"/>
      <c r="AJ223" s="97"/>
      <c r="AK223" s="97"/>
      <c r="AL223" s="97"/>
      <c r="AM223" s="97"/>
      <c r="AN223" s="97"/>
      <c r="AO223" s="97"/>
      <c r="AP223" s="97"/>
    </row>
    <row r="224" spans="1:42" x14ac:dyDescent="0.25">
      <c r="A224" s="97"/>
      <c r="F224" s="97"/>
      <c r="K224" s="97"/>
      <c r="L224" s="97"/>
      <c r="M224" s="97"/>
      <c r="N224" s="97"/>
      <c r="O224" s="97"/>
      <c r="P224" s="97"/>
      <c r="Q224" s="97"/>
      <c r="AF224" s="97"/>
      <c r="AG224" s="97"/>
      <c r="AH224" s="97"/>
      <c r="AI224" s="97"/>
      <c r="AJ224" s="97"/>
      <c r="AK224" s="97"/>
      <c r="AL224" s="97"/>
      <c r="AM224" s="97"/>
      <c r="AN224" s="97"/>
      <c r="AO224" s="97"/>
      <c r="AP224" s="97"/>
    </row>
    <row r="225" spans="1:42" x14ac:dyDescent="0.25">
      <c r="A225" s="97"/>
      <c r="F225" s="97"/>
      <c r="K225" s="97"/>
      <c r="L225" s="97"/>
      <c r="M225" s="97"/>
      <c r="N225" s="97"/>
      <c r="O225" s="97"/>
      <c r="P225" s="97"/>
      <c r="Q225" s="97"/>
      <c r="AF225" s="97"/>
      <c r="AG225" s="97"/>
      <c r="AH225" s="97"/>
      <c r="AI225" s="97"/>
      <c r="AJ225" s="97"/>
      <c r="AK225" s="97"/>
      <c r="AL225" s="97"/>
      <c r="AM225" s="97"/>
      <c r="AN225" s="97"/>
      <c r="AO225" s="97"/>
      <c r="AP225" s="97"/>
    </row>
    <row r="226" spans="1:42" x14ac:dyDescent="0.25">
      <c r="A226" s="97"/>
      <c r="F226" s="97"/>
      <c r="K226" s="97"/>
      <c r="L226" s="97"/>
      <c r="M226" s="97"/>
      <c r="N226" s="97"/>
      <c r="O226" s="97"/>
      <c r="P226" s="97"/>
      <c r="Q226" s="97"/>
      <c r="AF226" s="97"/>
      <c r="AG226" s="97"/>
      <c r="AH226" s="97"/>
      <c r="AI226" s="97"/>
      <c r="AJ226" s="97"/>
      <c r="AK226" s="97"/>
      <c r="AL226" s="97"/>
      <c r="AM226" s="97"/>
      <c r="AN226" s="97"/>
      <c r="AO226" s="97"/>
      <c r="AP226" s="97"/>
    </row>
    <row r="227" spans="1:42" x14ac:dyDescent="0.25">
      <c r="A227" s="97"/>
      <c r="F227" s="97"/>
      <c r="K227" s="97"/>
      <c r="L227" s="97"/>
      <c r="M227" s="97"/>
      <c r="N227" s="97"/>
      <c r="O227" s="97"/>
      <c r="P227" s="97"/>
      <c r="Q227" s="97"/>
      <c r="AF227" s="97"/>
      <c r="AG227" s="97"/>
      <c r="AH227" s="97"/>
      <c r="AI227" s="97"/>
      <c r="AJ227" s="97"/>
      <c r="AK227" s="97"/>
      <c r="AL227" s="97"/>
      <c r="AM227" s="97"/>
      <c r="AN227" s="97"/>
      <c r="AO227" s="97"/>
      <c r="AP227" s="97"/>
    </row>
    <row r="228" spans="1:42" x14ac:dyDescent="0.25">
      <c r="A228" s="97"/>
      <c r="F228" s="97"/>
      <c r="K228" s="97"/>
      <c r="L228" s="97"/>
      <c r="M228" s="97"/>
      <c r="N228" s="97"/>
      <c r="O228" s="97"/>
      <c r="P228" s="97"/>
      <c r="Q228" s="97"/>
      <c r="AF228" s="97"/>
      <c r="AG228" s="97"/>
      <c r="AH228" s="97"/>
      <c r="AI228" s="97"/>
      <c r="AJ228" s="97"/>
      <c r="AK228" s="97"/>
      <c r="AL228" s="97"/>
      <c r="AM228" s="97"/>
      <c r="AN228" s="97"/>
      <c r="AO228" s="97"/>
      <c r="AP228" s="97"/>
    </row>
    <row r="229" spans="1:42" x14ac:dyDescent="0.25">
      <c r="A229" s="97"/>
      <c r="F229" s="97"/>
      <c r="K229" s="97"/>
      <c r="L229" s="97"/>
      <c r="M229" s="97"/>
      <c r="N229" s="97"/>
      <c r="O229" s="97"/>
      <c r="P229" s="97"/>
      <c r="Q229" s="97"/>
      <c r="AF229" s="97"/>
      <c r="AG229" s="97"/>
      <c r="AH229" s="97"/>
      <c r="AI229" s="97"/>
      <c r="AJ229" s="97"/>
      <c r="AK229" s="97"/>
      <c r="AL229" s="97"/>
      <c r="AM229" s="97"/>
      <c r="AN229" s="97"/>
      <c r="AO229" s="97"/>
      <c r="AP229" s="97"/>
    </row>
    <row r="230" spans="1:42" x14ac:dyDescent="0.25">
      <c r="A230" s="97"/>
      <c r="F230" s="97"/>
      <c r="K230" s="97"/>
      <c r="L230" s="97"/>
      <c r="M230" s="97"/>
      <c r="N230" s="97"/>
      <c r="O230" s="97"/>
      <c r="P230" s="97"/>
      <c r="Q230" s="97"/>
      <c r="AF230" s="97"/>
      <c r="AG230" s="97"/>
      <c r="AH230" s="97"/>
      <c r="AI230" s="97"/>
      <c r="AJ230" s="97"/>
      <c r="AK230" s="97"/>
      <c r="AL230" s="97"/>
      <c r="AM230" s="97"/>
      <c r="AN230" s="97"/>
      <c r="AO230" s="97"/>
      <c r="AP230" s="97"/>
    </row>
    <row r="231" spans="1:42" x14ac:dyDescent="0.25">
      <c r="A231" s="97"/>
      <c r="F231" s="97"/>
      <c r="K231" s="97"/>
      <c r="L231" s="97"/>
      <c r="M231" s="97"/>
      <c r="N231" s="97"/>
      <c r="O231" s="97"/>
      <c r="P231" s="97"/>
      <c r="Q231" s="97"/>
      <c r="AF231" s="97"/>
      <c r="AG231" s="97"/>
      <c r="AH231" s="97"/>
      <c r="AI231" s="97"/>
      <c r="AJ231" s="97"/>
      <c r="AK231" s="97"/>
      <c r="AL231" s="97"/>
      <c r="AM231" s="97"/>
      <c r="AN231" s="97"/>
      <c r="AO231" s="97"/>
      <c r="AP231" s="97"/>
    </row>
    <row r="232" spans="1:42" x14ac:dyDescent="0.25">
      <c r="A232" s="97"/>
      <c r="F232" s="97"/>
      <c r="K232" s="97"/>
      <c r="L232" s="97"/>
      <c r="M232" s="97"/>
      <c r="N232" s="97"/>
      <c r="O232" s="97"/>
      <c r="P232" s="97"/>
      <c r="Q232" s="97"/>
      <c r="AF232" s="97"/>
      <c r="AG232" s="97"/>
      <c r="AH232" s="97"/>
      <c r="AI232" s="97"/>
      <c r="AJ232" s="97"/>
      <c r="AK232" s="97"/>
      <c r="AL232" s="97"/>
      <c r="AM232" s="97"/>
      <c r="AN232" s="97"/>
      <c r="AO232" s="97"/>
      <c r="AP232" s="97"/>
    </row>
    <row r="233" spans="1:42" x14ac:dyDescent="0.25">
      <c r="A233" s="97"/>
      <c r="F233" s="97"/>
      <c r="K233" s="97"/>
      <c r="L233" s="97"/>
      <c r="M233" s="97"/>
      <c r="N233" s="97"/>
      <c r="O233" s="97"/>
      <c r="P233" s="97"/>
      <c r="Q233" s="97"/>
      <c r="AF233" s="97"/>
      <c r="AG233" s="97"/>
      <c r="AH233" s="97"/>
      <c r="AI233" s="97"/>
      <c r="AJ233" s="97"/>
      <c r="AK233" s="97"/>
      <c r="AL233" s="97"/>
      <c r="AM233" s="97"/>
      <c r="AN233" s="97"/>
      <c r="AO233" s="97"/>
      <c r="AP233" s="97"/>
    </row>
    <row r="234" spans="1:42" x14ac:dyDescent="0.25">
      <c r="A234" s="97"/>
      <c r="F234" s="97"/>
      <c r="K234" s="97"/>
      <c r="L234" s="97"/>
      <c r="M234" s="97"/>
      <c r="N234" s="97"/>
      <c r="O234" s="97"/>
      <c r="P234" s="97"/>
      <c r="Q234" s="97"/>
      <c r="AF234" s="97"/>
      <c r="AG234" s="97"/>
      <c r="AH234" s="97"/>
      <c r="AI234" s="97"/>
      <c r="AJ234" s="97"/>
      <c r="AK234" s="97"/>
      <c r="AL234" s="97"/>
      <c r="AM234" s="97"/>
      <c r="AN234" s="97"/>
      <c r="AO234" s="97"/>
      <c r="AP234" s="97"/>
    </row>
    <row r="235" spans="1:42" x14ac:dyDescent="0.25">
      <c r="A235" s="97"/>
      <c r="F235" s="97"/>
      <c r="K235" s="97"/>
      <c r="L235" s="97"/>
      <c r="M235" s="97"/>
      <c r="N235" s="97"/>
      <c r="O235" s="97"/>
      <c r="P235" s="97"/>
      <c r="Q235" s="97"/>
      <c r="AF235" s="97"/>
      <c r="AG235" s="97"/>
      <c r="AH235" s="97"/>
      <c r="AI235" s="97"/>
      <c r="AJ235" s="97"/>
      <c r="AK235" s="97"/>
      <c r="AL235" s="97"/>
      <c r="AM235" s="97"/>
      <c r="AN235" s="97"/>
      <c r="AO235" s="97"/>
      <c r="AP235" s="97"/>
    </row>
    <row r="236" spans="1:42" x14ac:dyDescent="0.25">
      <c r="A236" s="97"/>
      <c r="F236" s="97"/>
      <c r="K236" s="97"/>
      <c r="L236" s="97"/>
      <c r="M236" s="97"/>
      <c r="N236" s="97"/>
      <c r="O236" s="97"/>
      <c r="P236" s="97"/>
      <c r="Q236" s="97"/>
      <c r="AF236" s="97"/>
      <c r="AG236" s="97"/>
      <c r="AH236" s="97"/>
      <c r="AI236" s="97"/>
      <c r="AJ236" s="97"/>
      <c r="AK236" s="97"/>
      <c r="AL236" s="97"/>
      <c r="AM236" s="97"/>
      <c r="AN236" s="97"/>
      <c r="AO236" s="97"/>
      <c r="AP236" s="97"/>
    </row>
    <row r="237" spans="1:42" x14ac:dyDescent="0.25">
      <c r="A237" s="97"/>
      <c r="F237" s="97"/>
      <c r="K237" s="97"/>
      <c r="L237" s="97"/>
      <c r="M237" s="97"/>
      <c r="N237" s="97"/>
      <c r="O237" s="97"/>
      <c r="P237" s="97"/>
      <c r="Q237" s="97"/>
      <c r="AF237" s="97"/>
      <c r="AG237" s="97"/>
      <c r="AH237" s="97"/>
      <c r="AI237" s="97"/>
      <c r="AJ237" s="97"/>
      <c r="AK237" s="97"/>
      <c r="AL237" s="97"/>
      <c r="AM237" s="97"/>
      <c r="AN237" s="97"/>
      <c r="AO237" s="97"/>
      <c r="AP237" s="97"/>
    </row>
    <row r="238" spans="1:42" x14ac:dyDescent="0.25">
      <c r="A238" s="97"/>
      <c r="F238" s="97"/>
      <c r="K238" s="97"/>
      <c r="L238" s="97"/>
      <c r="M238" s="97"/>
      <c r="N238" s="97"/>
      <c r="O238" s="97"/>
      <c r="P238" s="97"/>
      <c r="Q238" s="97"/>
      <c r="AF238" s="97"/>
      <c r="AG238" s="97"/>
      <c r="AH238" s="97"/>
      <c r="AI238" s="97"/>
      <c r="AJ238" s="97"/>
      <c r="AK238" s="97"/>
      <c r="AL238" s="97"/>
      <c r="AM238" s="97"/>
      <c r="AN238" s="97"/>
      <c r="AO238" s="97"/>
      <c r="AP238" s="97"/>
    </row>
    <row r="239" spans="1:42" x14ac:dyDescent="0.25">
      <c r="A239" s="97"/>
      <c r="F239" s="97"/>
      <c r="K239" s="97"/>
      <c r="L239" s="97"/>
      <c r="M239" s="97"/>
      <c r="N239" s="97"/>
      <c r="O239" s="97"/>
      <c r="P239" s="97"/>
      <c r="Q239" s="97"/>
      <c r="AF239" s="97"/>
      <c r="AG239" s="97"/>
      <c r="AH239" s="97"/>
      <c r="AI239" s="97"/>
      <c r="AJ239" s="97"/>
      <c r="AK239" s="97"/>
      <c r="AL239" s="97"/>
      <c r="AM239" s="97"/>
      <c r="AN239" s="97"/>
      <c r="AO239" s="97"/>
      <c r="AP239" s="97"/>
    </row>
    <row r="240" spans="1:42" x14ac:dyDescent="0.25">
      <c r="A240" s="97"/>
      <c r="F240" s="97"/>
      <c r="K240" s="97"/>
      <c r="L240" s="97"/>
      <c r="M240" s="97"/>
      <c r="N240" s="97"/>
      <c r="O240" s="97"/>
      <c r="P240" s="97"/>
      <c r="Q240" s="97"/>
      <c r="AF240" s="97"/>
      <c r="AG240" s="97"/>
      <c r="AH240" s="97"/>
      <c r="AI240" s="97"/>
      <c r="AJ240" s="97"/>
      <c r="AK240" s="97"/>
      <c r="AL240" s="97"/>
      <c r="AM240" s="97"/>
      <c r="AN240" s="97"/>
      <c r="AO240" s="97"/>
      <c r="AP240" s="97"/>
    </row>
    <row r="241" spans="1:42" x14ac:dyDescent="0.25">
      <c r="A241" s="97"/>
      <c r="F241" s="97"/>
      <c r="K241" s="97"/>
      <c r="L241" s="97"/>
      <c r="M241" s="97"/>
      <c r="N241" s="97"/>
      <c r="O241" s="97"/>
      <c r="P241" s="97"/>
      <c r="Q241" s="97"/>
      <c r="AF241" s="97"/>
      <c r="AG241" s="97"/>
      <c r="AH241" s="97"/>
      <c r="AI241" s="97"/>
      <c r="AJ241" s="97"/>
      <c r="AK241" s="97"/>
      <c r="AL241" s="97"/>
      <c r="AM241" s="97"/>
      <c r="AN241" s="97"/>
      <c r="AO241" s="97"/>
      <c r="AP241" s="97"/>
    </row>
    <row r="242" spans="1:42" x14ac:dyDescent="0.25">
      <c r="A242" s="97"/>
      <c r="F242" s="97"/>
      <c r="K242" s="97"/>
      <c r="L242" s="97"/>
      <c r="M242" s="97"/>
      <c r="N242" s="97"/>
      <c r="O242" s="97"/>
      <c r="P242" s="97"/>
      <c r="Q242" s="97"/>
      <c r="AF242" s="97"/>
      <c r="AG242" s="97"/>
      <c r="AH242" s="97"/>
      <c r="AI242" s="97"/>
      <c r="AJ242" s="97"/>
      <c r="AK242" s="97"/>
      <c r="AL242" s="97"/>
      <c r="AM242" s="97"/>
      <c r="AN242" s="97"/>
      <c r="AO242" s="97"/>
      <c r="AP242" s="97"/>
    </row>
    <row r="243" spans="1:42" x14ac:dyDescent="0.25">
      <c r="A243" s="97"/>
      <c r="F243" s="97"/>
      <c r="K243" s="97"/>
      <c r="L243" s="97"/>
      <c r="M243" s="97"/>
      <c r="N243" s="97"/>
      <c r="O243" s="97"/>
      <c r="P243" s="97"/>
      <c r="Q243" s="97"/>
      <c r="AF243" s="97"/>
      <c r="AG243" s="97"/>
      <c r="AH243" s="97"/>
      <c r="AI243" s="97"/>
      <c r="AJ243" s="97"/>
      <c r="AK243" s="97"/>
      <c r="AL243" s="97"/>
      <c r="AM243" s="97"/>
      <c r="AN243" s="97"/>
      <c r="AO243" s="97"/>
      <c r="AP243" s="97"/>
    </row>
    <row r="244" spans="1:42" x14ac:dyDescent="0.25">
      <c r="A244" s="97"/>
      <c r="F244" s="97"/>
      <c r="K244" s="97"/>
      <c r="L244" s="97"/>
      <c r="M244" s="97"/>
      <c r="N244" s="97"/>
      <c r="O244" s="97"/>
      <c r="P244" s="97"/>
      <c r="Q244" s="97"/>
      <c r="AF244" s="97"/>
      <c r="AG244" s="97"/>
      <c r="AH244" s="97"/>
      <c r="AI244" s="97"/>
      <c r="AJ244" s="97"/>
      <c r="AK244" s="97"/>
      <c r="AL244" s="97"/>
      <c r="AM244" s="97"/>
      <c r="AN244" s="97"/>
      <c r="AO244" s="97"/>
      <c r="AP244" s="97"/>
    </row>
    <row r="245" spans="1:42" x14ac:dyDescent="0.25">
      <c r="A245" s="97"/>
      <c r="F245" s="97"/>
      <c r="K245" s="97"/>
      <c r="L245" s="97"/>
      <c r="M245" s="97"/>
      <c r="N245" s="97"/>
      <c r="O245" s="97"/>
      <c r="P245" s="97"/>
      <c r="Q245" s="97"/>
      <c r="AF245" s="97"/>
      <c r="AG245" s="97"/>
      <c r="AH245" s="97"/>
      <c r="AI245" s="97"/>
      <c r="AJ245" s="97"/>
      <c r="AK245" s="97"/>
      <c r="AL245" s="97"/>
      <c r="AM245" s="97"/>
      <c r="AN245" s="97"/>
      <c r="AO245" s="97"/>
      <c r="AP245" s="97"/>
    </row>
    <row r="246" spans="1:42" x14ac:dyDescent="0.25">
      <c r="A246" s="97"/>
      <c r="F246" s="97"/>
      <c r="K246" s="97"/>
      <c r="L246" s="97"/>
      <c r="M246" s="97"/>
      <c r="N246" s="97"/>
      <c r="O246" s="97"/>
      <c r="P246" s="97"/>
      <c r="Q246" s="97"/>
      <c r="AF246" s="97"/>
      <c r="AG246" s="97"/>
      <c r="AH246" s="97"/>
      <c r="AI246" s="97"/>
      <c r="AJ246" s="97"/>
      <c r="AK246" s="97"/>
      <c r="AL246" s="97"/>
      <c r="AM246" s="97"/>
      <c r="AN246" s="97"/>
      <c r="AO246" s="97"/>
      <c r="AP246" s="97"/>
    </row>
    <row r="247" spans="1:42" x14ac:dyDescent="0.25">
      <c r="A247" s="97"/>
      <c r="F247" s="97"/>
      <c r="K247" s="97"/>
      <c r="L247" s="97"/>
      <c r="M247" s="97"/>
      <c r="N247" s="97"/>
      <c r="O247" s="97"/>
      <c r="P247" s="97"/>
      <c r="Q247" s="97"/>
      <c r="AF247" s="97"/>
      <c r="AG247" s="97"/>
      <c r="AH247" s="97"/>
      <c r="AI247" s="97"/>
      <c r="AJ247" s="97"/>
      <c r="AK247" s="97"/>
      <c r="AL247" s="97"/>
      <c r="AM247" s="97"/>
      <c r="AN247" s="97"/>
      <c r="AO247" s="97"/>
      <c r="AP247" s="97"/>
    </row>
    <row r="248" spans="1:42" x14ac:dyDescent="0.25">
      <c r="A248" s="97"/>
      <c r="F248" s="97"/>
      <c r="K248" s="97"/>
      <c r="L248" s="97"/>
      <c r="M248" s="97"/>
      <c r="N248" s="97"/>
      <c r="O248" s="97"/>
      <c r="P248" s="97"/>
      <c r="Q248" s="97"/>
      <c r="AF248" s="97"/>
      <c r="AG248" s="97"/>
      <c r="AH248" s="97"/>
      <c r="AI248" s="97"/>
      <c r="AJ248" s="97"/>
      <c r="AK248" s="97"/>
      <c r="AL248" s="97"/>
      <c r="AM248" s="97"/>
      <c r="AN248" s="97"/>
      <c r="AO248" s="97"/>
      <c r="AP248" s="97"/>
    </row>
    <row r="249" spans="1:42" x14ac:dyDescent="0.25">
      <c r="A249" s="97"/>
      <c r="F249" s="97"/>
      <c r="K249" s="97"/>
      <c r="L249" s="97"/>
      <c r="M249" s="97"/>
      <c r="N249" s="97"/>
      <c r="O249" s="97"/>
      <c r="P249" s="97"/>
      <c r="Q249" s="97"/>
      <c r="AF249" s="97"/>
      <c r="AG249" s="97"/>
      <c r="AH249" s="97"/>
      <c r="AI249" s="97"/>
      <c r="AJ249" s="97"/>
      <c r="AK249" s="97"/>
      <c r="AL249" s="97"/>
      <c r="AM249" s="97"/>
      <c r="AN249" s="97"/>
      <c r="AO249" s="97"/>
      <c r="AP249" s="97"/>
    </row>
    <row r="250" spans="1:42" x14ac:dyDescent="0.25">
      <c r="A250" s="97"/>
      <c r="F250" s="97"/>
      <c r="K250" s="97"/>
      <c r="L250" s="97"/>
      <c r="M250" s="97"/>
      <c r="N250" s="97"/>
      <c r="O250" s="97"/>
      <c r="P250" s="97"/>
      <c r="Q250" s="97"/>
      <c r="AF250" s="97"/>
      <c r="AG250" s="97"/>
      <c r="AH250" s="97"/>
      <c r="AI250" s="97"/>
      <c r="AJ250" s="97"/>
      <c r="AK250" s="97"/>
      <c r="AL250" s="97"/>
      <c r="AM250" s="97"/>
      <c r="AN250" s="97"/>
      <c r="AO250" s="97"/>
      <c r="AP250" s="97"/>
    </row>
    <row r="251" spans="1:42" x14ac:dyDescent="0.25">
      <c r="A251" s="97" t="str">
        <f t="shared" ref="A195:A251" si="13">IF(B251="","","Y")</f>
        <v/>
      </c>
      <c r="C251" t="str">
        <f>TRIM('Account Creation'!B251)</f>
        <v/>
      </c>
      <c r="D251" t="str">
        <f>TRIM('Account Creation'!D251)</f>
        <v/>
      </c>
      <c r="F251" s="97" t="str">
        <f>IF(TRIM('Account Creation'!Z251)="0","",TRIM('Account Creation'!Z251))</f>
        <v/>
      </c>
      <c r="H251" t="str">
        <f>'Account Creation'!V251</f>
        <v/>
      </c>
      <c r="J251" t="str">
        <f>'Account Creation'!Y251</f>
        <v/>
      </c>
      <c r="K251" s="97" t="str">
        <f t="shared" ref="K195:K251" si="14">IF(B251="","",45)</f>
        <v/>
      </c>
      <c r="L251" s="97" t="str">
        <f t="shared" ref="L195:L251" si="15">IF(B251="","",45)</f>
        <v/>
      </c>
      <c r="M251" s="97" t="str">
        <f t="shared" ref="M195:M251" si="16">IF(B251="","",24)</f>
        <v/>
      </c>
      <c r="N251" s="97"/>
      <c r="O251" s="97" t="str">
        <f t="shared" ref="O195:O251" si="17">IF(B251="","",45)</f>
        <v/>
      </c>
      <c r="P251" s="97" t="str">
        <f t="shared" ref="P195:P251" si="18">IF(B251="","",45)</f>
        <v/>
      </c>
      <c r="Q251" s="97" t="str">
        <f t="shared" ref="Q195:Q251" si="19">IF(B251="","","inactive")</f>
        <v/>
      </c>
      <c r="U251" t="str">
        <f>'Account Creation'!AA251</f>
        <v/>
      </c>
      <c r="V251" t="str">
        <f>'Account Creation'!AB251</f>
        <v/>
      </c>
      <c r="W251" t="str">
        <f>'Account Creation'!AC251</f>
        <v/>
      </c>
      <c r="AF251" s="97" t="str">
        <f>IF(B251="","",'Account Creation'!AD251)</f>
        <v/>
      </c>
      <c r="AG251" s="97"/>
      <c r="AH251" s="97"/>
      <c r="AI251" s="97"/>
      <c r="AJ251" s="97"/>
      <c r="AK251" s="97" t="str">
        <f t="shared" ref="AK195:AK251" si="20">IF(B251="","",TRUE)</f>
        <v/>
      </c>
      <c r="AL251" s="97" t="str">
        <f t="shared" ref="AL195:AL251" si="21">IF(B251="","",1)</f>
        <v/>
      </c>
      <c r="AM251" s="97" t="str">
        <f t="shared" ref="AM195:AM251" si="22">IF(B251="","",0)</f>
        <v/>
      </c>
      <c r="AN251" s="97" t="str">
        <f t="shared" ref="AN195:AN251" si="23">IF(B251="","",FALSE)</f>
        <v/>
      </c>
      <c r="AO251" s="97" t="str">
        <f t="shared" ref="AO195:AO251" si="24">IF(B251="","",FALSE)</f>
        <v/>
      </c>
      <c r="AP251" s="97" t="str">
        <f t="shared" ref="AP195:AP251" si="25">IF(B251="","",FALSE)</f>
        <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251"/>
  <sheetViews>
    <sheetView showZeros="0" workbookViewId="0">
      <selection activeCell="A17" sqref="A17:XFD251"/>
    </sheetView>
  </sheetViews>
  <sheetFormatPr defaultColWidth="21.42578125" defaultRowHeight="15" x14ac:dyDescent="0.25"/>
  <cols>
    <col min="4" max="4" width="21.42578125" style="4"/>
    <col min="10" max="10" width="26" bestFit="1" customWidth="1"/>
  </cols>
  <sheetData>
    <row r="1" spans="1:10" x14ac:dyDescent="0.25">
      <c r="A1" s="2" t="s">
        <v>351</v>
      </c>
      <c r="B1" s="2" t="s">
        <v>2</v>
      </c>
      <c r="C1" s="2" t="s">
        <v>0</v>
      </c>
      <c r="D1" s="7" t="s">
        <v>391</v>
      </c>
      <c r="E1" s="2" t="s">
        <v>392</v>
      </c>
      <c r="F1" s="2" t="s">
        <v>393</v>
      </c>
      <c r="G1" s="2" t="s">
        <v>340</v>
      </c>
      <c r="H1" s="2" t="s">
        <v>394</v>
      </c>
      <c r="I1" s="2" t="s">
        <v>395</v>
      </c>
      <c r="J1" s="2" t="s">
        <v>396</v>
      </c>
    </row>
    <row r="2" spans="1:10" x14ac:dyDescent="0.25">
      <c r="A2" t="str">
        <f>TRIM('Help Desk'!D2)</f>
        <v>vn54tqf</v>
      </c>
      <c r="B2" t="str">
        <f>TRIM('Account Creation'!B2)</f>
        <v>Cristian</v>
      </c>
      <c r="C2" t="str">
        <f>TRIM('Account Creation'!D2)</f>
        <v>Ramirez</v>
      </c>
      <c r="D2" s="4" t="str">
        <f t="shared" ref="D2" si="0">CONCATENATE(B2, " ", LEFT(C2,1))</f>
        <v>Cristian R</v>
      </c>
      <c r="E2">
        <f>IF('Account Creation'!AG2="",FALSE,'Account Creation'!AG2)</f>
        <v>169</v>
      </c>
      <c r="F2">
        <f>IF('Account Creation'!AH2="",FALSE,'Account Creation'!AH2)</f>
        <v>100978</v>
      </c>
      <c r="G2" s="5" t="s">
        <v>397</v>
      </c>
      <c r="H2" t="str">
        <f t="shared" ref="H2" si="1">A2</f>
        <v>vn54tqf</v>
      </c>
      <c r="I2">
        <f>'VCC_Ecomm Step2'!B2</f>
        <v>0</v>
      </c>
      <c r="J2" s="4">
        <f>('Account Creation'!G2 - 25569) * 86400</f>
        <v>1665964800</v>
      </c>
    </row>
    <row r="3" spans="1:10" x14ac:dyDescent="0.25">
      <c r="A3" t="str">
        <f>TRIM('Help Desk'!D3)</f>
        <v>vn54tqh</v>
      </c>
      <c r="B3" t="str">
        <f>TRIM('Account Creation'!B3)</f>
        <v>Claudia</v>
      </c>
      <c r="C3" t="str">
        <f>TRIM('Account Creation'!D3)</f>
        <v>Garcia</v>
      </c>
      <c r="D3" s="4" t="str">
        <f t="shared" ref="D3:D66" si="2">CONCATENATE(B3, " ", LEFT(C3,1))</f>
        <v>Claudia G</v>
      </c>
      <c r="E3">
        <f>IF('Account Creation'!AG3="",FALSE,'Account Creation'!AG3)</f>
        <v>169</v>
      </c>
      <c r="F3">
        <f>IF('Account Creation'!AH3="",FALSE,'Account Creation'!AH3)</f>
        <v>100978</v>
      </c>
      <c r="G3" s="5" t="s">
        <v>397</v>
      </c>
      <c r="H3" t="str">
        <f t="shared" ref="H3:H66" si="3">A3</f>
        <v>vn54tqh</v>
      </c>
      <c r="I3">
        <f>'VCC_Ecomm Step2'!B3</f>
        <v>0</v>
      </c>
      <c r="J3" s="4">
        <f>('Account Creation'!G3 - 25569) * 86400</f>
        <v>1665964800</v>
      </c>
    </row>
    <row r="4" spans="1:10" x14ac:dyDescent="0.25">
      <c r="A4" t="str">
        <f>TRIM('Help Desk'!D4)</f>
        <v>vn54tqj</v>
      </c>
      <c r="B4" t="str">
        <f>TRIM('Account Creation'!B4)</f>
        <v>Luis</v>
      </c>
      <c r="C4" t="str">
        <f>TRIM('Account Creation'!D4)</f>
        <v>Hernandez</v>
      </c>
      <c r="D4" s="4" t="str">
        <f t="shared" si="2"/>
        <v>Luis H</v>
      </c>
      <c r="E4">
        <f>IF('Account Creation'!AG4="",FALSE,'Account Creation'!AG4)</f>
        <v>169</v>
      </c>
      <c r="F4">
        <f>IF('Account Creation'!AH4="",FALSE,'Account Creation'!AH4)</f>
        <v>100978</v>
      </c>
      <c r="G4" s="5" t="s">
        <v>397</v>
      </c>
      <c r="H4" t="str">
        <f t="shared" si="3"/>
        <v>vn54tqj</v>
      </c>
      <c r="I4">
        <f>'VCC_Ecomm Step2'!B4</f>
        <v>0</v>
      </c>
      <c r="J4" s="4">
        <f>('Account Creation'!G4 - 25569) * 86400</f>
        <v>1665964800</v>
      </c>
    </row>
    <row r="5" spans="1:10" x14ac:dyDescent="0.25">
      <c r="A5" t="str">
        <f>TRIM('Help Desk'!D5)</f>
        <v>vn54tql</v>
      </c>
      <c r="B5" t="str">
        <f>TRIM('Account Creation'!B5)</f>
        <v>Sofia</v>
      </c>
      <c r="C5" t="str">
        <f>TRIM('Account Creation'!D5)</f>
        <v>Marroquin</v>
      </c>
      <c r="D5" s="4" t="str">
        <f t="shared" si="2"/>
        <v>Sofia M</v>
      </c>
      <c r="E5">
        <f>IF('Account Creation'!AG5="",FALSE,'Account Creation'!AG5)</f>
        <v>169</v>
      </c>
      <c r="F5">
        <f>IF('Account Creation'!AH5="",FALSE,'Account Creation'!AH5)</f>
        <v>100978</v>
      </c>
      <c r="G5" s="5" t="s">
        <v>397</v>
      </c>
      <c r="H5" t="str">
        <f t="shared" si="3"/>
        <v>vn54tql</v>
      </c>
      <c r="I5">
        <f>'VCC_Ecomm Step2'!B5</f>
        <v>0</v>
      </c>
      <c r="J5" s="4">
        <f>('Account Creation'!G5 - 25569) * 86400</f>
        <v>1665964800</v>
      </c>
    </row>
    <row r="6" spans="1:10" x14ac:dyDescent="0.25">
      <c r="A6" t="str">
        <f>TRIM('Help Desk'!D6)</f>
        <v>vn54tqn</v>
      </c>
      <c r="B6" t="str">
        <f>TRIM('Account Creation'!B6)</f>
        <v>Guillermo</v>
      </c>
      <c r="C6" t="str">
        <f>TRIM('Account Creation'!D6)</f>
        <v>Zamora</v>
      </c>
      <c r="D6" s="4" t="str">
        <f t="shared" si="2"/>
        <v>Guillermo Z</v>
      </c>
      <c r="E6">
        <f>IF('Account Creation'!AG6="",FALSE,'Account Creation'!AG6)</f>
        <v>169</v>
      </c>
      <c r="F6">
        <f>IF('Account Creation'!AH6="",FALSE,'Account Creation'!AH6)</f>
        <v>100978</v>
      </c>
      <c r="G6" s="5" t="s">
        <v>397</v>
      </c>
      <c r="H6" t="str">
        <f t="shared" si="3"/>
        <v>vn54tqn</v>
      </c>
      <c r="I6">
        <f>'VCC_Ecomm Step2'!B6</f>
        <v>0</v>
      </c>
      <c r="J6" s="4">
        <f>('Account Creation'!G6 - 25569) * 86400</f>
        <v>1665964800</v>
      </c>
    </row>
    <row r="7" spans="1:10" x14ac:dyDescent="0.25">
      <c r="A7" t="str">
        <f>TRIM('Help Desk'!D7)</f>
        <v>vn54tqo</v>
      </c>
      <c r="B7" t="str">
        <f>TRIM('Account Creation'!B7)</f>
        <v>Katherine</v>
      </c>
      <c r="C7" t="str">
        <f>TRIM('Account Creation'!D7)</f>
        <v>Santizo</v>
      </c>
      <c r="D7" s="4" t="str">
        <f t="shared" si="2"/>
        <v>Katherine S</v>
      </c>
      <c r="E7">
        <f>IF('Account Creation'!AG7="",FALSE,'Account Creation'!AG7)</f>
        <v>169</v>
      </c>
      <c r="F7">
        <f>IF('Account Creation'!AH7="",FALSE,'Account Creation'!AH7)</f>
        <v>100978</v>
      </c>
      <c r="G7" s="5" t="s">
        <v>397</v>
      </c>
      <c r="H7" t="str">
        <f t="shared" si="3"/>
        <v>vn54tqo</v>
      </c>
      <c r="I7">
        <f>'VCC_Ecomm Step2'!B7</f>
        <v>0</v>
      </c>
      <c r="J7" s="4">
        <f>('Account Creation'!G7 - 25569) * 86400</f>
        <v>1665964800</v>
      </c>
    </row>
    <row r="8" spans="1:10" x14ac:dyDescent="0.25">
      <c r="A8" t="str">
        <f>TRIM('Help Desk'!D8)</f>
        <v>vn54tqq</v>
      </c>
      <c r="B8" t="str">
        <f>TRIM('Account Creation'!B8)</f>
        <v>Josue</v>
      </c>
      <c r="C8" t="str">
        <f>TRIM('Account Creation'!D8)</f>
        <v>Manrique</v>
      </c>
      <c r="D8" s="4" t="str">
        <f t="shared" si="2"/>
        <v>Josue M</v>
      </c>
      <c r="E8">
        <f>IF('Account Creation'!AG8="",FALSE,'Account Creation'!AG8)</f>
        <v>169</v>
      </c>
      <c r="F8">
        <f>IF('Account Creation'!AH8="",FALSE,'Account Creation'!AH8)</f>
        <v>100978</v>
      </c>
      <c r="G8" s="5" t="s">
        <v>397</v>
      </c>
      <c r="H8" t="str">
        <f t="shared" si="3"/>
        <v>vn54tqq</v>
      </c>
      <c r="I8">
        <f>'VCC_Ecomm Step2'!B8</f>
        <v>0</v>
      </c>
      <c r="J8" s="4">
        <f>('Account Creation'!G8 - 25569) * 86400</f>
        <v>1665964800</v>
      </c>
    </row>
    <row r="9" spans="1:10" x14ac:dyDescent="0.25">
      <c r="A9" t="str">
        <f>TRIM('Help Desk'!D9)</f>
        <v>vn54tqs</v>
      </c>
      <c r="B9" t="str">
        <f>TRIM('Account Creation'!B9)</f>
        <v>Kristtel</v>
      </c>
      <c r="C9" t="str">
        <f>TRIM('Account Creation'!D9)</f>
        <v>Hernandez</v>
      </c>
      <c r="D9" s="4" t="str">
        <f t="shared" si="2"/>
        <v>Kristtel H</v>
      </c>
      <c r="E9">
        <f>IF('Account Creation'!AG9="",FALSE,'Account Creation'!AG9)</f>
        <v>169</v>
      </c>
      <c r="F9">
        <f>IF('Account Creation'!AH9="",FALSE,'Account Creation'!AH9)</f>
        <v>100978</v>
      </c>
      <c r="G9" s="5" t="s">
        <v>397</v>
      </c>
      <c r="H9" t="str">
        <f t="shared" si="3"/>
        <v>vn54tqs</v>
      </c>
      <c r="I9">
        <f>'VCC_Ecomm Step2'!B9</f>
        <v>0</v>
      </c>
      <c r="J9" s="4">
        <f>('Account Creation'!G9 - 25569) * 86400</f>
        <v>1665964800</v>
      </c>
    </row>
    <row r="10" spans="1:10" x14ac:dyDescent="0.25">
      <c r="A10" t="str">
        <f>TRIM('Help Desk'!D10)</f>
        <v>vn54tqu</v>
      </c>
      <c r="B10" t="str">
        <f>TRIM('Account Creation'!B10)</f>
        <v>Juan</v>
      </c>
      <c r="C10" t="str">
        <f>TRIM('Account Creation'!D10)</f>
        <v>Flores</v>
      </c>
      <c r="D10" s="4" t="str">
        <f t="shared" si="2"/>
        <v>Juan F</v>
      </c>
      <c r="E10">
        <f>IF('Account Creation'!AG10="",FALSE,'Account Creation'!AG10)</f>
        <v>169</v>
      </c>
      <c r="F10">
        <f>IF('Account Creation'!AH10="",FALSE,'Account Creation'!AH10)</f>
        <v>100978</v>
      </c>
      <c r="G10" s="5" t="s">
        <v>397</v>
      </c>
      <c r="H10" t="str">
        <f t="shared" si="3"/>
        <v>vn54tqu</v>
      </c>
      <c r="I10">
        <f>'VCC_Ecomm Step2'!B10</f>
        <v>0</v>
      </c>
      <c r="J10" s="4">
        <f>('Account Creation'!G10 - 25569) * 86400</f>
        <v>1665964800</v>
      </c>
    </row>
    <row r="11" spans="1:10" x14ac:dyDescent="0.25">
      <c r="A11" t="str">
        <f>TRIM('Help Desk'!D11)</f>
        <v>vn54tqw</v>
      </c>
      <c r="B11" t="str">
        <f>TRIM('Account Creation'!B11)</f>
        <v>Gabriel</v>
      </c>
      <c r="C11" t="str">
        <f>TRIM('Account Creation'!D11)</f>
        <v>Morales</v>
      </c>
      <c r="D11" s="4" t="str">
        <f t="shared" si="2"/>
        <v>Gabriel M</v>
      </c>
      <c r="E11">
        <f>IF('Account Creation'!AG11="",FALSE,'Account Creation'!AG11)</f>
        <v>169</v>
      </c>
      <c r="F11">
        <f>IF('Account Creation'!AH11="",FALSE,'Account Creation'!AH11)</f>
        <v>100978</v>
      </c>
      <c r="G11" s="5" t="s">
        <v>397</v>
      </c>
      <c r="H11" t="str">
        <f t="shared" si="3"/>
        <v>vn54tqw</v>
      </c>
      <c r="I11">
        <f>'VCC_Ecomm Step2'!B11</f>
        <v>0</v>
      </c>
      <c r="J11" s="4">
        <f>('Account Creation'!G11 - 25569) * 86400</f>
        <v>1665964800</v>
      </c>
    </row>
    <row r="12" spans="1:10" x14ac:dyDescent="0.25">
      <c r="A12" t="str">
        <f>TRIM('Help Desk'!D12)</f>
        <v>vn54tqy</v>
      </c>
      <c r="B12" t="str">
        <f>TRIM('Account Creation'!B12)</f>
        <v>Mercedez</v>
      </c>
      <c r="C12" t="str">
        <f>TRIM('Account Creation'!D12)</f>
        <v>De Leon</v>
      </c>
      <c r="D12" s="4" t="str">
        <f t="shared" si="2"/>
        <v>Mercedez D</v>
      </c>
      <c r="E12">
        <f>IF('Account Creation'!AG12="",FALSE,'Account Creation'!AG12)</f>
        <v>169</v>
      </c>
      <c r="F12">
        <f>IF('Account Creation'!AH12="",FALSE,'Account Creation'!AH12)</f>
        <v>100978</v>
      </c>
      <c r="G12" s="5" t="s">
        <v>397</v>
      </c>
      <c r="H12" t="str">
        <f t="shared" si="3"/>
        <v>vn54tqy</v>
      </c>
      <c r="I12">
        <f>'VCC_Ecomm Step2'!B12</f>
        <v>0</v>
      </c>
      <c r="J12" s="4">
        <f>('Account Creation'!G12 - 25569) * 86400</f>
        <v>1665964800</v>
      </c>
    </row>
    <row r="13" spans="1:10" x14ac:dyDescent="0.25">
      <c r="A13" t="str">
        <f>TRIM('Help Desk'!D13)</f>
        <v>vn54tr0</v>
      </c>
      <c r="B13" t="str">
        <f>TRIM('Account Creation'!B13)</f>
        <v>Eduardo</v>
      </c>
      <c r="C13" t="str">
        <f>TRIM('Account Creation'!D13)</f>
        <v>Prera</v>
      </c>
      <c r="D13" s="4" t="str">
        <f t="shared" si="2"/>
        <v>Eduardo P</v>
      </c>
      <c r="E13">
        <f>IF('Account Creation'!AG13="",FALSE,'Account Creation'!AG13)</f>
        <v>169</v>
      </c>
      <c r="F13">
        <f>IF('Account Creation'!AH13="",FALSE,'Account Creation'!AH13)</f>
        <v>100978</v>
      </c>
      <c r="G13" s="5" t="s">
        <v>397</v>
      </c>
      <c r="H13" t="str">
        <f t="shared" si="3"/>
        <v>vn54tr0</v>
      </c>
      <c r="I13">
        <f>'VCC_Ecomm Step2'!B13</f>
        <v>0</v>
      </c>
      <c r="J13" s="4">
        <f>('Account Creation'!G13 - 25569) * 86400</f>
        <v>1665964800</v>
      </c>
    </row>
    <row r="14" spans="1:10" x14ac:dyDescent="0.25">
      <c r="A14" t="str">
        <f>TRIM('Help Desk'!D14)</f>
        <v>vn54tr2</v>
      </c>
      <c r="B14" t="str">
        <f>TRIM('Account Creation'!B14)</f>
        <v>Madelin</v>
      </c>
      <c r="C14" t="str">
        <f>TRIM('Account Creation'!D14)</f>
        <v>Abal</v>
      </c>
      <c r="D14" s="4" t="str">
        <f t="shared" si="2"/>
        <v>Madelin A</v>
      </c>
      <c r="E14">
        <f>IF('Account Creation'!AG14="",FALSE,'Account Creation'!AG14)</f>
        <v>169</v>
      </c>
      <c r="F14">
        <f>IF('Account Creation'!AH14="",FALSE,'Account Creation'!AH14)</f>
        <v>100978</v>
      </c>
      <c r="G14" s="5" t="s">
        <v>397</v>
      </c>
      <c r="H14" t="str">
        <f t="shared" si="3"/>
        <v>vn54tr2</v>
      </c>
      <c r="I14">
        <f>'VCC_Ecomm Step2'!B14</f>
        <v>0</v>
      </c>
      <c r="J14" s="4">
        <f>('Account Creation'!G14 - 25569) * 86400</f>
        <v>1665964800</v>
      </c>
    </row>
    <row r="15" spans="1:10" x14ac:dyDescent="0.25">
      <c r="A15" t="str">
        <f>TRIM('Help Desk'!D15)</f>
        <v>vn54tr4</v>
      </c>
      <c r="B15" t="str">
        <f>TRIM('Account Creation'!B15)</f>
        <v>Dyana</v>
      </c>
      <c r="C15" t="str">
        <f>TRIM('Account Creation'!D15)</f>
        <v>Calicio</v>
      </c>
      <c r="D15" s="4" t="str">
        <f t="shared" si="2"/>
        <v>Dyana C</v>
      </c>
      <c r="E15">
        <f>IF('Account Creation'!AG15="",FALSE,'Account Creation'!AG15)</f>
        <v>169</v>
      </c>
      <c r="F15">
        <f>IF('Account Creation'!AH15="",FALSE,'Account Creation'!AH15)</f>
        <v>100978</v>
      </c>
      <c r="G15" s="5" t="s">
        <v>397</v>
      </c>
      <c r="H15" t="str">
        <f t="shared" si="3"/>
        <v>vn54tr4</v>
      </c>
      <c r="I15">
        <f>'VCC_Ecomm Step2'!B15</f>
        <v>0</v>
      </c>
      <c r="J15" s="4">
        <f>('Account Creation'!G15 - 25569) * 86400</f>
        <v>1665964800</v>
      </c>
    </row>
    <row r="16" spans="1:10" x14ac:dyDescent="0.25">
      <c r="A16" t="str">
        <f>TRIM('Help Desk'!D16)</f>
        <v>vn54tr6</v>
      </c>
      <c r="B16" t="str">
        <f>TRIM('Account Creation'!B16)</f>
        <v>Sandra</v>
      </c>
      <c r="C16" t="str">
        <f>TRIM('Account Creation'!D16)</f>
        <v>Arango</v>
      </c>
      <c r="D16" s="4" t="str">
        <f t="shared" si="2"/>
        <v>Sandra A</v>
      </c>
      <c r="E16">
        <f>IF('Account Creation'!AG16="",FALSE,'Account Creation'!AG16)</f>
        <v>169</v>
      </c>
      <c r="F16">
        <f>IF('Account Creation'!AH16="",FALSE,'Account Creation'!AH16)</f>
        <v>100978</v>
      </c>
      <c r="G16" s="5" t="s">
        <v>397</v>
      </c>
      <c r="H16" t="str">
        <f t="shared" si="3"/>
        <v>vn54tr6</v>
      </c>
      <c r="I16">
        <f>'VCC_Ecomm Step2'!B16</f>
        <v>0</v>
      </c>
      <c r="J16" s="4">
        <f>('Account Creation'!G16 - 25569) * 86400</f>
        <v>1665964800</v>
      </c>
    </row>
    <row r="17" spans="7:10" x14ac:dyDescent="0.25">
      <c r="G17" s="5"/>
      <c r="J17" s="4"/>
    </row>
    <row r="18" spans="7:10" x14ac:dyDescent="0.25">
      <c r="G18" s="5"/>
      <c r="J18" s="4"/>
    </row>
    <row r="19" spans="7:10" x14ac:dyDescent="0.25">
      <c r="G19" s="5"/>
      <c r="J19" s="4"/>
    </row>
    <row r="20" spans="7:10" x14ac:dyDescent="0.25">
      <c r="G20" s="5"/>
      <c r="J20" s="4"/>
    </row>
    <row r="21" spans="7:10" x14ac:dyDescent="0.25">
      <c r="G21" s="5"/>
      <c r="J21" s="4"/>
    </row>
    <row r="22" spans="7:10" x14ac:dyDescent="0.25">
      <c r="G22" s="5"/>
      <c r="J22" s="4"/>
    </row>
    <row r="23" spans="7:10" x14ac:dyDescent="0.25">
      <c r="G23" s="5"/>
      <c r="J23" s="4"/>
    </row>
    <row r="24" spans="7:10" x14ac:dyDescent="0.25">
      <c r="G24" s="5"/>
      <c r="J24" s="4"/>
    </row>
    <row r="25" spans="7:10" x14ac:dyDescent="0.25">
      <c r="G25" s="5"/>
      <c r="J25" s="4"/>
    </row>
    <row r="26" spans="7:10" x14ac:dyDescent="0.25">
      <c r="G26" s="5"/>
      <c r="J26" s="4"/>
    </row>
    <row r="27" spans="7:10" x14ac:dyDescent="0.25">
      <c r="G27" s="5"/>
      <c r="J27" s="4"/>
    </row>
    <row r="28" spans="7:10" x14ac:dyDescent="0.25">
      <c r="G28" s="5"/>
      <c r="J28" s="4"/>
    </row>
    <row r="29" spans="7:10" x14ac:dyDescent="0.25">
      <c r="G29" s="5"/>
      <c r="J29" s="4"/>
    </row>
    <row r="30" spans="7:10" x14ac:dyDescent="0.25">
      <c r="G30" s="5"/>
      <c r="J30" s="4"/>
    </row>
    <row r="31" spans="7:10" x14ac:dyDescent="0.25">
      <c r="G31" s="5"/>
      <c r="J31" s="4"/>
    </row>
    <row r="32" spans="7:10" x14ac:dyDescent="0.25">
      <c r="G32" s="5"/>
      <c r="J32" s="4"/>
    </row>
    <row r="33" spans="7:10" x14ac:dyDescent="0.25">
      <c r="G33" s="5"/>
      <c r="J33" s="4"/>
    </row>
    <row r="34" spans="7:10" x14ac:dyDescent="0.25">
      <c r="G34" s="5"/>
      <c r="J34" s="4"/>
    </row>
    <row r="35" spans="7:10" x14ac:dyDescent="0.25">
      <c r="G35" s="5"/>
      <c r="J35" s="4"/>
    </row>
    <row r="36" spans="7:10" x14ac:dyDescent="0.25">
      <c r="G36" s="5"/>
      <c r="J36" s="4"/>
    </row>
    <row r="37" spans="7:10" x14ac:dyDescent="0.25">
      <c r="G37" s="5"/>
      <c r="J37" s="4"/>
    </row>
    <row r="38" spans="7:10" x14ac:dyDescent="0.25">
      <c r="G38" s="5"/>
      <c r="J38" s="4"/>
    </row>
    <row r="39" spans="7:10" x14ac:dyDescent="0.25">
      <c r="G39" s="5"/>
      <c r="J39" s="4"/>
    </row>
    <row r="40" spans="7:10" x14ac:dyDescent="0.25">
      <c r="G40" s="5"/>
      <c r="J40" s="4"/>
    </row>
    <row r="41" spans="7:10" x14ac:dyDescent="0.25">
      <c r="G41" s="5"/>
      <c r="J41" s="4"/>
    </row>
    <row r="42" spans="7:10" x14ac:dyDescent="0.25">
      <c r="G42" s="5"/>
      <c r="J42" s="4"/>
    </row>
    <row r="43" spans="7:10" x14ac:dyDescent="0.25">
      <c r="G43" s="5"/>
      <c r="J43" s="4"/>
    </row>
    <row r="44" spans="7:10" x14ac:dyDescent="0.25">
      <c r="G44" s="5"/>
      <c r="J44" s="4"/>
    </row>
    <row r="45" spans="7:10" x14ac:dyDescent="0.25">
      <c r="G45" s="5"/>
      <c r="J45" s="4"/>
    </row>
    <row r="46" spans="7:10" x14ac:dyDescent="0.25">
      <c r="G46" s="5"/>
      <c r="J46" s="4"/>
    </row>
    <row r="47" spans="7:10" x14ac:dyDescent="0.25">
      <c r="G47" s="5"/>
      <c r="J47" s="4"/>
    </row>
    <row r="48" spans="7:10" x14ac:dyDescent="0.25">
      <c r="G48" s="5"/>
      <c r="J48" s="4"/>
    </row>
    <row r="49" spans="7:10" x14ac:dyDescent="0.25">
      <c r="G49" s="5"/>
      <c r="J49" s="4"/>
    </row>
    <row r="50" spans="7:10" x14ac:dyDescent="0.25">
      <c r="G50" s="5"/>
      <c r="J50" s="4"/>
    </row>
    <row r="51" spans="7:10" x14ac:dyDescent="0.25">
      <c r="G51" s="5"/>
      <c r="J51" s="4"/>
    </row>
    <row r="52" spans="7:10" x14ac:dyDescent="0.25">
      <c r="G52" s="5"/>
      <c r="J52" s="4"/>
    </row>
    <row r="53" spans="7:10" x14ac:dyDescent="0.25">
      <c r="G53" s="5"/>
      <c r="J53" s="4"/>
    </row>
    <row r="54" spans="7:10" x14ac:dyDescent="0.25">
      <c r="G54" s="5"/>
      <c r="J54" s="4"/>
    </row>
    <row r="55" spans="7:10" x14ac:dyDescent="0.25">
      <c r="G55" s="5"/>
      <c r="J55" s="4"/>
    </row>
    <row r="56" spans="7:10" x14ac:dyDescent="0.25">
      <c r="G56" s="5"/>
      <c r="J56" s="4"/>
    </row>
    <row r="57" spans="7:10" x14ac:dyDescent="0.25">
      <c r="G57" s="5"/>
      <c r="J57" s="4"/>
    </row>
    <row r="58" spans="7:10" x14ac:dyDescent="0.25">
      <c r="G58" s="5"/>
      <c r="J58" s="4"/>
    </row>
    <row r="59" spans="7:10" x14ac:dyDescent="0.25">
      <c r="G59" s="5"/>
      <c r="J59" s="4"/>
    </row>
    <row r="60" spans="7:10" x14ac:dyDescent="0.25">
      <c r="G60" s="5"/>
      <c r="J60" s="4"/>
    </row>
    <row r="61" spans="7:10" x14ac:dyDescent="0.25">
      <c r="G61" s="5"/>
      <c r="J61" s="4"/>
    </row>
    <row r="62" spans="7:10" x14ac:dyDescent="0.25">
      <c r="G62" s="5"/>
      <c r="J62" s="4"/>
    </row>
    <row r="63" spans="7:10" x14ac:dyDescent="0.25">
      <c r="G63" s="5"/>
      <c r="J63" s="4"/>
    </row>
    <row r="64" spans="7:10" x14ac:dyDescent="0.25">
      <c r="G64" s="5"/>
      <c r="J64" s="4"/>
    </row>
    <row r="65" spans="7:10" x14ac:dyDescent="0.25">
      <c r="G65" s="5"/>
      <c r="J65" s="4"/>
    </row>
    <row r="66" spans="7:10" x14ac:dyDescent="0.25">
      <c r="G66" s="5"/>
      <c r="J66" s="4"/>
    </row>
    <row r="67" spans="7:10" x14ac:dyDescent="0.25">
      <c r="G67" s="5"/>
      <c r="J67" s="4"/>
    </row>
    <row r="68" spans="7:10" x14ac:dyDescent="0.25">
      <c r="G68" s="5"/>
      <c r="J68" s="4"/>
    </row>
    <row r="69" spans="7:10" x14ac:dyDescent="0.25">
      <c r="G69" s="5"/>
      <c r="J69" s="4"/>
    </row>
    <row r="70" spans="7:10" x14ac:dyDescent="0.25">
      <c r="G70" s="5"/>
      <c r="J70" s="4"/>
    </row>
    <row r="71" spans="7:10" x14ac:dyDescent="0.25">
      <c r="G71" s="5"/>
      <c r="J71" s="4"/>
    </row>
    <row r="72" spans="7:10" x14ac:dyDescent="0.25">
      <c r="G72" s="5"/>
      <c r="J72" s="4"/>
    </row>
    <row r="73" spans="7:10" x14ac:dyDescent="0.25">
      <c r="G73" s="5"/>
      <c r="J73" s="4"/>
    </row>
    <row r="74" spans="7:10" x14ac:dyDescent="0.25">
      <c r="G74" s="5"/>
      <c r="J74" s="4"/>
    </row>
    <row r="75" spans="7:10" x14ac:dyDescent="0.25">
      <c r="G75" s="5"/>
      <c r="J75" s="4"/>
    </row>
    <row r="76" spans="7:10" x14ac:dyDescent="0.25">
      <c r="G76" s="5"/>
      <c r="J76" s="4"/>
    </row>
    <row r="77" spans="7:10" x14ac:dyDescent="0.25">
      <c r="G77" s="5"/>
      <c r="J77" s="4"/>
    </row>
    <row r="78" spans="7:10" x14ac:dyDescent="0.25">
      <c r="G78" s="5"/>
      <c r="J78" s="4"/>
    </row>
    <row r="79" spans="7:10" x14ac:dyDescent="0.25">
      <c r="G79" s="5"/>
      <c r="J79" s="4"/>
    </row>
    <row r="80" spans="7:10" x14ac:dyDescent="0.25">
      <c r="G80" s="5"/>
      <c r="J80" s="4"/>
    </row>
    <row r="81" spans="7:10" x14ac:dyDescent="0.25">
      <c r="G81" s="5"/>
      <c r="J81" s="4"/>
    </row>
    <row r="82" spans="7:10" x14ac:dyDescent="0.25">
      <c r="G82" s="5"/>
      <c r="J82" s="4"/>
    </row>
    <row r="83" spans="7:10" x14ac:dyDescent="0.25">
      <c r="G83" s="5"/>
      <c r="J83" s="4"/>
    </row>
    <row r="84" spans="7:10" x14ac:dyDescent="0.25">
      <c r="G84" s="5"/>
      <c r="J84" s="4"/>
    </row>
    <row r="85" spans="7:10" x14ac:dyDescent="0.25">
      <c r="G85" s="5"/>
      <c r="J85" s="4"/>
    </row>
    <row r="86" spans="7:10" x14ac:dyDescent="0.25">
      <c r="G86" s="5"/>
      <c r="J86" s="4"/>
    </row>
    <row r="87" spans="7:10" x14ac:dyDescent="0.25">
      <c r="G87" s="5"/>
      <c r="J87" s="4"/>
    </row>
    <row r="88" spans="7:10" x14ac:dyDescent="0.25">
      <c r="G88" s="5"/>
      <c r="J88" s="4"/>
    </row>
    <row r="89" spans="7:10" x14ac:dyDescent="0.25">
      <c r="G89" s="5"/>
      <c r="J89" s="4"/>
    </row>
    <row r="90" spans="7:10" x14ac:dyDescent="0.25">
      <c r="G90" s="5"/>
      <c r="J90" s="4"/>
    </row>
    <row r="91" spans="7:10" x14ac:dyDescent="0.25">
      <c r="G91" s="5"/>
      <c r="J91" s="4"/>
    </row>
    <row r="92" spans="7:10" x14ac:dyDescent="0.25">
      <c r="G92" s="5"/>
      <c r="J92" s="4"/>
    </row>
    <row r="93" spans="7:10" x14ac:dyDescent="0.25">
      <c r="G93" s="5"/>
      <c r="J93" s="4"/>
    </row>
    <row r="94" spans="7:10" x14ac:dyDescent="0.25">
      <c r="G94" s="5"/>
      <c r="J94" s="4"/>
    </row>
    <row r="95" spans="7:10" x14ac:dyDescent="0.25">
      <c r="G95" s="5"/>
      <c r="J95" s="4"/>
    </row>
    <row r="96" spans="7:10" x14ac:dyDescent="0.25">
      <c r="G96" s="5"/>
      <c r="J96" s="4"/>
    </row>
    <row r="97" spans="7:10" x14ac:dyDescent="0.25">
      <c r="G97" s="5"/>
      <c r="J97" s="4"/>
    </row>
    <row r="98" spans="7:10" x14ac:dyDescent="0.25">
      <c r="G98" s="5"/>
      <c r="J98" s="4"/>
    </row>
    <row r="99" spans="7:10" x14ac:dyDescent="0.25">
      <c r="G99" s="5"/>
      <c r="J99" s="4"/>
    </row>
    <row r="100" spans="7:10" x14ac:dyDescent="0.25">
      <c r="G100" s="5"/>
      <c r="J100" s="4"/>
    </row>
    <row r="101" spans="7:10" x14ac:dyDescent="0.25">
      <c r="G101" s="5"/>
      <c r="J101" s="4"/>
    </row>
    <row r="102" spans="7:10" x14ac:dyDescent="0.25">
      <c r="G102" s="5"/>
      <c r="J102" s="4"/>
    </row>
    <row r="103" spans="7:10" x14ac:dyDescent="0.25">
      <c r="G103" s="5"/>
      <c r="J103" s="4"/>
    </row>
    <row r="104" spans="7:10" x14ac:dyDescent="0.25">
      <c r="G104" s="5"/>
      <c r="J104" s="4"/>
    </row>
    <row r="105" spans="7:10" x14ac:dyDescent="0.25">
      <c r="G105" s="5"/>
      <c r="J105" s="4"/>
    </row>
    <row r="106" spans="7:10" x14ac:dyDescent="0.25">
      <c r="G106" s="5"/>
      <c r="J106" s="4"/>
    </row>
    <row r="107" spans="7:10" x14ac:dyDescent="0.25">
      <c r="G107" s="5"/>
      <c r="J107" s="4"/>
    </row>
    <row r="108" spans="7:10" x14ac:dyDescent="0.25">
      <c r="G108" s="5"/>
      <c r="J108" s="4"/>
    </row>
    <row r="109" spans="7:10" x14ac:dyDescent="0.25">
      <c r="G109" s="5"/>
      <c r="J109" s="4"/>
    </row>
    <row r="110" spans="7:10" x14ac:dyDescent="0.25">
      <c r="G110" s="5"/>
      <c r="J110" s="4"/>
    </row>
    <row r="111" spans="7:10" x14ac:dyDescent="0.25">
      <c r="G111" s="5"/>
      <c r="J111" s="4"/>
    </row>
    <row r="112" spans="7:10" x14ac:dyDescent="0.25">
      <c r="G112" s="5"/>
      <c r="J112" s="4"/>
    </row>
    <row r="113" spans="7:10" x14ac:dyDescent="0.25">
      <c r="G113" s="5"/>
      <c r="J113" s="4"/>
    </row>
    <row r="114" spans="7:10" x14ac:dyDescent="0.25">
      <c r="G114" s="5"/>
      <c r="J114" s="4"/>
    </row>
    <row r="115" spans="7:10" x14ac:dyDescent="0.25">
      <c r="G115" s="5"/>
      <c r="J115" s="4"/>
    </row>
    <row r="116" spans="7:10" x14ac:dyDescent="0.25">
      <c r="G116" s="5"/>
      <c r="J116" s="4"/>
    </row>
    <row r="117" spans="7:10" x14ac:dyDescent="0.25">
      <c r="G117" s="5"/>
      <c r="J117" s="4"/>
    </row>
    <row r="118" spans="7:10" x14ac:dyDescent="0.25">
      <c r="G118" s="5"/>
      <c r="J118" s="4"/>
    </row>
    <row r="119" spans="7:10" x14ac:dyDescent="0.25">
      <c r="G119" s="5"/>
      <c r="J119" s="4"/>
    </row>
    <row r="120" spans="7:10" x14ac:dyDescent="0.25">
      <c r="G120" s="5"/>
      <c r="J120" s="4"/>
    </row>
    <row r="121" spans="7:10" x14ac:dyDescent="0.25">
      <c r="G121" s="5"/>
      <c r="J121" s="4"/>
    </row>
    <row r="122" spans="7:10" x14ac:dyDescent="0.25">
      <c r="G122" s="5"/>
      <c r="J122" s="4"/>
    </row>
    <row r="123" spans="7:10" x14ac:dyDescent="0.25">
      <c r="G123" s="5"/>
      <c r="J123" s="4"/>
    </row>
    <row r="124" spans="7:10" x14ac:dyDescent="0.25">
      <c r="G124" s="5"/>
      <c r="J124" s="4"/>
    </row>
    <row r="125" spans="7:10" x14ac:dyDescent="0.25">
      <c r="G125" s="5"/>
      <c r="J125" s="4"/>
    </row>
    <row r="126" spans="7:10" x14ac:dyDescent="0.25">
      <c r="G126" s="5"/>
      <c r="J126" s="4"/>
    </row>
    <row r="127" spans="7:10" x14ac:dyDescent="0.25">
      <c r="G127" s="5"/>
      <c r="J127" s="4"/>
    </row>
    <row r="128" spans="7:10" x14ac:dyDescent="0.25">
      <c r="G128" s="5"/>
      <c r="J128" s="4"/>
    </row>
    <row r="129" spans="7:10" x14ac:dyDescent="0.25">
      <c r="G129" s="5"/>
      <c r="J129" s="4"/>
    </row>
    <row r="130" spans="7:10" x14ac:dyDescent="0.25">
      <c r="G130" s="5"/>
      <c r="J130" s="4"/>
    </row>
    <row r="131" spans="7:10" x14ac:dyDescent="0.25">
      <c r="G131" s="5"/>
      <c r="J131" s="4"/>
    </row>
    <row r="132" spans="7:10" x14ac:dyDescent="0.25">
      <c r="G132" s="5"/>
      <c r="J132" s="4"/>
    </row>
    <row r="133" spans="7:10" x14ac:dyDescent="0.25">
      <c r="G133" s="5"/>
      <c r="J133" s="4"/>
    </row>
    <row r="134" spans="7:10" x14ac:dyDescent="0.25">
      <c r="G134" s="5"/>
      <c r="J134" s="4"/>
    </row>
    <row r="135" spans="7:10" x14ac:dyDescent="0.25">
      <c r="G135" s="5"/>
      <c r="J135" s="4"/>
    </row>
    <row r="136" spans="7:10" x14ac:dyDescent="0.25">
      <c r="G136" s="5"/>
      <c r="J136" s="4"/>
    </row>
    <row r="137" spans="7:10" x14ac:dyDescent="0.25">
      <c r="G137" s="5"/>
      <c r="J137" s="4"/>
    </row>
    <row r="138" spans="7:10" x14ac:dyDescent="0.25">
      <c r="G138" s="5"/>
      <c r="J138" s="4"/>
    </row>
    <row r="139" spans="7:10" x14ac:dyDescent="0.25">
      <c r="G139" s="5"/>
      <c r="J139" s="4"/>
    </row>
    <row r="140" spans="7:10" x14ac:dyDescent="0.25">
      <c r="G140" s="5"/>
      <c r="J140" s="4"/>
    </row>
    <row r="141" spans="7:10" x14ac:dyDescent="0.25">
      <c r="G141" s="5"/>
      <c r="J141" s="4"/>
    </row>
    <row r="142" spans="7:10" x14ac:dyDescent="0.25">
      <c r="G142" s="5"/>
      <c r="J142" s="4"/>
    </row>
    <row r="143" spans="7:10" x14ac:dyDescent="0.25">
      <c r="G143" s="5"/>
      <c r="J143" s="4"/>
    </row>
    <row r="144" spans="7:10" x14ac:dyDescent="0.25">
      <c r="G144" s="5"/>
      <c r="J144" s="4"/>
    </row>
    <row r="145" spans="7:10" x14ac:dyDescent="0.25">
      <c r="G145" s="5"/>
      <c r="J145" s="4"/>
    </row>
    <row r="146" spans="7:10" x14ac:dyDescent="0.25">
      <c r="G146" s="5"/>
      <c r="J146" s="4"/>
    </row>
    <row r="147" spans="7:10" x14ac:dyDescent="0.25">
      <c r="G147" s="5"/>
      <c r="J147" s="4"/>
    </row>
    <row r="148" spans="7:10" x14ac:dyDescent="0.25">
      <c r="G148" s="5"/>
      <c r="J148" s="4"/>
    </row>
    <row r="149" spans="7:10" x14ac:dyDescent="0.25">
      <c r="G149" s="5"/>
      <c r="J149" s="4"/>
    </row>
    <row r="150" spans="7:10" x14ac:dyDescent="0.25">
      <c r="G150" s="5"/>
      <c r="J150" s="4"/>
    </row>
    <row r="151" spans="7:10" x14ac:dyDescent="0.25">
      <c r="G151" s="5"/>
      <c r="J151" s="4"/>
    </row>
    <row r="152" spans="7:10" x14ac:dyDescent="0.25">
      <c r="G152" s="5"/>
      <c r="J152" s="4"/>
    </row>
    <row r="153" spans="7:10" x14ac:dyDescent="0.25">
      <c r="G153" s="5"/>
      <c r="J153" s="4"/>
    </row>
    <row r="154" spans="7:10" x14ac:dyDescent="0.25">
      <c r="G154" s="5"/>
      <c r="J154" s="4"/>
    </row>
    <row r="155" spans="7:10" x14ac:dyDescent="0.25">
      <c r="G155" s="5"/>
      <c r="J155" s="4"/>
    </row>
    <row r="156" spans="7:10" x14ac:dyDescent="0.25">
      <c r="G156" s="5"/>
      <c r="J156" s="4"/>
    </row>
    <row r="157" spans="7:10" x14ac:dyDescent="0.25">
      <c r="G157" s="5"/>
      <c r="J157" s="4"/>
    </row>
    <row r="158" spans="7:10" x14ac:dyDescent="0.25">
      <c r="G158" s="5"/>
      <c r="J158" s="4"/>
    </row>
    <row r="159" spans="7:10" x14ac:dyDescent="0.25">
      <c r="G159" s="5"/>
      <c r="J159" s="4"/>
    </row>
    <row r="160" spans="7:10" x14ac:dyDescent="0.25">
      <c r="G160" s="5"/>
      <c r="J160" s="4"/>
    </row>
    <row r="161" spans="7:10" x14ac:dyDescent="0.25">
      <c r="G161" s="5"/>
      <c r="J161" s="4"/>
    </row>
    <row r="162" spans="7:10" x14ac:dyDescent="0.25">
      <c r="G162" s="5"/>
      <c r="J162" s="4"/>
    </row>
    <row r="163" spans="7:10" x14ac:dyDescent="0.25">
      <c r="G163" s="5"/>
      <c r="J163" s="4"/>
    </row>
    <row r="164" spans="7:10" x14ac:dyDescent="0.25">
      <c r="G164" s="5"/>
      <c r="J164" s="4"/>
    </row>
    <row r="165" spans="7:10" x14ac:dyDescent="0.25">
      <c r="G165" s="5"/>
      <c r="J165" s="4"/>
    </row>
    <row r="166" spans="7:10" x14ac:dyDescent="0.25">
      <c r="G166" s="5"/>
      <c r="J166" s="4"/>
    </row>
    <row r="167" spans="7:10" x14ac:dyDescent="0.25">
      <c r="G167" s="5"/>
      <c r="J167" s="4"/>
    </row>
    <row r="168" spans="7:10" x14ac:dyDescent="0.25">
      <c r="G168" s="5"/>
      <c r="J168" s="4"/>
    </row>
    <row r="169" spans="7:10" x14ac:dyDescent="0.25">
      <c r="G169" s="5"/>
      <c r="J169" s="4"/>
    </row>
    <row r="170" spans="7:10" x14ac:dyDescent="0.25">
      <c r="G170" s="5"/>
      <c r="J170" s="4"/>
    </row>
    <row r="171" spans="7:10" x14ac:dyDescent="0.25">
      <c r="G171" s="5"/>
      <c r="J171" s="4"/>
    </row>
    <row r="172" spans="7:10" x14ac:dyDescent="0.25">
      <c r="G172" s="5"/>
      <c r="J172" s="4"/>
    </row>
    <row r="173" spans="7:10" x14ac:dyDescent="0.25">
      <c r="G173" s="5"/>
      <c r="J173" s="4"/>
    </row>
    <row r="174" spans="7:10" x14ac:dyDescent="0.25">
      <c r="G174" s="5"/>
      <c r="J174" s="4"/>
    </row>
    <row r="175" spans="7:10" x14ac:dyDescent="0.25">
      <c r="G175" s="5"/>
      <c r="J175" s="4"/>
    </row>
    <row r="176" spans="7:10" x14ac:dyDescent="0.25">
      <c r="G176" s="5"/>
      <c r="J176" s="4"/>
    </row>
    <row r="177" spans="7:10" x14ac:dyDescent="0.25">
      <c r="G177" s="5"/>
      <c r="J177" s="4"/>
    </row>
    <row r="178" spans="7:10" x14ac:dyDescent="0.25">
      <c r="G178" s="5"/>
      <c r="J178" s="4"/>
    </row>
    <row r="179" spans="7:10" x14ac:dyDescent="0.25">
      <c r="G179" s="5"/>
      <c r="J179" s="4"/>
    </row>
    <row r="180" spans="7:10" x14ac:dyDescent="0.25">
      <c r="G180" s="5"/>
      <c r="J180" s="4"/>
    </row>
    <row r="181" spans="7:10" x14ac:dyDescent="0.25">
      <c r="G181" s="5"/>
      <c r="J181" s="4"/>
    </row>
    <row r="182" spans="7:10" x14ac:dyDescent="0.25">
      <c r="G182" s="5"/>
      <c r="J182" s="4"/>
    </row>
    <row r="183" spans="7:10" x14ac:dyDescent="0.25">
      <c r="G183" s="5"/>
      <c r="J183" s="4"/>
    </row>
    <row r="184" spans="7:10" x14ac:dyDescent="0.25">
      <c r="G184" s="5"/>
      <c r="J184" s="4"/>
    </row>
    <row r="185" spans="7:10" x14ac:dyDescent="0.25">
      <c r="G185" s="5"/>
      <c r="J185" s="4"/>
    </row>
    <row r="186" spans="7:10" x14ac:dyDescent="0.25">
      <c r="G186" s="5"/>
      <c r="J186" s="4"/>
    </row>
    <row r="187" spans="7:10" x14ac:dyDescent="0.25">
      <c r="G187" s="5"/>
      <c r="J187" s="4"/>
    </row>
    <row r="188" spans="7:10" x14ac:dyDescent="0.25">
      <c r="G188" s="5"/>
      <c r="J188" s="4"/>
    </row>
    <row r="189" spans="7:10" x14ac:dyDescent="0.25">
      <c r="G189" s="5"/>
      <c r="J189" s="4"/>
    </row>
    <row r="190" spans="7:10" x14ac:dyDescent="0.25">
      <c r="G190" s="5"/>
      <c r="J190" s="4"/>
    </row>
    <row r="191" spans="7:10" x14ac:dyDescent="0.25">
      <c r="G191" s="5"/>
      <c r="J191" s="4"/>
    </row>
    <row r="192" spans="7:10" x14ac:dyDescent="0.25">
      <c r="G192" s="5"/>
      <c r="J192" s="4"/>
    </row>
    <row r="193" spans="7:10" x14ac:dyDescent="0.25">
      <c r="G193" s="5"/>
      <c r="J193" s="4"/>
    </row>
    <row r="194" spans="7:10" x14ac:dyDescent="0.25">
      <c r="G194" s="5"/>
      <c r="J194" s="4"/>
    </row>
    <row r="195" spans="7:10" x14ac:dyDescent="0.25">
      <c r="G195" s="5"/>
      <c r="J195" s="4"/>
    </row>
    <row r="196" spans="7:10" x14ac:dyDescent="0.25">
      <c r="G196" s="5"/>
      <c r="J196" s="4"/>
    </row>
    <row r="197" spans="7:10" x14ac:dyDescent="0.25">
      <c r="G197" s="5"/>
      <c r="J197" s="4"/>
    </row>
    <row r="198" spans="7:10" x14ac:dyDescent="0.25">
      <c r="G198" s="5"/>
      <c r="J198" s="4"/>
    </row>
    <row r="199" spans="7:10" x14ac:dyDescent="0.25">
      <c r="G199" s="5"/>
      <c r="J199" s="4"/>
    </row>
    <row r="200" spans="7:10" x14ac:dyDescent="0.25">
      <c r="G200" s="5"/>
      <c r="J200" s="4"/>
    </row>
    <row r="201" spans="7:10" x14ac:dyDescent="0.25">
      <c r="G201" s="5"/>
      <c r="J201" s="4"/>
    </row>
    <row r="202" spans="7:10" x14ac:dyDescent="0.25">
      <c r="G202" s="5"/>
      <c r="J202" s="4"/>
    </row>
    <row r="203" spans="7:10" x14ac:dyDescent="0.25">
      <c r="G203" s="5"/>
      <c r="J203" s="4"/>
    </row>
    <row r="204" spans="7:10" x14ac:dyDescent="0.25">
      <c r="G204" s="5"/>
      <c r="J204" s="4"/>
    </row>
    <row r="205" spans="7:10" x14ac:dyDescent="0.25">
      <c r="G205" s="5"/>
      <c r="J205" s="4"/>
    </row>
    <row r="206" spans="7:10" x14ac:dyDescent="0.25">
      <c r="G206" s="5"/>
      <c r="J206" s="4"/>
    </row>
    <row r="207" spans="7:10" x14ac:dyDescent="0.25">
      <c r="G207" s="5"/>
      <c r="J207" s="4"/>
    </row>
    <row r="208" spans="7:10" x14ac:dyDescent="0.25">
      <c r="G208" s="5"/>
      <c r="J208" s="4"/>
    </row>
    <row r="209" spans="7:10" x14ac:dyDescent="0.25">
      <c r="G209" s="5"/>
      <c r="J209" s="4"/>
    </row>
    <row r="210" spans="7:10" x14ac:dyDescent="0.25">
      <c r="G210" s="5"/>
      <c r="J210" s="4"/>
    </row>
    <row r="211" spans="7:10" x14ac:dyDescent="0.25">
      <c r="G211" s="5"/>
      <c r="J211" s="4"/>
    </row>
    <row r="212" spans="7:10" x14ac:dyDescent="0.25">
      <c r="G212" s="5"/>
      <c r="J212" s="4"/>
    </row>
    <row r="213" spans="7:10" x14ac:dyDescent="0.25">
      <c r="G213" s="5"/>
      <c r="J213" s="4"/>
    </row>
    <row r="214" spans="7:10" x14ac:dyDescent="0.25">
      <c r="G214" s="5"/>
      <c r="J214" s="4"/>
    </row>
    <row r="215" spans="7:10" x14ac:dyDescent="0.25">
      <c r="G215" s="5"/>
      <c r="J215" s="4"/>
    </row>
    <row r="216" spans="7:10" x14ac:dyDescent="0.25">
      <c r="G216" s="5"/>
      <c r="J216" s="4"/>
    </row>
    <row r="217" spans="7:10" x14ac:dyDescent="0.25">
      <c r="G217" s="5"/>
      <c r="J217" s="4"/>
    </row>
    <row r="218" spans="7:10" x14ac:dyDescent="0.25">
      <c r="G218" s="5"/>
      <c r="J218" s="4"/>
    </row>
    <row r="219" spans="7:10" x14ac:dyDescent="0.25">
      <c r="G219" s="5"/>
      <c r="J219" s="4"/>
    </row>
    <row r="220" spans="7:10" x14ac:dyDescent="0.25">
      <c r="G220" s="5"/>
      <c r="J220" s="4"/>
    </row>
    <row r="221" spans="7:10" x14ac:dyDescent="0.25">
      <c r="G221" s="5"/>
      <c r="J221" s="4"/>
    </row>
    <row r="222" spans="7:10" x14ac:dyDescent="0.25">
      <c r="G222" s="5"/>
      <c r="J222" s="4"/>
    </row>
    <row r="223" spans="7:10" x14ac:dyDescent="0.25">
      <c r="G223" s="5"/>
      <c r="J223" s="4"/>
    </row>
    <row r="224" spans="7:10" x14ac:dyDescent="0.25">
      <c r="G224" s="5"/>
      <c r="J224" s="4"/>
    </row>
    <row r="225" spans="7:10" x14ac:dyDescent="0.25">
      <c r="G225" s="5"/>
      <c r="J225" s="4"/>
    </row>
    <row r="226" spans="7:10" x14ac:dyDescent="0.25">
      <c r="G226" s="5"/>
      <c r="J226" s="4"/>
    </row>
    <row r="227" spans="7:10" x14ac:dyDescent="0.25">
      <c r="G227" s="5"/>
      <c r="J227" s="4"/>
    </row>
    <row r="228" spans="7:10" x14ac:dyDescent="0.25">
      <c r="G228" s="5"/>
      <c r="J228" s="4"/>
    </row>
    <row r="229" spans="7:10" x14ac:dyDescent="0.25">
      <c r="G229" s="5"/>
      <c r="J229" s="4"/>
    </row>
    <row r="230" spans="7:10" x14ac:dyDescent="0.25">
      <c r="G230" s="5"/>
      <c r="J230" s="4"/>
    </row>
    <row r="231" spans="7:10" x14ac:dyDescent="0.25">
      <c r="G231" s="5"/>
      <c r="J231" s="4"/>
    </row>
    <row r="232" spans="7:10" x14ac:dyDescent="0.25">
      <c r="G232" s="5"/>
      <c r="J232" s="4"/>
    </row>
    <row r="233" spans="7:10" x14ac:dyDescent="0.25">
      <c r="G233" s="5"/>
      <c r="J233" s="4"/>
    </row>
    <row r="234" spans="7:10" x14ac:dyDescent="0.25">
      <c r="G234" s="5"/>
      <c r="J234" s="4"/>
    </row>
    <row r="235" spans="7:10" x14ac:dyDescent="0.25">
      <c r="G235" s="5"/>
      <c r="J235" s="4"/>
    </row>
    <row r="236" spans="7:10" x14ac:dyDescent="0.25">
      <c r="G236" s="5"/>
      <c r="J236" s="4"/>
    </row>
    <row r="237" spans="7:10" x14ac:dyDescent="0.25">
      <c r="G237" s="5"/>
      <c r="J237" s="4"/>
    </row>
    <row r="238" spans="7:10" x14ac:dyDescent="0.25">
      <c r="G238" s="5"/>
      <c r="J238" s="4"/>
    </row>
    <row r="239" spans="7:10" x14ac:dyDescent="0.25">
      <c r="G239" s="5"/>
      <c r="J239" s="4"/>
    </row>
    <row r="240" spans="7:10" x14ac:dyDescent="0.25">
      <c r="G240" s="5"/>
      <c r="J240" s="4"/>
    </row>
    <row r="241" spans="7:10" x14ac:dyDescent="0.25">
      <c r="G241" s="5"/>
      <c r="J241" s="4"/>
    </row>
    <row r="242" spans="7:10" x14ac:dyDescent="0.25">
      <c r="G242" s="5"/>
      <c r="J242" s="4"/>
    </row>
    <row r="243" spans="7:10" x14ac:dyDescent="0.25">
      <c r="G243" s="5"/>
      <c r="J243" s="4"/>
    </row>
    <row r="244" spans="7:10" x14ac:dyDescent="0.25">
      <c r="G244" s="5"/>
      <c r="J244" s="4"/>
    </row>
    <row r="245" spans="7:10" x14ac:dyDescent="0.25">
      <c r="G245" s="5"/>
      <c r="J245" s="4"/>
    </row>
    <row r="246" spans="7:10" x14ac:dyDescent="0.25">
      <c r="G246" s="5"/>
      <c r="J246" s="4"/>
    </row>
    <row r="247" spans="7:10" x14ac:dyDescent="0.25">
      <c r="G247" s="5"/>
      <c r="J247" s="4"/>
    </row>
    <row r="248" spans="7:10" x14ac:dyDescent="0.25">
      <c r="G248" s="5"/>
      <c r="J248" s="4"/>
    </row>
    <row r="249" spans="7:10" x14ac:dyDescent="0.25">
      <c r="G249" s="5"/>
      <c r="J249" s="4"/>
    </row>
    <row r="250" spans="7:10" x14ac:dyDescent="0.25">
      <c r="G250" s="5"/>
      <c r="J250" s="4"/>
    </row>
    <row r="251" spans="7:10" x14ac:dyDescent="0.25">
      <c r="G251" s="5"/>
      <c r="J251" s="4"/>
    </row>
  </sheetData>
  <conditionalFormatting sqref="J1:J1048576">
    <cfRule type="cellIs" dxfId="22" priority="2" operator="equal">
      <formula>-2209161600</formula>
    </cfRule>
  </conditionalFormatting>
  <conditionalFormatting sqref="D1:D1048576">
    <cfRule type="cellIs" dxfId="21" priority="1" operator="equal">
      <formula>"0 0"</formula>
    </cfRule>
  </conditionalFormatting>
  <hyperlinks>
    <hyperlink ref="G2" r:id="rId1" xr:uid="{00000000-0004-0000-0300-000000000000}"/>
    <hyperlink ref="G10" r:id="rId2" xr:uid="{00000000-0004-0000-0300-000005000000}"/>
    <hyperlink ref="G14" r:id="rId3" xr:uid="{00000000-0004-0000-0300-000006000000}"/>
    <hyperlink ref="G7" r:id="rId4" xr:uid="{00000000-0004-0000-0300-000042000000}"/>
    <hyperlink ref="G11" r:id="rId5" xr:uid="{00000000-0004-0000-0300-000043000000}"/>
    <hyperlink ref="G15" r:id="rId6" xr:uid="{00000000-0004-0000-0300-000044000000}"/>
    <hyperlink ref="G8" r:id="rId7" xr:uid="{00000000-0004-0000-0300-00007F000000}"/>
    <hyperlink ref="G12" r:id="rId8" xr:uid="{00000000-0004-0000-0300-000080000000}"/>
    <hyperlink ref="G16" r:id="rId9" xr:uid="{00000000-0004-0000-0300-000081000000}"/>
    <hyperlink ref="G9" r:id="rId10" xr:uid="{00000000-0004-0000-0300-0000BC000000}"/>
    <hyperlink ref="G13" r:id="rId11" xr:uid="{00000000-0004-0000-0300-0000BD000000}"/>
    <hyperlink ref="G3" r:id="rId12" xr:uid="{248D519B-37AD-4C23-93C0-E184C91D63CA}"/>
    <hyperlink ref="G4" r:id="rId13" xr:uid="{B1DC5031-BE4C-4ECB-9013-6545D0C848D0}"/>
    <hyperlink ref="G5" r:id="rId14" xr:uid="{37F6A6E6-7A11-4EC0-B501-984FBD987677}"/>
    <hyperlink ref="G6" r:id="rId15" xr:uid="{3B53B51C-4B9A-4110-BE16-17BCAA0C225E}"/>
  </hyperlinks>
  <pageMargins left="0.7" right="0.7" top="0.75" bottom="0.75" header="0.3" footer="0.3"/>
  <pageSetup orientation="portrait" r:id="rId1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Y250"/>
  <sheetViews>
    <sheetView workbookViewId="0">
      <selection activeCell="A17" sqref="A17:XFD252"/>
    </sheetView>
  </sheetViews>
  <sheetFormatPr defaultColWidth="21.42578125" defaultRowHeight="15" x14ac:dyDescent="0.25"/>
  <cols>
    <col min="1" max="9" width="21.42578125" customWidth="1"/>
    <col min="10" max="10" width="41.7109375" bestFit="1" customWidth="1"/>
    <col min="11" max="11" width="23.85546875" bestFit="1" customWidth="1"/>
    <col min="12" max="12" width="107.140625" customWidth="1"/>
    <col min="13" max="13" width="21.42578125" customWidth="1"/>
    <col min="14" max="14" width="20.140625" bestFit="1" customWidth="1"/>
    <col min="15" max="15" width="20.140625" customWidth="1"/>
    <col min="16" max="16" width="25.85546875" bestFit="1" customWidth="1"/>
    <col min="17" max="17" width="25.85546875" customWidth="1"/>
    <col min="18" max="19" width="25.85546875" bestFit="1" customWidth="1"/>
    <col min="20" max="21" width="21.42578125" customWidth="1"/>
    <col min="22" max="22" width="36.140625" bestFit="1" customWidth="1"/>
    <col min="23" max="40" width="21.42578125" customWidth="1"/>
    <col min="41" max="41" width="49.28515625" bestFit="1" customWidth="1"/>
    <col min="42" max="46" width="21.42578125" customWidth="1"/>
    <col min="47" max="48" width="31.85546875" customWidth="1"/>
    <col min="49" max="51" width="21.42578125" customWidth="1"/>
  </cols>
  <sheetData>
    <row r="1" spans="1:51" x14ac:dyDescent="0.25">
      <c r="A1" s="6" t="s">
        <v>345</v>
      </c>
      <c r="B1" s="2" t="s">
        <v>346</v>
      </c>
      <c r="C1" s="2" t="s">
        <v>2</v>
      </c>
      <c r="D1" s="2" t="s">
        <v>0</v>
      </c>
      <c r="E1" s="2" t="s">
        <v>1</v>
      </c>
      <c r="F1" s="2" t="s">
        <v>347</v>
      </c>
      <c r="G1" s="2" t="s">
        <v>348</v>
      </c>
      <c r="H1" s="2" t="s">
        <v>349</v>
      </c>
      <c r="I1" s="2" t="s">
        <v>350</v>
      </c>
      <c r="J1" s="2" t="s">
        <v>28</v>
      </c>
      <c r="K1" s="2" t="s">
        <v>351</v>
      </c>
      <c r="L1" s="2" t="s">
        <v>352</v>
      </c>
      <c r="M1" s="2" t="s">
        <v>353</v>
      </c>
      <c r="N1" s="2" t="s">
        <v>354</v>
      </c>
      <c r="O1" s="2" t="s">
        <v>355</v>
      </c>
      <c r="P1" s="2" t="s">
        <v>356</v>
      </c>
      <c r="Q1" s="2" t="s">
        <v>357</v>
      </c>
      <c r="R1" s="2" t="s">
        <v>358</v>
      </c>
      <c r="S1" s="2" t="s">
        <v>359</v>
      </c>
      <c r="T1" s="2" t="s">
        <v>360</v>
      </c>
      <c r="U1" s="2" t="s">
        <v>361</v>
      </c>
      <c r="V1" s="2" t="s">
        <v>362</v>
      </c>
      <c r="W1" s="2" t="s">
        <v>29</v>
      </c>
      <c r="X1" s="2" t="s">
        <v>30</v>
      </c>
      <c r="Y1" s="2" t="s">
        <v>31</v>
      </c>
      <c r="Z1" s="2" t="s">
        <v>4</v>
      </c>
      <c r="AA1" s="2" t="s">
        <v>363</v>
      </c>
      <c r="AB1" s="2" t="s">
        <v>364</v>
      </c>
      <c r="AC1" s="2" t="s">
        <v>365</v>
      </c>
      <c r="AD1" s="2" t="s">
        <v>366</v>
      </c>
      <c r="AE1" s="2" t="s">
        <v>367</v>
      </c>
      <c r="AF1" s="2" t="s">
        <v>368</v>
      </c>
      <c r="AG1" s="2" t="s">
        <v>369</v>
      </c>
      <c r="AH1" s="2" t="s">
        <v>370</v>
      </c>
      <c r="AI1" s="2" t="s">
        <v>371</v>
      </c>
      <c r="AJ1" s="2" t="s">
        <v>372</v>
      </c>
      <c r="AK1" s="2" t="s">
        <v>373</v>
      </c>
      <c r="AL1" s="2" t="s">
        <v>374</v>
      </c>
      <c r="AM1" s="2" t="s">
        <v>375</v>
      </c>
      <c r="AN1" s="2" t="s">
        <v>376</v>
      </c>
      <c r="AO1" s="2" t="s">
        <v>377</v>
      </c>
      <c r="AP1" s="2" t="s">
        <v>378</v>
      </c>
      <c r="AQ1" s="2" t="s">
        <v>379</v>
      </c>
      <c r="AR1" s="2" t="s">
        <v>380</v>
      </c>
      <c r="AS1" s="8" t="s">
        <v>381</v>
      </c>
      <c r="AT1" s="8" t="s">
        <v>382</v>
      </c>
      <c r="AU1" s="8" t="s">
        <v>383</v>
      </c>
      <c r="AV1" s="8" t="s">
        <v>384</v>
      </c>
      <c r="AW1" s="8" t="s">
        <v>385</v>
      </c>
      <c r="AX1" s="8" t="s">
        <v>386</v>
      </c>
      <c r="AY1" s="8" t="s">
        <v>387</v>
      </c>
    </row>
    <row r="2" spans="1:51" x14ac:dyDescent="0.25">
      <c r="A2" t="s">
        <v>388</v>
      </c>
      <c r="C2" t="str">
        <f>TRIM('Account Creation'!B2)</f>
        <v>Cristian</v>
      </c>
      <c r="D2" t="str">
        <f>TRIM('Account Creation'!D2)</f>
        <v>Ramirez</v>
      </c>
      <c r="E2" t="str">
        <f>TRIM('Account Creation'!C2)</f>
        <v>Jose</v>
      </c>
      <c r="F2" t="str">
        <f>'Account Creation'!V2</f>
        <v>24-7Intouch_GTM_GUA_Chat_Nest</v>
      </c>
      <c r="G2">
        <f>'Account Creation'!Z2</f>
        <v>0</v>
      </c>
      <c r="I2" t="str">
        <f>'Account Creation'!W2</f>
        <v>247Intouch Agent</v>
      </c>
      <c r="J2" t="str">
        <f>'Account Creation'!X2</f>
        <v>guawmtops@24-7intouch.com</v>
      </c>
      <c r="K2" t="str">
        <f>TRIM(CONCATENATE('Help Desk'!D2,'Account Creation'!AE2))</f>
        <v>vn54tqf@wmt45.com</v>
      </c>
      <c r="L2" t="str">
        <f>'Account Creation'!Y2</f>
        <v>10670368:3:TRUE</v>
      </c>
      <c r="T2" t="s">
        <v>389</v>
      </c>
      <c r="V2" t="s">
        <v>390</v>
      </c>
      <c r="W2" t="str">
        <f>'Account Creation'!AA2</f>
        <v>Guatemala</v>
      </c>
      <c r="X2" t="str">
        <f>'Account Creation'!AB2</f>
        <v>Guatemala</v>
      </c>
      <c r="Y2" t="str">
        <f>'Account Creation'!AC2</f>
        <v>Guatemala City</v>
      </c>
      <c r="AA2" s="11">
        <f>'Account Creation'!G2</f>
        <v>44851</v>
      </c>
      <c r="AI2" t="str">
        <f>TRIM('Help Desk'!D2)</f>
        <v>vn54tqf</v>
      </c>
      <c r="AJ2" t="str">
        <f>'Account Creation'!AD2</f>
        <v>SURVEY_US_GM_2</v>
      </c>
      <c r="AO2" t="b">
        <v>1</v>
      </c>
      <c r="AP2">
        <v>8</v>
      </c>
      <c r="AQ2">
        <v>25</v>
      </c>
      <c r="AR2" t="b">
        <v>1</v>
      </c>
      <c r="AV2" t="str">
        <f>IF('Help Desk'!D2="","",'Help Desk'!D2)</f>
        <v>vn54tqf</v>
      </c>
    </row>
    <row r="3" spans="1:51" x14ac:dyDescent="0.25">
      <c r="A3" t="s">
        <v>388</v>
      </c>
      <c r="C3" t="str">
        <f>TRIM('Account Creation'!B3)</f>
        <v>Claudia</v>
      </c>
      <c r="D3" t="str">
        <f>TRIM('Account Creation'!D3)</f>
        <v>Garcia</v>
      </c>
      <c r="E3" t="str">
        <f>TRIM('Account Creation'!C3)</f>
        <v>Gabriela</v>
      </c>
      <c r="F3" t="str">
        <f>'Account Creation'!V3</f>
        <v>24-7Intouch_GTM_GUA_Chat_Nest</v>
      </c>
      <c r="G3">
        <f>'Account Creation'!Z3</f>
        <v>0</v>
      </c>
      <c r="I3" t="str">
        <f>'Account Creation'!W3</f>
        <v>247Intouch Agent</v>
      </c>
      <c r="J3" t="str">
        <f>'Account Creation'!X3</f>
        <v>guawmtops@24-7intouch.com</v>
      </c>
      <c r="K3" t="str">
        <f>CONCATENATE('Help Desk'!D3, 'Account Creation'!AE3)</f>
        <v>vn54tqh@wmt45.com</v>
      </c>
      <c r="L3" t="str">
        <f>'Account Creation'!Y3</f>
        <v>10670368:3:TRUE</v>
      </c>
      <c r="T3" t="s">
        <v>389</v>
      </c>
      <c r="V3" t="s">
        <v>390</v>
      </c>
      <c r="W3" t="str">
        <f>'Account Creation'!AA3</f>
        <v>Guatemala</v>
      </c>
      <c r="X3" t="str">
        <f>'Account Creation'!AB3</f>
        <v>Guatemala</v>
      </c>
      <c r="Y3" t="str">
        <f>'Account Creation'!AC3</f>
        <v>Guatemala City</v>
      </c>
      <c r="AA3" s="11">
        <f>'Account Creation'!G3</f>
        <v>44851</v>
      </c>
      <c r="AI3" t="str">
        <f>TRIM('Help Desk'!D3)</f>
        <v>vn54tqh</v>
      </c>
      <c r="AJ3" t="str">
        <f>'Account Creation'!AD3</f>
        <v>SURVEY_US_GM_2</v>
      </c>
      <c r="AO3" t="b">
        <v>1</v>
      </c>
      <c r="AP3">
        <v>8</v>
      </c>
      <c r="AQ3">
        <v>25</v>
      </c>
      <c r="AR3" t="b">
        <v>1</v>
      </c>
      <c r="AV3" s="97" t="str">
        <f>IF('Help Desk'!D3="","",'Help Desk'!D3)</f>
        <v>vn54tqh</v>
      </c>
    </row>
    <row r="4" spans="1:51" x14ac:dyDescent="0.25">
      <c r="A4" t="s">
        <v>388</v>
      </c>
      <c r="C4" t="str">
        <f>TRIM('Account Creation'!B4)</f>
        <v>Luis</v>
      </c>
      <c r="D4" t="str">
        <f>TRIM('Account Creation'!D4)</f>
        <v>Hernandez</v>
      </c>
      <c r="E4" t="str">
        <f>TRIM('Account Creation'!C4)</f>
        <v>Fernando</v>
      </c>
      <c r="F4" t="str">
        <f>'Account Creation'!V4</f>
        <v>24-7Intouch_GTM_GUA_Chat_Nest</v>
      </c>
      <c r="G4">
        <f>'Account Creation'!Z4</f>
        <v>0</v>
      </c>
      <c r="I4" t="str">
        <f>'Account Creation'!W4</f>
        <v>247Intouch Agent</v>
      </c>
      <c r="J4" t="str">
        <f>'Account Creation'!X4</f>
        <v>guawmtops@24-7intouch.com</v>
      </c>
      <c r="K4" t="str">
        <f>CONCATENATE('Help Desk'!D4, 'Account Creation'!AE4)</f>
        <v>vn54tqj@wmt45.com</v>
      </c>
      <c r="L4" t="str">
        <f>'Account Creation'!Y4</f>
        <v>10670368:3:TRUE</v>
      </c>
      <c r="T4" t="s">
        <v>389</v>
      </c>
      <c r="V4" t="s">
        <v>390</v>
      </c>
      <c r="W4" t="str">
        <f>'Account Creation'!AA4</f>
        <v>Guatemala</v>
      </c>
      <c r="X4" t="str">
        <f>'Account Creation'!AB4</f>
        <v>Guatemala</v>
      </c>
      <c r="Y4" t="str">
        <f>'Account Creation'!AC4</f>
        <v>Guatemala City</v>
      </c>
      <c r="AA4" s="11">
        <f>'Account Creation'!G4</f>
        <v>44851</v>
      </c>
      <c r="AI4" t="str">
        <f>TRIM('Help Desk'!D4)</f>
        <v>vn54tqj</v>
      </c>
      <c r="AJ4" t="str">
        <f>'Account Creation'!AD4</f>
        <v>SURVEY_US_GM_2</v>
      </c>
      <c r="AO4" t="b">
        <v>1</v>
      </c>
      <c r="AP4">
        <v>8</v>
      </c>
      <c r="AQ4">
        <v>25</v>
      </c>
      <c r="AR4" t="b">
        <v>1</v>
      </c>
      <c r="AV4" s="97" t="str">
        <f>IF('Help Desk'!D4="","",'Help Desk'!D4)</f>
        <v>vn54tqj</v>
      </c>
    </row>
    <row r="5" spans="1:51" x14ac:dyDescent="0.25">
      <c r="A5" t="s">
        <v>388</v>
      </c>
      <c r="C5" t="str">
        <f>TRIM('Account Creation'!B5)</f>
        <v>Sofia</v>
      </c>
      <c r="D5" t="str">
        <f>TRIM('Account Creation'!D5)</f>
        <v>Marroquin</v>
      </c>
      <c r="E5" t="str">
        <f>TRIM('Account Creation'!C5)</f>
        <v>Bernice</v>
      </c>
      <c r="F5" t="str">
        <f>'Account Creation'!V5</f>
        <v>24-7Intouch_GTM_GUA_Chat_Nest</v>
      </c>
      <c r="G5">
        <f>'Account Creation'!Z5</f>
        <v>0</v>
      </c>
      <c r="I5" t="str">
        <f>'Account Creation'!W5</f>
        <v>247Intouch Agent</v>
      </c>
      <c r="J5" t="str">
        <f>'Account Creation'!X5</f>
        <v>guawmtops@24-7intouch.com</v>
      </c>
      <c r="K5" t="str">
        <f>CONCATENATE('Help Desk'!D5, 'Account Creation'!AE5)</f>
        <v>vn54tql@wmt45.com</v>
      </c>
      <c r="L5" t="str">
        <f>'Account Creation'!Y5</f>
        <v>10670368:3:TRUE</v>
      </c>
      <c r="T5" t="s">
        <v>389</v>
      </c>
      <c r="V5" t="s">
        <v>390</v>
      </c>
      <c r="W5" t="str">
        <f>'Account Creation'!AA5</f>
        <v>Guatemala</v>
      </c>
      <c r="X5" t="str">
        <f>'Account Creation'!AB5</f>
        <v>Guatemala</v>
      </c>
      <c r="Y5" t="str">
        <f>'Account Creation'!AC5</f>
        <v>Guatemala City</v>
      </c>
      <c r="AA5" s="11">
        <f>'Account Creation'!G5</f>
        <v>44851</v>
      </c>
      <c r="AI5" t="str">
        <f>TRIM('Help Desk'!D5)</f>
        <v>vn54tql</v>
      </c>
      <c r="AJ5" t="str">
        <f>'Account Creation'!AD5</f>
        <v>SURVEY_US_GM_2</v>
      </c>
      <c r="AO5" t="b">
        <v>1</v>
      </c>
      <c r="AP5">
        <v>8</v>
      </c>
      <c r="AQ5">
        <v>25</v>
      </c>
      <c r="AR5" t="b">
        <v>1</v>
      </c>
      <c r="AV5" s="97" t="str">
        <f>IF('Help Desk'!D5="","",'Help Desk'!D5)</f>
        <v>vn54tql</v>
      </c>
    </row>
    <row r="6" spans="1:51" x14ac:dyDescent="0.25">
      <c r="A6" t="s">
        <v>388</v>
      </c>
      <c r="C6" t="str">
        <f>TRIM('Account Creation'!B6)</f>
        <v>Guillermo</v>
      </c>
      <c r="D6" t="str">
        <f>TRIM('Account Creation'!D6)</f>
        <v>Zamora</v>
      </c>
      <c r="E6" t="str">
        <f>TRIM('Account Creation'!C6)</f>
        <v>Benjamin</v>
      </c>
      <c r="F6" t="str">
        <f>'Account Creation'!V6</f>
        <v>24-7Intouch_GTM_GUA_Chat_Nest</v>
      </c>
      <c r="G6">
        <f>'Account Creation'!Z6</f>
        <v>0</v>
      </c>
      <c r="I6" t="str">
        <f>'Account Creation'!W6</f>
        <v>247Intouch Agent</v>
      </c>
      <c r="J6" t="str">
        <f>'Account Creation'!X6</f>
        <v>guawmtops@24-7intouch.com</v>
      </c>
      <c r="K6" t="str">
        <f>CONCATENATE('Help Desk'!D6, 'Account Creation'!AE6)</f>
        <v>vn54tqn@wmt45.com</v>
      </c>
      <c r="L6" t="str">
        <f>'Account Creation'!Y6</f>
        <v>10670368:3:TRUE</v>
      </c>
      <c r="T6" t="s">
        <v>389</v>
      </c>
      <c r="V6" t="s">
        <v>390</v>
      </c>
      <c r="W6" t="str">
        <f>'Account Creation'!AA6</f>
        <v>Guatemala</v>
      </c>
      <c r="X6" t="str">
        <f>'Account Creation'!AB6</f>
        <v>Guatemala</v>
      </c>
      <c r="Y6" t="str">
        <f>'Account Creation'!AC6</f>
        <v>Guatemala City</v>
      </c>
      <c r="AA6" s="11">
        <f>'Account Creation'!G6</f>
        <v>44851</v>
      </c>
      <c r="AI6" t="str">
        <f>TRIM('Help Desk'!D6)</f>
        <v>vn54tqn</v>
      </c>
      <c r="AJ6" t="str">
        <f>'Account Creation'!AD6</f>
        <v>SURVEY_US_GM_2</v>
      </c>
      <c r="AO6" t="b">
        <v>1</v>
      </c>
      <c r="AP6">
        <v>8</v>
      </c>
      <c r="AQ6">
        <v>25</v>
      </c>
      <c r="AR6" t="b">
        <v>1</v>
      </c>
      <c r="AV6" s="97" t="str">
        <f>IF('Help Desk'!D6="","",'Help Desk'!D6)</f>
        <v>vn54tqn</v>
      </c>
    </row>
    <row r="7" spans="1:51" x14ac:dyDescent="0.25">
      <c r="A7" t="s">
        <v>388</v>
      </c>
      <c r="C7" t="str">
        <f>TRIM('Account Creation'!B7)</f>
        <v>Katherine</v>
      </c>
      <c r="D7" t="str">
        <f>TRIM('Account Creation'!D7)</f>
        <v>Santizo</v>
      </c>
      <c r="E7" t="str">
        <f>TRIM('Account Creation'!C7)</f>
        <v>Gabriela</v>
      </c>
      <c r="F7" t="str">
        <f>'Account Creation'!V7</f>
        <v>24-7Intouch_GTM_GUA_Chat_Nest</v>
      </c>
      <c r="G7">
        <f>'Account Creation'!Z7</f>
        <v>0</v>
      </c>
      <c r="I7" t="str">
        <f>'Account Creation'!W7</f>
        <v>247Intouch Agent</v>
      </c>
      <c r="J7" t="str">
        <f>'Account Creation'!X7</f>
        <v>guawmtops@24-7intouch.com</v>
      </c>
      <c r="K7" t="str">
        <f>CONCATENATE('Help Desk'!D7, 'Account Creation'!AE7)</f>
        <v>vn54tqo@wmt45.com</v>
      </c>
      <c r="L7" t="str">
        <f>'Account Creation'!Y7</f>
        <v>10670368:3:TRUE</v>
      </c>
      <c r="T7" t="s">
        <v>389</v>
      </c>
      <c r="V7" t="s">
        <v>390</v>
      </c>
      <c r="W7" t="str">
        <f>'Account Creation'!AA7</f>
        <v>Guatemala</v>
      </c>
      <c r="X7" t="str">
        <f>'Account Creation'!AB7</f>
        <v>Guatemala</v>
      </c>
      <c r="Y7" t="str">
        <f>'Account Creation'!AC7</f>
        <v>Guatemala City</v>
      </c>
      <c r="AA7" s="11">
        <f>'Account Creation'!G7</f>
        <v>44851</v>
      </c>
      <c r="AI7" t="str">
        <f>TRIM('Help Desk'!D7)</f>
        <v>vn54tqo</v>
      </c>
      <c r="AJ7" t="str">
        <f>'Account Creation'!AD7</f>
        <v>SURVEY_US_GM_2</v>
      </c>
      <c r="AO7" t="b">
        <v>1</v>
      </c>
      <c r="AP7">
        <v>8</v>
      </c>
      <c r="AQ7">
        <v>25</v>
      </c>
      <c r="AR7" t="b">
        <v>1</v>
      </c>
      <c r="AV7" s="97" t="str">
        <f>IF('Help Desk'!D7="","",'Help Desk'!D7)</f>
        <v>vn54tqo</v>
      </c>
    </row>
    <row r="8" spans="1:51" x14ac:dyDescent="0.25">
      <c r="A8" t="s">
        <v>388</v>
      </c>
      <c r="C8" t="str">
        <f>TRIM('Account Creation'!B8)</f>
        <v>Josue</v>
      </c>
      <c r="D8" t="str">
        <f>TRIM('Account Creation'!D8)</f>
        <v>Manrique</v>
      </c>
      <c r="E8" t="str">
        <f>TRIM('Account Creation'!C8)</f>
        <v>David</v>
      </c>
      <c r="F8" t="str">
        <f>'Account Creation'!V8</f>
        <v>24-7Intouch_GTM_GUA_Chat_Nest</v>
      </c>
      <c r="G8">
        <f>'Account Creation'!Z8</f>
        <v>0</v>
      </c>
      <c r="I8" t="str">
        <f>'Account Creation'!W8</f>
        <v>247Intouch Agent</v>
      </c>
      <c r="J8" t="str">
        <f>'Account Creation'!X8</f>
        <v>guawmtops@24-7intouch.com</v>
      </c>
      <c r="K8" t="str">
        <f>CONCATENATE('Help Desk'!D8, 'Account Creation'!AE8)</f>
        <v>vn54tqq@wmt45.com</v>
      </c>
      <c r="L8" t="str">
        <f>'Account Creation'!Y8</f>
        <v>10670368:3:TRUE</v>
      </c>
      <c r="T8" t="s">
        <v>389</v>
      </c>
      <c r="V8" t="s">
        <v>390</v>
      </c>
      <c r="W8" t="str">
        <f>'Account Creation'!AA8</f>
        <v>Guatemala</v>
      </c>
      <c r="X8" t="str">
        <f>'Account Creation'!AB8</f>
        <v>Guatemala</v>
      </c>
      <c r="Y8" t="str">
        <f>'Account Creation'!AC8</f>
        <v>Guatemala City</v>
      </c>
      <c r="AA8" s="11">
        <f>'Account Creation'!G8</f>
        <v>44851</v>
      </c>
      <c r="AI8" t="str">
        <f>TRIM('Help Desk'!D8)</f>
        <v>vn54tqq</v>
      </c>
      <c r="AJ8" t="str">
        <f>'Account Creation'!AD8</f>
        <v>SURVEY_US_GM_2</v>
      </c>
      <c r="AO8" t="b">
        <v>1</v>
      </c>
      <c r="AP8">
        <v>8</v>
      </c>
      <c r="AQ8">
        <v>25</v>
      </c>
      <c r="AR8" t="b">
        <v>1</v>
      </c>
      <c r="AV8" s="97" t="str">
        <f>IF('Help Desk'!D8="","",'Help Desk'!D8)</f>
        <v>vn54tqq</v>
      </c>
    </row>
    <row r="9" spans="1:51" x14ac:dyDescent="0.25">
      <c r="A9" t="s">
        <v>388</v>
      </c>
      <c r="C9" t="str">
        <f>TRIM('Account Creation'!B9)</f>
        <v>Kristtel</v>
      </c>
      <c r="D9" t="str">
        <f>TRIM('Account Creation'!D9)</f>
        <v>Hernandez</v>
      </c>
      <c r="E9" t="str">
        <f>TRIM('Account Creation'!C9)</f>
        <v>Carolina</v>
      </c>
      <c r="F9" t="str">
        <f>'Account Creation'!V9</f>
        <v>24-7Intouch_GTM_GUA_Chat_Nest</v>
      </c>
      <c r="G9">
        <f>'Account Creation'!Z9</f>
        <v>0</v>
      </c>
      <c r="I9" t="str">
        <f>'Account Creation'!W9</f>
        <v>247Intouch Agent</v>
      </c>
      <c r="J9" t="str">
        <f>'Account Creation'!X9</f>
        <v>guawmtops@24-7intouch.com</v>
      </c>
      <c r="K9" t="str">
        <f>CONCATENATE('Help Desk'!D9, 'Account Creation'!AE9)</f>
        <v>vn54tqs@wmt45.com</v>
      </c>
      <c r="L9" t="str">
        <f>'Account Creation'!Y9</f>
        <v>10670368:3:TRUE</v>
      </c>
      <c r="T9" t="s">
        <v>389</v>
      </c>
      <c r="V9" t="s">
        <v>390</v>
      </c>
      <c r="W9" t="str">
        <f>'Account Creation'!AA9</f>
        <v>Guatemala</v>
      </c>
      <c r="X9" t="str">
        <f>'Account Creation'!AB9</f>
        <v>Guatemala</v>
      </c>
      <c r="Y9" t="str">
        <f>'Account Creation'!AC9</f>
        <v>Guatemala City</v>
      </c>
      <c r="AA9" s="11">
        <f>'Account Creation'!G9</f>
        <v>44851</v>
      </c>
      <c r="AI9" t="str">
        <f>TRIM('Help Desk'!D9)</f>
        <v>vn54tqs</v>
      </c>
      <c r="AJ9" t="str">
        <f>'Account Creation'!AD9</f>
        <v>SURVEY_US_GM_2</v>
      </c>
      <c r="AO9" t="b">
        <v>1</v>
      </c>
      <c r="AP9">
        <v>8</v>
      </c>
      <c r="AQ9">
        <v>25</v>
      </c>
      <c r="AR9" t="b">
        <v>1</v>
      </c>
      <c r="AV9" s="97" t="str">
        <f>IF('Help Desk'!D9="","",'Help Desk'!D9)</f>
        <v>vn54tqs</v>
      </c>
    </row>
    <row r="10" spans="1:51" x14ac:dyDescent="0.25">
      <c r="A10" t="s">
        <v>388</v>
      </c>
      <c r="C10" t="str">
        <f>TRIM('Account Creation'!B10)</f>
        <v>Juan</v>
      </c>
      <c r="D10" t="str">
        <f>TRIM('Account Creation'!D10)</f>
        <v>Flores</v>
      </c>
      <c r="E10" t="str">
        <f>TRIM('Account Creation'!C10)</f>
        <v>Pablo</v>
      </c>
      <c r="F10" t="str">
        <f>'Account Creation'!V10</f>
        <v>24-7Intouch_GTM_GUA_Chat_Nest</v>
      </c>
      <c r="G10">
        <f>'Account Creation'!Z10</f>
        <v>0</v>
      </c>
      <c r="I10" t="str">
        <f>'Account Creation'!W10</f>
        <v>247Intouch Agent</v>
      </c>
      <c r="J10" t="str">
        <f>'Account Creation'!X10</f>
        <v>guawmtops@24-7intouch.com</v>
      </c>
      <c r="K10" t="str">
        <f>CONCATENATE('Help Desk'!D10, 'Account Creation'!AE10)</f>
        <v>vn54tqu@wmt45.com</v>
      </c>
      <c r="L10" t="str">
        <f>'Account Creation'!Y10</f>
        <v>10670368:3:TRUE</v>
      </c>
      <c r="T10" t="s">
        <v>389</v>
      </c>
      <c r="V10" t="s">
        <v>390</v>
      </c>
      <c r="W10" t="str">
        <f>'Account Creation'!AA10</f>
        <v>Guatemala</v>
      </c>
      <c r="X10" t="str">
        <f>'Account Creation'!AB10</f>
        <v>Guatemala</v>
      </c>
      <c r="Y10" t="str">
        <f>'Account Creation'!AC10</f>
        <v>Guatemala City</v>
      </c>
      <c r="AA10" s="11">
        <f>'Account Creation'!G10</f>
        <v>44851</v>
      </c>
      <c r="AI10" t="str">
        <f>TRIM('Help Desk'!D10)</f>
        <v>vn54tqu</v>
      </c>
      <c r="AJ10" t="str">
        <f>'Account Creation'!AD10</f>
        <v>SURVEY_US_GM_2</v>
      </c>
      <c r="AO10" t="b">
        <v>1</v>
      </c>
      <c r="AP10">
        <v>8</v>
      </c>
      <c r="AQ10">
        <v>25</v>
      </c>
      <c r="AR10" t="b">
        <v>1</v>
      </c>
      <c r="AV10" s="97" t="str">
        <f>IF('Help Desk'!D10="","",'Help Desk'!D10)</f>
        <v>vn54tqu</v>
      </c>
    </row>
    <row r="11" spans="1:51" x14ac:dyDescent="0.25">
      <c r="A11" t="s">
        <v>388</v>
      </c>
      <c r="C11" t="str">
        <f>TRIM('Account Creation'!B11)</f>
        <v>Gabriel</v>
      </c>
      <c r="D11" t="str">
        <f>TRIM('Account Creation'!D11)</f>
        <v>Morales</v>
      </c>
      <c r="E11" t="str">
        <f>TRIM('Account Creation'!C11)</f>
        <v>Adolfo</v>
      </c>
      <c r="F11" t="str">
        <f>'Account Creation'!V11</f>
        <v>24-7Intouch_GTM_GUA_Chat_Nest</v>
      </c>
      <c r="G11">
        <f>'Account Creation'!Z11</f>
        <v>0</v>
      </c>
      <c r="I11" t="str">
        <f>'Account Creation'!W11</f>
        <v>247Intouch Agent</v>
      </c>
      <c r="J11" t="str">
        <f>'Account Creation'!X11</f>
        <v>guawmtops@24-7intouch.com</v>
      </c>
      <c r="K11" t="str">
        <f>CONCATENATE('Help Desk'!D11, 'Account Creation'!AE11)</f>
        <v>vn54tqw@wmt45.com</v>
      </c>
      <c r="L11" t="str">
        <f>'Account Creation'!Y11</f>
        <v>10670368:3:TRUE</v>
      </c>
      <c r="T11" t="s">
        <v>389</v>
      </c>
      <c r="V11" t="s">
        <v>390</v>
      </c>
      <c r="W11" t="str">
        <f>'Account Creation'!AA11</f>
        <v>Guatemala</v>
      </c>
      <c r="X11" t="str">
        <f>'Account Creation'!AB11</f>
        <v>Guatemala</v>
      </c>
      <c r="Y11" t="str">
        <f>'Account Creation'!AC11</f>
        <v>Guatemala City</v>
      </c>
      <c r="AA11" s="11">
        <f>'Account Creation'!G11</f>
        <v>44851</v>
      </c>
      <c r="AI11" t="str">
        <f>TRIM('Help Desk'!D11)</f>
        <v>vn54tqw</v>
      </c>
      <c r="AJ11" t="str">
        <f>'Account Creation'!AD11</f>
        <v>SURVEY_US_GM_2</v>
      </c>
      <c r="AO11" t="b">
        <v>1</v>
      </c>
      <c r="AP11">
        <v>8</v>
      </c>
      <c r="AQ11">
        <v>25</v>
      </c>
      <c r="AR11" t="b">
        <v>1</v>
      </c>
      <c r="AV11" s="97" t="str">
        <f>IF('Help Desk'!D11="","",'Help Desk'!D11)</f>
        <v>vn54tqw</v>
      </c>
    </row>
    <row r="12" spans="1:51" x14ac:dyDescent="0.25">
      <c r="A12" t="s">
        <v>388</v>
      </c>
      <c r="C12" t="str">
        <f>TRIM('Account Creation'!B12)</f>
        <v>Mercedez</v>
      </c>
      <c r="D12" t="str">
        <f>TRIM('Account Creation'!D12)</f>
        <v>De Leon</v>
      </c>
      <c r="E12" t="str">
        <f>TRIM('Account Creation'!C12)</f>
        <v>Isabel</v>
      </c>
      <c r="F12" t="str">
        <f>'Account Creation'!V12</f>
        <v>24-7Intouch_GTM_GUA_Chat_Nest</v>
      </c>
      <c r="G12">
        <f>'Account Creation'!Z12</f>
        <v>0</v>
      </c>
      <c r="I12" t="str">
        <f>'Account Creation'!W12</f>
        <v>247Intouch Agent</v>
      </c>
      <c r="J12" t="str">
        <f>'Account Creation'!X12</f>
        <v>guawmtops@24-7intouch.com</v>
      </c>
      <c r="K12" t="str">
        <f>CONCATENATE('Help Desk'!D12, 'Account Creation'!AE12)</f>
        <v>vn54tqy@wmt45.com</v>
      </c>
      <c r="L12" t="str">
        <f>'Account Creation'!Y12</f>
        <v>10670368:3:TRUE</v>
      </c>
      <c r="T12" t="s">
        <v>389</v>
      </c>
      <c r="V12" t="s">
        <v>390</v>
      </c>
      <c r="W12" t="str">
        <f>'Account Creation'!AA12</f>
        <v>Guatemala</v>
      </c>
      <c r="X12" t="str">
        <f>'Account Creation'!AB12</f>
        <v>Guatemala</v>
      </c>
      <c r="Y12" t="str">
        <f>'Account Creation'!AC12</f>
        <v>Guatemala City</v>
      </c>
      <c r="AA12" s="11">
        <f>'Account Creation'!G12</f>
        <v>44851</v>
      </c>
      <c r="AI12" t="str">
        <f>TRIM('Help Desk'!D12)</f>
        <v>vn54tqy</v>
      </c>
      <c r="AJ12" t="str">
        <f>'Account Creation'!AD12</f>
        <v>SURVEY_US_GM_2</v>
      </c>
      <c r="AO12" t="b">
        <v>1</v>
      </c>
      <c r="AP12">
        <v>8</v>
      </c>
      <c r="AQ12">
        <v>25</v>
      </c>
      <c r="AR12" t="b">
        <v>1</v>
      </c>
      <c r="AV12" s="97" t="str">
        <f>IF('Help Desk'!D12="","",'Help Desk'!D12)</f>
        <v>vn54tqy</v>
      </c>
    </row>
    <row r="13" spans="1:51" x14ac:dyDescent="0.25">
      <c r="A13" t="s">
        <v>388</v>
      </c>
      <c r="C13" t="str">
        <f>TRIM('Account Creation'!B13)</f>
        <v>Eduardo</v>
      </c>
      <c r="D13" t="str">
        <f>TRIM('Account Creation'!D13)</f>
        <v>Prera</v>
      </c>
      <c r="E13" t="str">
        <f>TRIM('Account Creation'!C13)</f>
        <v>Andres</v>
      </c>
      <c r="F13" t="str">
        <f>'Account Creation'!V13</f>
        <v>24-7Intouch_GTM_GUA_Chat_Nest</v>
      </c>
      <c r="G13">
        <f>'Account Creation'!Z13</f>
        <v>0</v>
      </c>
      <c r="I13" t="str">
        <f>'Account Creation'!W13</f>
        <v>247Intouch Agent</v>
      </c>
      <c r="J13" t="str">
        <f>'Account Creation'!X13</f>
        <v>guawmtops@24-7intouch.com</v>
      </c>
      <c r="K13" t="str">
        <f>CONCATENATE('Help Desk'!D13, 'Account Creation'!AE13)</f>
        <v>vn54tr0@wmt45.com</v>
      </c>
      <c r="L13" t="str">
        <f>'Account Creation'!Y13</f>
        <v>10670368:3:TRUE</v>
      </c>
      <c r="T13" t="s">
        <v>389</v>
      </c>
      <c r="V13" t="s">
        <v>390</v>
      </c>
      <c r="W13" t="str">
        <f>'Account Creation'!AA13</f>
        <v>Guatemala</v>
      </c>
      <c r="X13" t="str">
        <f>'Account Creation'!AB13</f>
        <v>Guatemala</v>
      </c>
      <c r="Y13" t="str">
        <f>'Account Creation'!AC13</f>
        <v>Guatemala City</v>
      </c>
      <c r="AA13" s="11">
        <f>'Account Creation'!G13</f>
        <v>44851</v>
      </c>
      <c r="AI13" t="str">
        <f>TRIM('Help Desk'!D13)</f>
        <v>vn54tr0</v>
      </c>
      <c r="AJ13" t="str">
        <f>'Account Creation'!AD13</f>
        <v>SURVEY_US_GM_2</v>
      </c>
      <c r="AO13" t="b">
        <v>1</v>
      </c>
      <c r="AP13">
        <v>8</v>
      </c>
      <c r="AQ13">
        <v>25</v>
      </c>
      <c r="AR13" t="b">
        <v>1</v>
      </c>
      <c r="AV13" s="97" t="str">
        <f>IF('Help Desk'!D13="","",'Help Desk'!D13)</f>
        <v>vn54tr0</v>
      </c>
    </row>
    <row r="14" spans="1:51" x14ac:dyDescent="0.25">
      <c r="A14" t="s">
        <v>388</v>
      </c>
      <c r="C14" t="str">
        <f>TRIM('Account Creation'!B14)</f>
        <v>Madelin</v>
      </c>
      <c r="D14" t="str">
        <f>TRIM('Account Creation'!D14)</f>
        <v>Abal</v>
      </c>
      <c r="E14" t="str">
        <f>TRIM('Account Creation'!C14)</f>
        <v>Johana</v>
      </c>
      <c r="F14" t="str">
        <f>'Account Creation'!V14</f>
        <v>24-7Intouch_GTM_GUA_Chat_Nest</v>
      </c>
      <c r="G14">
        <f>'Account Creation'!Z14</f>
        <v>0</v>
      </c>
      <c r="I14" t="str">
        <f>'Account Creation'!W14</f>
        <v>247Intouch Agent</v>
      </c>
      <c r="J14" t="str">
        <f>'Account Creation'!X14</f>
        <v>guawmtops@24-7intouch.com</v>
      </c>
      <c r="K14" t="str">
        <f>CONCATENATE('Help Desk'!D14, 'Account Creation'!AE14)</f>
        <v>vn54tr2@wmt45.com</v>
      </c>
      <c r="L14" t="str">
        <f>'Account Creation'!Y14</f>
        <v>10670368:3:TRUE</v>
      </c>
      <c r="T14" t="s">
        <v>389</v>
      </c>
      <c r="V14" t="s">
        <v>390</v>
      </c>
      <c r="W14" t="str">
        <f>'Account Creation'!AA14</f>
        <v>Guatemala</v>
      </c>
      <c r="X14" t="str">
        <f>'Account Creation'!AB14</f>
        <v>Guatemala</v>
      </c>
      <c r="Y14" t="str">
        <f>'Account Creation'!AC14</f>
        <v>Guatemala City</v>
      </c>
      <c r="AA14" s="11">
        <f>'Account Creation'!G14</f>
        <v>44851</v>
      </c>
      <c r="AI14" t="str">
        <f>TRIM('Help Desk'!D14)</f>
        <v>vn54tr2</v>
      </c>
      <c r="AJ14" t="str">
        <f>'Account Creation'!AD14</f>
        <v>SURVEY_US_GM_2</v>
      </c>
      <c r="AO14" t="b">
        <v>1</v>
      </c>
      <c r="AP14">
        <v>8</v>
      </c>
      <c r="AQ14">
        <v>25</v>
      </c>
      <c r="AR14" t="b">
        <v>1</v>
      </c>
      <c r="AV14" s="97" t="str">
        <f>IF('Help Desk'!D14="","",'Help Desk'!D14)</f>
        <v>vn54tr2</v>
      </c>
    </row>
    <row r="15" spans="1:51" x14ac:dyDescent="0.25">
      <c r="A15" t="s">
        <v>388</v>
      </c>
      <c r="C15" t="str">
        <f>TRIM('Account Creation'!B15)</f>
        <v>Dyana</v>
      </c>
      <c r="D15" t="str">
        <f>TRIM('Account Creation'!D15)</f>
        <v>Calicio</v>
      </c>
      <c r="E15" t="str">
        <f>TRIM('Account Creation'!C15)</f>
        <v>Priscila</v>
      </c>
      <c r="F15" t="str">
        <f>'Account Creation'!V15</f>
        <v>24-7Intouch_GTM_GUA_Chat_Nest</v>
      </c>
      <c r="G15">
        <f>'Account Creation'!Z15</f>
        <v>0</v>
      </c>
      <c r="I15" t="str">
        <f>'Account Creation'!W15</f>
        <v>247Intouch Agent</v>
      </c>
      <c r="J15" t="str">
        <f>'Account Creation'!X15</f>
        <v>guawmtops@24-7intouch.com</v>
      </c>
      <c r="K15" t="str">
        <f>CONCATENATE('Help Desk'!D15, 'Account Creation'!AE15)</f>
        <v>vn54tr4@wmt45.com</v>
      </c>
      <c r="L15" t="str">
        <f>'Account Creation'!Y15</f>
        <v>10670368:3:TRUE</v>
      </c>
      <c r="T15" t="s">
        <v>389</v>
      </c>
      <c r="V15" t="s">
        <v>390</v>
      </c>
      <c r="W15" t="str">
        <f>'Account Creation'!AA15</f>
        <v>Guatemala</v>
      </c>
      <c r="X15" t="str">
        <f>'Account Creation'!AB15</f>
        <v>Guatemala</v>
      </c>
      <c r="Y15" t="str">
        <f>'Account Creation'!AC15</f>
        <v>Guatemala City</v>
      </c>
      <c r="AA15" s="11">
        <f>'Account Creation'!G15</f>
        <v>44851</v>
      </c>
      <c r="AI15" t="str">
        <f>TRIM('Help Desk'!D15)</f>
        <v>vn54tr4</v>
      </c>
      <c r="AJ15" t="str">
        <f>'Account Creation'!AD15</f>
        <v>SURVEY_US_GM_2</v>
      </c>
      <c r="AO15" t="b">
        <v>1</v>
      </c>
      <c r="AP15">
        <v>8</v>
      </c>
      <c r="AQ15">
        <v>25</v>
      </c>
      <c r="AR15" t="b">
        <v>1</v>
      </c>
      <c r="AV15" s="97" t="str">
        <f>IF('Help Desk'!D15="","",'Help Desk'!D15)</f>
        <v>vn54tr4</v>
      </c>
    </row>
    <row r="16" spans="1:51" x14ac:dyDescent="0.25">
      <c r="A16" t="s">
        <v>388</v>
      </c>
      <c r="C16" t="str">
        <f>TRIM('Account Creation'!B16)</f>
        <v>Sandra</v>
      </c>
      <c r="D16" t="str">
        <f>TRIM('Account Creation'!D16)</f>
        <v>Arango</v>
      </c>
      <c r="E16" t="str">
        <f>TRIM('Account Creation'!C16)</f>
        <v>Virginia</v>
      </c>
      <c r="F16" t="str">
        <f>'Account Creation'!V16</f>
        <v>24-7Intouch_GTM_GUA_Chat_Nest</v>
      </c>
      <c r="G16">
        <f>'Account Creation'!Z16</f>
        <v>0</v>
      </c>
      <c r="I16" t="str">
        <f>'Account Creation'!W16</f>
        <v>247Intouch Agent</v>
      </c>
      <c r="J16" t="str">
        <f>'Account Creation'!X16</f>
        <v>guawmtops@24-7intouch.com</v>
      </c>
      <c r="K16" t="str">
        <f>CONCATENATE('Help Desk'!D16, 'Account Creation'!AE16)</f>
        <v>vn54tr6@wmt45.com</v>
      </c>
      <c r="L16" t="str">
        <f>'Account Creation'!Y16</f>
        <v>10670368:3:TRUE</v>
      </c>
      <c r="T16" t="s">
        <v>389</v>
      </c>
      <c r="V16" t="s">
        <v>390</v>
      </c>
      <c r="W16" t="str">
        <f>'Account Creation'!AA16</f>
        <v>Guatemala</v>
      </c>
      <c r="X16" t="str">
        <f>'Account Creation'!AB16</f>
        <v>Guatemala</v>
      </c>
      <c r="Y16" t="str">
        <f>'Account Creation'!AC16</f>
        <v>Guatemala City</v>
      </c>
      <c r="AA16" s="11">
        <f>'Account Creation'!G16</f>
        <v>44851</v>
      </c>
      <c r="AI16" t="str">
        <f>TRIM('Help Desk'!D16)</f>
        <v>vn54tr6</v>
      </c>
      <c r="AJ16" t="str">
        <f>'Account Creation'!AD16</f>
        <v>SURVEY_US_GM_2</v>
      </c>
      <c r="AO16" t="b">
        <v>1</v>
      </c>
      <c r="AP16">
        <v>8</v>
      </c>
      <c r="AQ16">
        <v>25</v>
      </c>
      <c r="AR16" t="b">
        <v>1</v>
      </c>
      <c r="AV16" s="97" t="str">
        <f>IF('Help Desk'!D16="","",'Help Desk'!D16)</f>
        <v>vn54tr6</v>
      </c>
    </row>
    <row r="17" spans="27:48" x14ac:dyDescent="0.25">
      <c r="AA17" s="11"/>
      <c r="AV17" s="97"/>
    </row>
    <row r="18" spans="27:48" x14ac:dyDescent="0.25">
      <c r="AA18" s="11"/>
      <c r="AV18" s="97"/>
    </row>
    <row r="19" spans="27:48" x14ac:dyDescent="0.25">
      <c r="AA19" s="11"/>
      <c r="AV19" s="97"/>
    </row>
    <row r="20" spans="27:48" x14ac:dyDescent="0.25">
      <c r="AA20" s="11"/>
      <c r="AV20" s="97"/>
    </row>
    <row r="21" spans="27:48" x14ac:dyDescent="0.25">
      <c r="AA21" s="11"/>
      <c r="AV21" s="97"/>
    </row>
    <row r="22" spans="27:48" x14ac:dyDescent="0.25">
      <c r="AA22" s="11"/>
      <c r="AV22" s="97"/>
    </row>
    <row r="23" spans="27:48" x14ac:dyDescent="0.25">
      <c r="AA23" s="11"/>
      <c r="AV23" s="97"/>
    </row>
    <row r="24" spans="27:48" x14ac:dyDescent="0.25">
      <c r="AA24" s="11"/>
      <c r="AV24" s="97"/>
    </row>
    <row r="25" spans="27:48" x14ac:dyDescent="0.25">
      <c r="AA25" s="11"/>
      <c r="AV25" s="97"/>
    </row>
    <row r="26" spans="27:48" x14ac:dyDescent="0.25">
      <c r="AA26" s="11"/>
      <c r="AV26" s="97"/>
    </row>
    <row r="27" spans="27:48" x14ac:dyDescent="0.25">
      <c r="AA27" s="11"/>
      <c r="AV27" s="97"/>
    </row>
    <row r="28" spans="27:48" x14ac:dyDescent="0.25">
      <c r="AA28" s="11"/>
      <c r="AV28" s="97"/>
    </row>
    <row r="29" spans="27:48" x14ac:dyDescent="0.25">
      <c r="AA29" s="11"/>
      <c r="AV29" s="97"/>
    </row>
    <row r="30" spans="27:48" x14ac:dyDescent="0.25">
      <c r="AA30" s="11"/>
      <c r="AV30" s="97"/>
    </row>
    <row r="31" spans="27:48" x14ac:dyDescent="0.25">
      <c r="AA31" s="11"/>
      <c r="AV31" s="97"/>
    </row>
    <row r="32" spans="27:48" x14ac:dyDescent="0.25">
      <c r="AA32" s="11"/>
      <c r="AV32" s="97"/>
    </row>
    <row r="33" spans="27:48" x14ac:dyDescent="0.25">
      <c r="AA33" s="11"/>
      <c r="AV33" s="97"/>
    </row>
    <row r="34" spans="27:48" x14ac:dyDescent="0.25">
      <c r="AA34" s="11"/>
      <c r="AV34" s="97"/>
    </row>
    <row r="35" spans="27:48" x14ac:dyDescent="0.25">
      <c r="AA35" s="11"/>
      <c r="AV35" s="97"/>
    </row>
    <row r="36" spans="27:48" x14ac:dyDescent="0.25">
      <c r="AA36" s="11"/>
      <c r="AV36" s="97"/>
    </row>
    <row r="37" spans="27:48" x14ac:dyDescent="0.25">
      <c r="AA37" s="11"/>
      <c r="AV37" s="97"/>
    </row>
    <row r="38" spans="27:48" x14ac:dyDescent="0.25">
      <c r="AA38" s="11"/>
      <c r="AV38" s="97"/>
    </row>
    <row r="39" spans="27:48" x14ac:dyDescent="0.25">
      <c r="AA39" s="11"/>
      <c r="AV39" s="97"/>
    </row>
    <row r="40" spans="27:48" x14ac:dyDescent="0.25">
      <c r="AA40" s="11"/>
      <c r="AV40" s="97"/>
    </row>
    <row r="41" spans="27:48" x14ac:dyDescent="0.25">
      <c r="AA41" s="11"/>
      <c r="AV41" s="97"/>
    </row>
    <row r="42" spans="27:48" x14ac:dyDescent="0.25">
      <c r="AA42" s="11"/>
      <c r="AV42" s="97"/>
    </row>
    <row r="43" spans="27:48" x14ac:dyDescent="0.25">
      <c r="AA43" s="11"/>
      <c r="AV43" s="97"/>
    </row>
    <row r="44" spans="27:48" x14ac:dyDescent="0.25">
      <c r="AA44" s="11"/>
      <c r="AV44" s="97"/>
    </row>
    <row r="45" spans="27:48" x14ac:dyDescent="0.25">
      <c r="AA45" s="11"/>
      <c r="AV45" s="97"/>
    </row>
    <row r="46" spans="27:48" x14ac:dyDescent="0.25">
      <c r="AA46" s="11"/>
      <c r="AV46" s="97"/>
    </row>
    <row r="47" spans="27:48" x14ac:dyDescent="0.25">
      <c r="AA47" s="11"/>
      <c r="AV47" s="97"/>
    </row>
    <row r="48" spans="27:48" x14ac:dyDescent="0.25">
      <c r="AA48" s="11"/>
      <c r="AV48" s="97"/>
    </row>
    <row r="49" spans="27:48" x14ac:dyDescent="0.25">
      <c r="AA49" s="11"/>
      <c r="AV49" s="97"/>
    </row>
    <row r="50" spans="27:48" x14ac:dyDescent="0.25">
      <c r="AA50" s="11"/>
      <c r="AV50" s="97"/>
    </row>
    <row r="51" spans="27:48" x14ac:dyDescent="0.25">
      <c r="AA51" s="11"/>
      <c r="AV51" s="97"/>
    </row>
    <row r="52" spans="27:48" x14ac:dyDescent="0.25">
      <c r="AA52" s="11"/>
      <c r="AV52" s="97"/>
    </row>
    <row r="53" spans="27:48" x14ac:dyDescent="0.25">
      <c r="AA53" s="11"/>
      <c r="AV53" s="97"/>
    </row>
    <row r="54" spans="27:48" x14ac:dyDescent="0.25">
      <c r="AA54" s="11"/>
      <c r="AV54" s="97"/>
    </row>
    <row r="55" spans="27:48" x14ac:dyDescent="0.25">
      <c r="AA55" s="11"/>
      <c r="AV55" s="97"/>
    </row>
    <row r="56" spans="27:48" x14ac:dyDescent="0.25">
      <c r="AA56" s="11"/>
      <c r="AV56" s="97"/>
    </row>
    <row r="57" spans="27:48" x14ac:dyDescent="0.25">
      <c r="AA57" s="11"/>
      <c r="AV57" s="97"/>
    </row>
    <row r="58" spans="27:48" x14ac:dyDescent="0.25">
      <c r="AA58" s="11"/>
      <c r="AV58" s="97"/>
    </row>
    <row r="59" spans="27:48" x14ac:dyDescent="0.25">
      <c r="AA59" s="11"/>
      <c r="AV59" s="97"/>
    </row>
    <row r="60" spans="27:48" x14ac:dyDescent="0.25">
      <c r="AA60" s="11"/>
      <c r="AV60" s="97"/>
    </row>
    <row r="61" spans="27:48" x14ac:dyDescent="0.25">
      <c r="AA61" s="11"/>
      <c r="AV61" s="97"/>
    </row>
    <row r="62" spans="27:48" x14ac:dyDescent="0.25">
      <c r="AA62" s="11"/>
      <c r="AV62" s="97"/>
    </row>
    <row r="63" spans="27:48" x14ac:dyDescent="0.25">
      <c r="AA63" s="11"/>
      <c r="AV63" s="97"/>
    </row>
    <row r="64" spans="27:48" x14ac:dyDescent="0.25">
      <c r="AA64" s="11"/>
      <c r="AV64" s="97"/>
    </row>
    <row r="65" spans="27:48" x14ac:dyDescent="0.25">
      <c r="AA65" s="11"/>
      <c r="AV65" s="97"/>
    </row>
    <row r="66" spans="27:48" x14ac:dyDescent="0.25">
      <c r="AA66" s="11"/>
      <c r="AV66" s="97"/>
    </row>
    <row r="67" spans="27:48" x14ac:dyDescent="0.25">
      <c r="AA67" s="11"/>
      <c r="AV67" s="97"/>
    </row>
    <row r="68" spans="27:48" x14ac:dyDescent="0.25">
      <c r="AA68" s="11"/>
      <c r="AV68" s="97"/>
    </row>
    <row r="69" spans="27:48" x14ac:dyDescent="0.25">
      <c r="AA69" s="11"/>
      <c r="AV69" s="97"/>
    </row>
    <row r="70" spans="27:48" x14ac:dyDescent="0.25">
      <c r="AA70" s="11"/>
      <c r="AV70" s="97"/>
    </row>
    <row r="71" spans="27:48" x14ac:dyDescent="0.25">
      <c r="AA71" s="11"/>
      <c r="AV71" s="97"/>
    </row>
    <row r="72" spans="27:48" x14ac:dyDescent="0.25">
      <c r="AA72" s="11"/>
      <c r="AV72" s="97"/>
    </row>
    <row r="73" spans="27:48" x14ac:dyDescent="0.25">
      <c r="AA73" s="11"/>
      <c r="AV73" s="97"/>
    </row>
    <row r="74" spans="27:48" x14ac:dyDescent="0.25">
      <c r="AA74" s="11"/>
      <c r="AV74" s="97"/>
    </row>
    <row r="75" spans="27:48" x14ac:dyDescent="0.25">
      <c r="AA75" s="11"/>
      <c r="AV75" s="97"/>
    </row>
    <row r="76" spans="27:48" x14ac:dyDescent="0.25">
      <c r="AA76" s="11"/>
      <c r="AV76" s="97"/>
    </row>
    <row r="77" spans="27:48" x14ac:dyDescent="0.25">
      <c r="AA77" s="11"/>
      <c r="AV77" s="97"/>
    </row>
    <row r="78" spans="27:48" x14ac:dyDescent="0.25">
      <c r="AA78" s="11"/>
      <c r="AV78" s="97"/>
    </row>
    <row r="79" spans="27:48" x14ac:dyDescent="0.25">
      <c r="AA79" s="11"/>
      <c r="AV79" s="97"/>
    </row>
    <row r="80" spans="27:48" x14ac:dyDescent="0.25">
      <c r="AA80" s="11"/>
      <c r="AV80" s="97"/>
    </row>
    <row r="81" spans="27:48" x14ac:dyDescent="0.25">
      <c r="AA81" s="11"/>
      <c r="AV81" s="97"/>
    </row>
    <row r="82" spans="27:48" x14ac:dyDescent="0.25">
      <c r="AA82" s="11"/>
      <c r="AV82" s="97"/>
    </row>
    <row r="83" spans="27:48" x14ac:dyDescent="0.25">
      <c r="AA83" s="11"/>
      <c r="AV83" s="97"/>
    </row>
    <row r="84" spans="27:48" x14ac:dyDescent="0.25">
      <c r="AA84" s="11"/>
      <c r="AV84" s="97"/>
    </row>
    <row r="85" spans="27:48" x14ac:dyDescent="0.25">
      <c r="AA85" s="11"/>
      <c r="AV85" s="97"/>
    </row>
    <row r="86" spans="27:48" x14ac:dyDescent="0.25">
      <c r="AA86" s="11"/>
      <c r="AV86" s="97"/>
    </row>
    <row r="87" spans="27:48" x14ac:dyDescent="0.25">
      <c r="AA87" s="11"/>
      <c r="AV87" s="97"/>
    </row>
    <row r="88" spans="27:48" x14ac:dyDescent="0.25">
      <c r="AA88" s="11"/>
      <c r="AV88" s="97"/>
    </row>
    <row r="89" spans="27:48" x14ac:dyDescent="0.25">
      <c r="AA89" s="11"/>
      <c r="AV89" s="97"/>
    </row>
    <row r="90" spans="27:48" x14ac:dyDescent="0.25">
      <c r="AA90" s="11"/>
      <c r="AV90" s="97"/>
    </row>
    <row r="91" spans="27:48" x14ac:dyDescent="0.25">
      <c r="AA91" s="11"/>
      <c r="AV91" s="97"/>
    </row>
    <row r="92" spans="27:48" x14ac:dyDescent="0.25">
      <c r="AA92" s="11"/>
      <c r="AV92" s="97"/>
    </row>
    <row r="93" spans="27:48" x14ac:dyDescent="0.25">
      <c r="AA93" s="11"/>
      <c r="AV93" s="97"/>
    </row>
    <row r="94" spans="27:48" x14ac:dyDescent="0.25">
      <c r="AA94" s="11"/>
      <c r="AV94" s="97"/>
    </row>
    <row r="95" spans="27:48" x14ac:dyDescent="0.25">
      <c r="AA95" s="11"/>
      <c r="AV95" s="97"/>
    </row>
    <row r="96" spans="27:48" x14ac:dyDescent="0.25">
      <c r="AA96" s="11"/>
      <c r="AV96" s="97"/>
    </row>
    <row r="97" spans="27:48" x14ac:dyDescent="0.25">
      <c r="AA97" s="11"/>
      <c r="AV97" s="97"/>
    </row>
    <row r="98" spans="27:48" x14ac:dyDescent="0.25">
      <c r="AA98" s="11"/>
      <c r="AV98" s="97"/>
    </row>
    <row r="99" spans="27:48" x14ac:dyDescent="0.25">
      <c r="AA99" s="11"/>
      <c r="AV99" s="97"/>
    </row>
    <row r="100" spans="27:48" x14ac:dyDescent="0.25">
      <c r="AA100" s="11"/>
      <c r="AV100" s="97"/>
    </row>
    <row r="101" spans="27:48" x14ac:dyDescent="0.25">
      <c r="AA101" s="11"/>
      <c r="AV101" s="97"/>
    </row>
    <row r="102" spans="27:48" x14ac:dyDescent="0.25">
      <c r="AA102" s="11"/>
      <c r="AV102" s="97"/>
    </row>
    <row r="103" spans="27:48" x14ac:dyDescent="0.25">
      <c r="AA103" s="11"/>
      <c r="AV103" s="97"/>
    </row>
    <row r="104" spans="27:48" x14ac:dyDescent="0.25">
      <c r="AA104" s="11"/>
      <c r="AV104" s="97"/>
    </row>
    <row r="105" spans="27:48" x14ac:dyDescent="0.25">
      <c r="AA105" s="11"/>
      <c r="AV105" s="97"/>
    </row>
    <row r="106" spans="27:48" x14ac:dyDescent="0.25">
      <c r="AA106" s="11"/>
      <c r="AV106" s="97"/>
    </row>
    <row r="107" spans="27:48" x14ac:dyDescent="0.25">
      <c r="AA107" s="11"/>
      <c r="AV107" s="97"/>
    </row>
    <row r="108" spans="27:48" x14ac:dyDescent="0.25">
      <c r="AA108" s="11"/>
      <c r="AV108" s="97"/>
    </row>
    <row r="109" spans="27:48" x14ac:dyDescent="0.25">
      <c r="AA109" s="11"/>
      <c r="AV109" s="97"/>
    </row>
    <row r="110" spans="27:48" x14ac:dyDescent="0.25">
      <c r="AA110" s="11"/>
      <c r="AV110" s="97"/>
    </row>
    <row r="111" spans="27:48" x14ac:dyDescent="0.25">
      <c r="AA111" s="11"/>
      <c r="AV111" s="97"/>
    </row>
    <row r="112" spans="27:48" x14ac:dyDescent="0.25">
      <c r="AA112" s="11"/>
      <c r="AV112" s="97"/>
    </row>
    <row r="113" spans="27:48" x14ac:dyDescent="0.25">
      <c r="AA113" s="11"/>
      <c r="AV113" s="97"/>
    </row>
    <row r="114" spans="27:48" x14ac:dyDescent="0.25">
      <c r="AA114" s="11"/>
      <c r="AV114" s="97"/>
    </row>
    <row r="115" spans="27:48" x14ac:dyDescent="0.25">
      <c r="AA115" s="11"/>
      <c r="AV115" s="97"/>
    </row>
    <row r="116" spans="27:48" x14ac:dyDescent="0.25">
      <c r="AA116" s="11"/>
      <c r="AV116" s="97"/>
    </row>
    <row r="117" spans="27:48" x14ac:dyDescent="0.25">
      <c r="AA117" s="11"/>
      <c r="AV117" s="97"/>
    </row>
    <row r="118" spans="27:48" x14ac:dyDescent="0.25">
      <c r="AA118" s="11"/>
      <c r="AV118" s="97"/>
    </row>
    <row r="119" spans="27:48" x14ac:dyDescent="0.25">
      <c r="AA119" s="11"/>
      <c r="AV119" s="97"/>
    </row>
    <row r="120" spans="27:48" x14ac:dyDescent="0.25">
      <c r="AA120" s="11"/>
      <c r="AV120" s="97"/>
    </row>
    <row r="121" spans="27:48" x14ac:dyDescent="0.25">
      <c r="AA121" s="11"/>
      <c r="AV121" s="97"/>
    </row>
    <row r="122" spans="27:48" x14ac:dyDescent="0.25">
      <c r="AA122" s="11"/>
      <c r="AV122" s="97"/>
    </row>
    <row r="123" spans="27:48" x14ac:dyDescent="0.25">
      <c r="AA123" s="11"/>
      <c r="AV123" s="97"/>
    </row>
    <row r="124" spans="27:48" x14ac:dyDescent="0.25">
      <c r="AA124" s="11"/>
      <c r="AV124" s="97"/>
    </row>
    <row r="125" spans="27:48" x14ac:dyDescent="0.25">
      <c r="AA125" s="11"/>
      <c r="AV125" s="97"/>
    </row>
    <row r="126" spans="27:48" x14ac:dyDescent="0.25">
      <c r="AA126" s="11"/>
      <c r="AV126" s="97"/>
    </row>
    <row r="127" spans="27:48" x14ac:dyDescent="0.25">
      <c r="AA127" s="11"/>
      <c r="AV127" s="97"/>
    </row>
    <row r="128" spans="27:48" x14ac:dyDescent="0.25">
      <c r="AA128" s="11"/>
      <c r="AV128" s="97"/>
    </row>
    <row r="129" spans="27:48" x14ac:dyDescent="0.25">
      <c r="AA129" s="11"/>
      <c r="AV129" s="97"/>
    </row>
    <row r="130" spans="27:48" x14ac:dyDescent="0.25">
      <c r="AA130" s="11"/>
      <c r="AV130" s="97"/>
    </row>
    <row r="131" spans="27:48" x14ac:dyDescent="0.25">
      <c r="AA131" s="11"/>
      <c r="AV131" s="97"/>
    </row>
    <row r="132" spans="27:48" x14ac:dyDescent="0.25">
      <c r="AA132" s="11"/>
      <c r="AV132" s="97"/>
    </row>
    <row r="133" spans="27:48" x14ac:dyDescent="0.25">
      <c r="AA133" s="11"/>
      <c r="AV133" s="97"/>
    </row>
    <row r="134" spans="27:48" x14ac:dyDescent="0.25">
      <c r="AA134" s="11"/>
      <c r="AV134" s="97"/>
    </row>
    <row r="135" spans="27:48" x14ac:dyDescent="0.25">
      <c r="AA135" s="11"/>
      <c r="AV135" s="97"/>
    </row>
    <row r="136" spans="27:48" x14ac:dyDescent="0.25">
      <c r="AA136" s="11"/>
      <c r="AV136" s="97"/>
    </row>
    <row r="137" spans="27:48" x14ac:dyDescent="0.25">
      <c r="AA137" s="11"/>
      <c r="AV137" s="97"/>
    </row>
    <row r="138" spans="27:48" x14ac:dyDescent="0.25">
      <c r="AA138" s="11"/>
      <c r="AV138" s="97"/>
    </row>
    <row r="139" spans="27:48" x14ac:dyDescent="0.25">
      <c r="AA139" s="11"/>
      <c r="AV139" s="97"/>
    </row>
    <row r="140" spans="27:48" x14ac:dyDescent="0.25">
      <c r="AA140" s="11"/>
      <c r="AV140" s="97"/>
    </row>
    <row r="141" spans="27:48" x14ac:dyDescent="0.25">
      <c r="AA141" s="11"/>
      <c r="AV141" s="97"/>
    </row>
    <row r="142" spans="27:48" x14ac:dyDescent="0.25">
      <c r="AA142" s="11"/>
      <c r="AV142" s="97"/>
    </row>
    <row r="143" spans="27:48" x14ac:dyDescent="0.25">
      <c r="AA143" s="11"/>
      <c r="AV143" s="97"/>
    </row>
    <row r="144" spans="27:48" x14ac:dyDescent="0.25">
      <c r="AA144" s="11"/>
      <c r="AV144" s="97"/>
    </row>
    <row r="145" spans="27:48" x14ac:dyDescent="0.25">
      <c r="AA145" s="11"/>
      <c r="AV145" s="97"/>
    </row>
    <row r="146" spans="27:48" x14ac:dyDescent="0.25">
      <c r="AA146" s="11"/>
      <c r="AV146" s="97"/>
    </row>
    <row r="147" spans="27:48" x14ac:dyDescent="0.25">
      <c r="AA147" s="11"/>
      <c r="AV147" s="97"/>
    </row>
    <row r="148" spans="27:48" x14ac:dyDescent="0.25">
      <c r="AA148" s="11"/>
      <c r="AV148" s="97"/>
    </row>
    <row r="149" spans="27:48" x14ac:dyDescent="0.25">
      <c r="AA149" s="11"/>
      <c r="AV149" s="97"/>
    </row>
    <row r="150" spans="27:48" x14ac:dyDescent="0.25">
      <c r="AA150" s="11"/>
      <c r="AV150" s="97"/>
    </row>
    <row r="151" spans="27:48" x14ac:dyDescent="0.25">
      <c r="AA151" s="11"/>
      <c r="AV151" s="97"/>
    </row>
    <row r="152" spans="27:48" x14ac:dyDescent="0.25">
      <c r="AA152" s="11"/>
      <c r="AV152" s="97"/>
    </row>
    <row r="153" spans="27:48" x14ac:dyDescent="0.25">
      <c r="AA153" s="11"/>
      <c r="AV153" s="97"/>
    </row>
    <row r="154" spans="27:48" x14ac:dyDescent="0.25">
      <c r="AA154" s="11"/>
      <c r="AV154" s="97"/>
    </row>
    <row r="155" spans="27:48" x14ac:dyDescent="0.25">
      <c r="AA155" s="11"/>
      <c r="AV155" s="97"/>
    </row>
    <row r="156" spans="27:48" x14ac:dyDescent="0.25">
      <c r="AA156" s="11"/>
      <c r="AV156" s="97"/>
    </row>
    <row r="157" spans="27:48" x14ac:dyDescent="0.25">
      <c r="AA157" s="11"/>
      <c r="AV157" s="97"/>
    </row>
    <row r="158" spans="27:48" x14ac:dyDescent="0.25">
      <c r="AA158" s="11"/>
      <c r="AV158" s="97"/>
    </row>
    <row r="159" spans="27:48" x14ac:dyDescent="0.25">
      <c r="AA159" s="11"/>
      <c r="AV159" s="97"/>
    </row>
    <row r="160" spans="27:48" x14ac:dyDescent="0.25">
      <c r="AA160" s="11"/>
      <c r="AV160" s="97"/>
    </row>
    <row r="161" spans="27:48" x14ac:dyDescent="0.25">
      <c r="AA161" s="11"/>
      <c r="AV161" s="97"/>
    </row>
    <row r="162" spans="27:48" x14ac:dyDescent="0.25">
      <c r="AA162" s="11"/>
      <c r="AV162" s="97"/>
    </row>
    <row r="163" spans="27:48" x14ac:dyDescent="0.25">
      <c r="AA163" s="11"/>
      <c r="AV163" s="97"/>
    </row>
    <row r="164" spans="27:48" x14ac:dyDescent="0.25">
      <c r="AA164" s="11"/>
      <c r="AV164" s="97"/>
    </row>
    <row r="165" spans="27:48" x14ac:dyDescent="0.25">
      <c r="AA165" s="11"/>
      <c r="AV165" s="97"/>
    </row>
    <row r="166" spans="27:48" x14ac:dyDescent="0.25">
      <c r="AA166" s="11"/>
      <c r="AV166" s="97"/>
    </row>
    <row r="167" spans="27:48" x14ac:dyDescent="0.25">
      <c r="AA167" s="11"/>
      <c r="AV167" s="97"/>
    </row>
    <row r="168" spans="27:48" x14ac:dyDescent="0.25">
      <c r="AA168" s="11"/>
      <c r="AV168" s="97"/>
    </row>
    <row r="169" spans="27:48" x14ac:dyDescent="0.25">
      <c r="AA169" s="11"/>
      <c r="AV169" s="97"/>
    </row>
    <row r="170" spans="27:48" x14ac:dyDescent="0.25">
      <c r="AA170" s="11"/>
      <c r="AV170" s="97"/>
    </row>
    <row r="171" spans="27:48" x14ac:dyDescent="0.25">
      <c r="AA171" s="11"/>
      <c r="AV171" s="97"/>
    </row>
    <row r="172" spans="27:48" x14ac:dyDescent="0.25">
      <c r="AA172" s="11"/>
      <c r="AV172" s="97"/>
    </row>
    <row r="173" spans="27:48" x14ac:dyDescent="0.25">
      <c r="AA173" s="11"/>
      <c r="AV173" s="97"/>
    </row>
    <row r="174" spans="27:48" x14ac:dyDescent="0.25">
      <c r="AA174" s="11"/>
      <c r="AV174" s="97"/>
    </row>
    <row r="175" spans="27:48" x14ac:dyDescent="0.25">
      <c r="AA175" s="11"/>
      <c r="AV175" s="97"/>
    </row>
    <row r="176" spans="27:48" x14ac:dyDescent="0.25">
      <c r="AA176" s="11"/>
      <c r="AV176" s="97"/>
    </row>
    <row r="177" spans="27:48" x14ac:dyDescent="0.25">
      <c r="AA177" s="11"/>
      <c r="AV177" s="97"/>
    </row>
    <row r="178" spans="27:48" x14ac:dyDescent="0.25">
      <c r="AA178" s="11"/>
      <c r="AV178" s="97"/>
    </row>
    <row r="179" spans="27:48" x14ac:dyDescent="0.25">
      <c r="AA179" s="11"/>
      <c r="AV179" s="97"/>
    </row>
    <row r="180" spans="27:48" x14ac:dyDescent="0.25">
      <c r="AA180" s="11"/>
      <c r="AV180" s="97"/>
    </row>
    <row r="181" spans="27:48" x14ac:dyDescent="0.25">
      <c r="AA181" s="11"/>
      <c r="AV181" s="97"/>
    </row>
    <row r="182" spans="27:48" x14ac:dyDescent="0.25">
      <c r="AA182" s="11"/>
      <c r="AV182" s="97"/>
    </row>
    <row r="183" spans="27:48" x14ac:dyDescent="0.25">
      <c r="AA183" s="11"/>
      <c r="AV183" s="97"/>
    </row>
    <row r="184" spans="27:48" x14ac:dyDescent="0.25">
      <c r="AA184" s="11"/>
      <c r="AV184" s="97"/>
    </row>
    <row r="185" spans="27:48" x14ac:dyDescent="0.25">
      <c r="AA185" s="11"/>
      <c r="AV185" s="97"/>
    </row>
    <row r="186" spans="27:48" x14ac:dyDescent="0.25">
      <c r="AA186" s="11"/>
      <c r="AV186" s="97"/>
    </row>
    <row r="187" spans="27:48" x14ac:dyDescent="0.25">
      <c r="AA187" s="11"/>
      <c r="AV187" s="97"/>
    </row>
    <row r="188" spans="27:48" x14ac:dyDescent="0.25">
      <c r="AA188" s="11"/>
      <c r="AV188" s="97"/>
    </row>
    <row r="189" spans="27:48" x14ac:dyDescent="0.25">
      <c r="AA189" s="11"/>
      <c r="AV189" s="97"/>
    </row>
    <row r="190" spans="27:48" x14ac:dyDescent="0.25">
      <c r="AA190" s="11"/>
      <c r="AV190" s="97"/>
    </row>
    <row r="191" spans="27:48" x14ac:dyDescent="0.25">
      <c r="AA191" s="11"/>
      <c r="AV191" s="97"/>
    </row>
    <row r="192" spans="27:48" x14ac:dyDescent="0.25">
      <c r="AA192" s="11"/>
      <c r="AV192" s="97"/>
    </row>
    <row r="193" spans="27:48" x14ac:dyDescent="0.25">
      <c r="AA193" s="11"/>
      <c r="AV193" s="97"/>
    </row>
    <row r="194" spans="27:48" x14ac:dyDescent="0.25">
      <c r="AA194" s="11"/>
      <c r="AV194" s="97"/>
    </row>
    <row r="195" spans="27:48" x14ac:dyDescent="0.25">
      <c r="AA195" s="11"/>
      <c r="AV195" s="97"/>
    </row>
    <row r="196" spans="27:48" x14ac:dyDescent="0.25">
      <c r="AA196" s="11"/>
      <c r="AV196" s="97"/>
    </row>
    <row r="197" spans="27:48" x14ac:dyDescent="0.25">
      <c r="AA197" s="11"/>
      <c r="AV197" s="97"/>
    </row>
    <row r="198" spans="27:48" x14ac:dyDescent="0.25">
      <c r="AA198" s="11"/>
      <c r="AV198" s="97"/>
    </row>
    <row r="199" spans="27:48" x14ac:dyDescent="0.25">
      <c r="AA199" s="11"/>
      <c r="AV199" s="97"/>
    </row>
    <row r="200" spans="27:48" x14ac:dyDescent="0.25">
      <c r="AA200" s="11"/>
      <c r="AV200" s="97"/>
    </row>
    <row r="201" spans="27:48" x14ac:dyDescent="0.25">
      <c r="AA201" s="11"/>
      <c r="AV201" s="97"/>
    </row>
    <row r="202" spans="27:48" x14ac:dyDescent="0.25">
      <c r="AA202" s="11"/>
      <c r="AV202" s="97"/>
    </row>
    <row r="203" spans="27:48" x14ac:dyDescent="0.25">
      <c r="AA203" s="11"/>
      <c r="AV203" s="97"/>
    </row>
    <row r="204" spans="27:48" x14ac:dyDescent="0.25">
      <c r="AA204" s="11"/>
      <c r="AV204" s="97"/>
    </row>
    <row r="205" spans="27:48" x14ac:dyDescent="0.25">
      <c r="AA205" s="11"/>
      <c r="AV205" s="97"/>
    </row>
    <row r="206" spans="27:48" x14ac:dyDescent="0.25">
      <c r="AA206" s="11"/>
      <c r="AV206" s="97"/>
    </row>
    <row r="207" spans="27:48" x14ac:dyDescent="0.25">
      <c r="AA207" s="11"/>
      <c r="AV207" s="97"/>
    </row>
    <row r="208" spans="27:48" x14ac:dyDescent="0.25">
      <c r="AA208" s="11"/>
      <c r="AV208" s="97"/>
    </row>
    <row r="209" spans="27:48" x14ac:dyDescent="0.25">
      <c r="AA209" s="11"/>
      <c r="AV209" s="97"/>
    </row>
    <row r="210" spans="27:48" x14ac:dyDescent="0.25">
      <c r="AA210" s="11"/>
      <c r="AV210" s="97"/>
    </row>
    <row r="211" spans="27:48" x14ac:dyDescent="0.25">
      <c r="AA211" s="11"/>
      <c r="AV211" s="97"/>
    </row>
    <row r="212" spans="27:48" x14ac:dyDescent="0.25">
      <c r="AA212" s="11"/>
      <c r="AV212" s="97"/>
    </row>
    <row r="213" spans="27:48" x14ac:dyDescent="0.25">
      <c r="AA213" s="11"/>
      <c r="AV213" s="97"/>
    </row>
    <row r="214" spans="27:48" x14ac:dyDescent="0.25">
      <c r="AA214" s="11"/>
      <c r="AV214" s="97"/>
    </row>
    <row r="215" spans="27:48" x14ac:dyDescent="0.25">
      <c r="AA215" s="11"/>
      <c r="AV215" s="97"/>
    </row>
    <row r="216" spans="27:48" x14ac:dyDescent="0.25">
      <c r="AA216" s="11"/>
      <c r="AV216" s="97"/>
    </row>
    <row r="217" spans="27:48" x14ac:dyDescent="0.25">
      <c r="AA217" s="11"/>
      <c r="AV217" s="97"/>
    </row>
    <row r="218" spans="27:48" x14ac:dyDescent="0.25">
      <c r="AA218" s="11"/>
      <c r="AV218" s="97"/>
    </row>
    <row r="219" spans="27:48" x14ac:dyDescent="0.25">
      <c r="AA219" s="11"/>
      <c r="AV219" s="97"/>
    </row>
    <row r="220" spans="27:48" x14ac:dyDescent="0.25">
      <c r="AA220" s="11"/>
      <c r="AV220" s="97"/>
    </row>
    <row r="221" spans="27:48" x14ac:dyDescent="0.25">
      <c r="AA221" s="11"/>
      <c r="AV221" s="97"/>
    </row>
    <row r="222" spans="27:48" x14ac:dyDescent="0.25">
      <c r="AA222" s="11"/>
      <c r="AV222" s="97"/>
    </row>
    <row r="223" spans="27:48" x14ac:dyDescent="0.25">
      <c r="AA223" s="11"/>
      <c r="AV223" s="97"/>
    </row>
    <row r="224" spans="27:48" x14ac:dyDescent="0.25">
      <c r="AA224" s="11"/>
      <c r="AV224" s="97"/>
    </row>
    <row r="225" spans="27:48" x14ac:dyDescent="0.25">
      <c r="AA225" s="11"/>
      <c r="AV225" s="97"/>
    </row>
    <row r="226" spans="27:48" x14ac:dyDescent="0.25">
      <c r="AA226" s="11"/>
      <c r="AV226" s="97"/>
    </row>
    <row r="227" spans="27:48" x14ac:dyDescent="0.25">
      <c r="AA227" s="11"/>
      <c r="AV227" s="97"/>
    </row>
    <row r="228" spans="27:48" x14ac:dyDescent="0.25">
      <c r="AA228" s="11"/>
      <c r="AV228" s="97"/>
    </row>
    <row r="229" spans="27:48" x14ac:dyDescent="0.25">
      <c r="AA229" s="11"/>
      <c r="AV229" s="97"/>
    </row>
    <row r="230" spans="27:48" x14ac:dyDescent="0.25">
      <c r="AA230" s="11"/>
      <c r="AV230" s="97"/>
    </row>
    <row r="231" spans="27:48" x14ac:dyDescent="0.25">
      <c r="AA231" s="11"/>
      <c r="AV231" s="97"/>
    </row>
    <row r="232" spans="27:48" x14ac:dyDescent="0.25">
      <c r="AA232" s="11"/>
      <c r="AV232" s="97"/>
    </row>
    <row r="233" spans="27:48" x14ac:dyDescent="0.25">
      <c r="AA233" s="11"/>
      <c r="AV233" s="97"/>
    </row>
    <row r="234" spans="27:48" x14ac:dyDescent="0.25">
      <c r="AA234" s="11"/>
      <c r="AV234" s="97"/>
    </row>
    <row r="235" spans="27:48" x14ac:dyDescent="0.25">
      <c r="AA235" s="11"/>
      <c r="AV235" s="97"/>
    </row>
    <row r="236" spans="27:48" x14ac:dyDescent="0.25">
      <c r="AA236" s="11"/>
      <c r="AV236" s="97"/>
    </row>
    <row r="237" spans="27:48" x14ac:dyDescent="0.25">
      <c r="AA237" s="11"/>
      <c r="AV237" s="97"/>
    </row>
    <row r="238" spans="27:48" x14ac:dyDescent="0.25">
      <c r="AA238" s="11"/>
      <c r="AV238" s="97"/>
    </row>
    <row r="239" spans="27:48" x14ac:dyDescent="0.25">
      <c r="AA239" s="11"/>
      <c r="AV239" s="97"/>
    </row>
    <row r="240" spans="27:48" x14ac:dyDescent="0.25">
      <c r="AA240" s="11"/>
      <c r="AV240" s="97"/>
    </row>
    <row r="241" spans="27:48" x14ac:dyDescent="0.25">
      <c r="AA241" s="11"/>
      <c r="AV241" s="97"/>
    </row>
    <row r="242" spans="27:48" x14ac:dyDescent="0.25">
      <c r="AA242" s="11"/>
      <c r="AV242" s="97"/>
    </row>
    <row r="243" spans="27:48" x14ac:dyDescent="0.25">
      <c r="AA243" s="11"/>
      <c r="AV243" s="97"/>
    </row>
    <row r="244" spans="27:48" x14ac:dyDescent="0.25">
      <c r="AA244" s="11"/>
      <c r="AV244" s="97"/>
    </row>
    <row r="245" spans="27:48" x14ac:dyDescent="0.25">
      <c r="AA245" s="11"/>
      <c r="AV245" s="97"/>
    </row>
    <row r="246" spans="27:48" x14ac:dyDescent="0.25">
      <c r="AA246" s="11"/>
      <c r="AV246" s="97"/>
    </row>
    <row r="247" spans="27:48" x14ac:dyDescent="0.25">
      <c r="AA247" s="11"/>
      <c r="AV247" s="97"/>
    </row>
    <row r="248" spans="27:48" x14ac:dyDescent="0.25">
      <c r="AA248" s="11"/>
      <c r="AV248" s="97"/>
    </row>
    <row r="249" spans="27:48" x14ac:dyDescent="0.25">
      <c r="AA249" s="11"/>
      <c r="AV249" s="97"/>
    </row>
    <row r="250" spans="27:48" x14ac:dyDescent="0.25">
      <c r="AA250" s="11"/>
      <c r="AV250" s="9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20545-A3C2-4852-8652-A1F8D897936A}">
  <sheetPr codeName="Sheet10"/>
  <dimension ref="A1:J250"/>
  <sheetViews>
    <sheetView showZeros="0" workbookViewId="0">
      <selection activeCell="A17" sqref="A17:XFD250"/>
    </sheetView>
  </sheetViews>
  <sheetFormatPr defaultColWidth="21.42578125" defaultRowHeight="15" x14ac:dyDescent="0.25"/>
  <cols>
    <col min="4" max="4" width="21.42578125" style="4"/>
    <col min="10" max="10" width="26" bestFit="1" customWidth="1"/>
  </cols>
  <sheetData>
    <row r="1" spans="1:10" x14ac:dyDescent="0.25">
      <c r="A1" s="2" t="s">
        <v>351</v>
      </c>
      <c r="B1" s="2" t="s">
        <v>2</v>
      </c>
      <c r="C1" s="2" t="s">
        <v>0</v>
      </c>
      <c r="D1" s="7" t="s">
        <v>391</v>
      </c>
      <c r="E1" s="2" t="s">
        <v>392</v>
      </c>
      <c r="F1" s="2" t="s">
        <v>393</v>
      </c>
      <c r="G1" s="2" t="s">
        <v>340</v>
      </c>
      <c r="H1" s="2" t="s">
        <v>394</v>
      </c>
      <c r="I1" s="2" t="s">
        <v>395</v>
      </c>
      <c r="J1" s="2" t="s">
        <v>396</v>
      </c>
    </row>
    <row r="2" spans="1:10" x14ac:dyDescent="0.25">
      <c r="A2" t="str">
        <f>TRIM('Help Desk'!D2)</f>
        <v>vn54tqf</v>
      </c>
      <c r="B2" t="str">
        <f>TRIM('Account Creation'!B2)</f>
        <v>Cristian</v>
      </c>
      <c r="C2" t="str">
        <f>TRIM('Account Creation'!D2)</f>
        <v>Ramirez</v>
      </c>
      <c r="D2" s="4" t="str">
        <f t="shared" ref="D2" si="0">CONCATENATE(B2, " ", LEFT(C2,1))</f>
        <v>Cristian R</v>
      </c>
      <c r="E2">
        <f>IF('Account Creation'!AG2="",FALSE,'Account Creation'!AG2)</f>
        <v>169</v>
      </c>
      <c r="F2">
        <f>IF('Account Creation'!AH2="",FALSE,'Account Creation'!AH2)</f>
        <v>100978</v>
      </c>
      <c r="G2" s="5" t="s">
        <v>397</v>
      </c>
      <c r="H2" t="str">
        <f t="shared" ref="H2" si="1">A2</f>
        <v>vn54tqf</v>
      </c>
      <c r="I2">
        <f>'VCC_Vaccine ONLY'!B2</f>
        <v>0</v>
      </c>
      <c r="J2" s="4">
        <f>('Account Creation'!G2 - 25569) * 86400</f>
        <v>1665964800</v>
      </c>
    </row>
    <row r="3" spans="1:10" x14ac:dyDescent="0.25">
      <c r="A3" t="str">
        <f>TRIM('Help Desk'!D3)</f>
        <v>vn54tqh</v>
      </c>
      <c r="B3" t="str">
        <f>TRIM('Account Creation'!B3)</f>
        <v>Claudia</v>
      </c>
      <c r="C3" t="str">
        <f>TRIM('Account Creation'!D3)</f>
        <v>Garcia</v>
      </c>
      <c r="D3" s="4" t="str">
        <f t="shared" ref="D3:D66" si="2">CONCATENATE(B3, " ", LEFT(C3,1))</f>
        <v>Claudia G</v>
      </c>
      <c r="E3">
        <f>IF('Account Creation'!AG3="",FALSE,'Account Creation'!AG3)</f>
        <v>169</v>
      </c>
      <c r="F3">
        <f>IF('Account Creation'!AH3="",FALSE,'Account Creation'!AH3)</f>
        <v>100978</v>
      </c>
      <c r="G3" s="5" t="s">
        <v>397</v>
      </c>
      <c r="H3" t="str">
        <f t="shared" ref="H3:H66" si="3">A3</f>
        <v>vn54tqh</v>
      </c>
      <c r="I3">
        <f>'VCC_Vaccine ONLY'!B3</f>
        <v>0</v>
      </c>
      <c r="J3" s="4">
        <f>('Account Creation'!G3 - 25569) * 86400</f>
        <v>1665964800</v>
      </c>
    </row>
    <row r="4" spans="1:10" x14ac:dyDescent="0.25">
      <c r="A4" t="str">
        <f>TRIM('Help Desk'!D4)</f>
        <v>vn54tqj</v>
      </c>
      <c r="B4" t="str">
        <f>TRIM('Account Creation'!B4)</f>
        <v>Luis</v>
      </c>
      <c r="C4" t="str">
        <f>TRIM('Account Creation'!D4)</f>
        <v>Hernandez</v>
      </c>
      <c r="D4" s="4" t="str">
        <f t="shared" si="2"/>
        <v>Luis H</v>
      </c>
      <c r="E4">
        <f>IF('Account Creation'!AG4="",FALSE,'Account Creation'!AG4)</f>
        <v>169</v>
      </c>
      <c r="F4">
        <f>IF('Account Creation'!AH4="",FALSE,'Account Creation'!AH4)</f>
        <v>100978</v>
      </c>
      <c r="G4" s="5" t="s">
        <v>397</v>
      </c>
      <c r="H4" t="str">
        <f t="shared" si="3"/>
        <v>vn54tqj</v>
      </c>
      <c r="I4">
        <f>'VCC_Vaccine ONLY'!B4</f>
        <v>0</v>
      </c>
      <c r="J4" s="4">
        <f>('Account Creation'!G4 - 25569) * 86400</f>
        <v>1665964800</v>
      </c>
    </row>
    <row r="5" spans="1:10" x14ac:dyDescent="0.25">
      <c r="A5" t="str">
        <f>TRIM('Help Desk'!D5)</f>
        <v>vn54tql</v>
      </c>
      <c r="B5" t="str">
        <f>TRIM('Account Creation'!B5)</f>
        <v>Sofia</v>
      </c>
      <c r="C5" t="str">
        <f>TRIM('Account Creation'!D5)</f>
        <v>Marroquin</v>
      </c>
      <c r="D5" s="4" t="str">
        <f t="shared" si="2"/>
        <v>Sofia M</v>
      </c>
      <c r="E5">
        <f>IF('Account Creation'!AG5="",FALSE,'Account Creation'!AG5)</f>
        <v>169</v>
      </c>
      <c r="F5">
        <f>IF('Account Creation'!AH5="",FALSE,'Account Creation'!AH5)</f>
        <v>100978</v>
      </c>
      <c r="G5" s="5" t="s">
        <v>397</v>
      </c>
      <c r="H5" t="str">
        <f t="shared" si="3"/>
        <v>vn54tql</v>
      </c>
      <c r="I5">
        <f>'VCC_Vaccine ONLY'!B5</f>
        <v>0</v>
      </c>
      <c r="J5" s="4">
        <f>('Account Creation'!G5 - 25569) * 86400</f>
        <v>1665964800</v>
      </c>
    </row>
    <row r="6" spans="1:10" x14ac:dyDescent="0.25">
      <c r="A6" t="str">
        <f>TRIM('Help Desk'!D6)</f>
        <v>vn54tqn</v>
      </c>
      <c r="B6" t="str">
        <f>TRIM('Account Creation'!B6)</f>
        <v>Guillermo</v>
      </c>
      <c r="C6" t="str">
        <f>TRIM('Account Creation'!D6)</f>
        <v>Zamora</v>
      </c>
      <c r="D6" s="4" t="str">
        <f t="shared" si="2"/>
        <v>Guillermo Z</v>
      </c>
      <c r="E6">
        <f>IF('Account Creation'!AG6="",FALSE,'Account Creation'!AG6)</f>
        <v>169</v>
      </c>
      <c r="F6">
        <f>IF('Account Creation'!AH6="",FALSE,'Account Creation'!AH6)</f>
        <v>100978</v>
      </c>
      <c r="G6" s="5" t="s">
        <v>397</v>
      </c>
      <c r="H6" t="str">
        <f t="shared" si="3"/>
        <v>vn54tqn</v>
      </c>
      <c r="I6">
        <f>'VCC_Vaccine ONLY'!B6</f>
        <v>0</v>
      </c>
      <c r="J6" s="4">
        <f>('Account Creation'!G6 - 25569) * 86400</f>
        <v>1665964800</v>
      </c>
    </row>
    <row r="7" spans="1:10" x14ac:dyDescent="0.25">
      <c r="A7" t="str">
        <f>TRIM('Help Desk'!D7)</f>
        <v>vn54tqo</v>
      </c>
      <c r="B7" t="str">
        <f>TRIM('Account Creation'!B7)</f>
        <v>Katherine</v>
      </c>
      <c r="C7" t="str">
        <f>TRIM('Account Creation'!D7)</f>
        <v>Santizo</v>
      </c>
      <c r="D7" s="4" t="str">
        <f t="shared" si="2"/>
        <v>Katherine S</v>
      </c>
      <c r="E7">
        <f>IF('Account Creation'!AG7="",FALSE,'Account Creation'!AG7)</f>
        <v>169</v>
      </c>
      <c r="F7">
        <f>IF('Account Creation'!AH7="",FALSE,'Account Creation'!AH7)</f>
        <v>100978</v>
      </c>
      <c r="G7" s="5" t="s">
        <v>397</v>
      </c>
      <c r="H7" t="str">
        <f t="shared" si="3"/>
        <v>vn54tqo</v>
      </c>
      <c r="I7">
        <f>'VCC_Vaccine ONLY'!B7</f>
        <v>0</v>
      </c>
      <c r="J7" s="4">
        <f>('Account Creation'!G7 - 25569) * 86400</f>
        <v>1665964800</v>
      </c>
    </row>
    <row r="8" spans="1:10" x14ac:dyDescent="0.25">
      <c r="A8" t="str">
        <f>TRIM('Help Desk'!D8)</f>
        <v>vn54tqq</v>
      </c>
      <c r="B8" t="str">
        <f>TRIM('Account Creation'!B8)</f>
        <v>Josue</v>
      </c>
      <c r="C8" t="str">
        <f>TRIM('Account Creation'!D8)</f>
        <v>Manrique</v>
      </c>
      <c r="D8" s="4" t="str">
        <f t="shared" si="2"/>
        <v>Josue M</v>
      </c>
      <c r="E8">
        <f>IF('Account Creation'!AG8="",FALSE,'Account Creation'!AG8)</f>
        <v>169</v>
      </c>
      <c r="F8">
        <f>IF('Account Creation'!AH8="",FALSE,'Account Creation'!AH8)</f>
        <v>100978</v>
      </c>
      <c r="G8" s="5" t="s">
        <v>397</v>
      </c>
      <c r="H8" t="str">
        <f t="shared" si="3"/>
        <v>vn54tqq</v>
      </c>
      <c r="I8">
        <f>'VCC_Vaccine ONLY'!B8</f>
        <v>0</v>
      </c>
      <c r="J8" s="4">
        <f>('Account Creation'!G8 - 25569) * 86400</f>
        <v>1665964800</v>
      </c>
    </row>
    <row r="9" spans="1:10" x14ac:dyDescent="0.25">
      <c r="A9" t="str">
        <f>TRIM('Help Desk'!D9)</f>
        <v>vn54tqs</v>
      </c>
      <c r="B9" t="str">
        <f>TRIM('Account Creation'!B9)</f>
        <v>Kristtel</v>
      </c>
      <c r="C9" t="str">
        <f>TRIM('Account Creation'!D9)</f>
        <v>Hernandez</v>
      </c>
      <c r="D9" s="4" t="str">
        <f t="shared" si="2"/>
        <v>Kristtel H</v>
      </c>
      <c r="E9">
        <f>IF('Account Creation'!AG9="",FALSE,'Account Creation'!AG9)</f>
        <v>169</v>
      </c>
      <c r="F9">
        <f>IF('Account Creation'!AH9="",FALSE,'Account Creation'!AH9)</f>
        <v>100978</v>
      </c>
      <c r="G9" s="5" t="s">
        <v>397</v>
      </c>
      <c r="H9" t="str">
        <f t="shared" si="3"/>
        <v>vn54tqs</v>
      </c>
      <c r="I9">
        <f>'VCC_Vaccine ONLY'!B9</f>
        <v>0</v>
      </c>
      <c r="J9" s="4">
        <f>('Account Creation'!G9 - 25569) * 86400</f>
        <v>1665964800</v>
      </c>
    </row>
    <row r="10" spans="1:10" x14ac:dyDescent="0.25">
      <c r="A10" t="str">
        <f>TRIM('Help Desk'!D10)</f>
        <v>vn54tqu</v>
      </c>
      <c r="B10" t="str">
        <f>TRIM('Account Creation'!B10)</f>
        <v>Juan</v>
      </c>
      <c r="C10" t="str">
        <f>TRIM('Account Creation'!D10)</f>
        <v>Flores</v>
      </c>
      <c r="D10" s="4" t="str">
        <f t="shared" si="2"/>
        <v>Juan F</v>
      </c>
      <c r="E10">
        <f>IF('Account Creation'!AG10="",FALSE,'Account Creation'!AG10)</f>
        <v>169</v>
      </c>
      <c r="F10">
        <f>IF('Account Creation'!AH10="",FALSE,'Account Creation'!AH10)</f>
        <v>100978</v>
      </c>
      <c r="G10" s="5" t="s">
        <v>397</v>
      </c>
      <c r="H10" t="str">
        <f t="shared" si="3"/>
        <v>vn54tqu</v>
      </c>
      <c r="I10">
        <f>'VCC_Vaccine ONLY'!B10</f>
        <v>0</v>
      </c>
      <c r="J10" s="4">
        <f>('Account Creation'!G10 - 25569) * 86400</f>
        <v>1665964800</v>
      </c>
    </row>
    <row r="11" spans="1:10" x14ac:dyDescent="0.25">
      <c r="A11" t="str">
        <f>TRIM('Help Desk'!D11)</f>
        <v>vn54tqw</v>
      </c>
      <c r="B11" t="str">
        <f>TRIM('Account Creation'!B11)</f>
        <v>Gabriel</v>
      </c>
      <c r="C11" t="str">
        <f>TRIM('Account Creation'!D11)</f>
        <v>Morales</v>
      </c>
      <c r="D11" s="4" t="str">
        <f t="shared" si="2"/>
        <v>Gabriel M</v>
      </c>
      <c r="E11">
        <f>IF('Account Creation'!AG11="",FALSE,'Account Creation'!AG11)</f>
        <v>169</v>
      </c>
      <c r="F11">
        <f>IF('Account Creation'!AH11="",FALSE,'Account Creation'!AH11)</f>
        <v>100978</v>
      </c>
      <c r="G11" s="5" t="s">
        <v>397</v>
      </c>
      <c r="H11" t="str">
        <f t="shared" si="3"/>
        <v>vn54tqw</v>
      </c>
      <c r="I11">
        <f>'VCC_Vaccine ONLY'!B11</f>
        <v>0</v>
      </c>
      <c r="J11" s="4">
        <f>('Account Creation'!G11 - 25569) * 86400</f>
        <v>1665964800</v>
      </c>
    </row>
    <row r="12" spans="1:10" x14ac:dyDescent="0.25">
      <c r="A12" t="str">
        <f>TRIM('Help Desk'!D12)</f>
        <v>vn54tqy</v>
      </c>
      <c r="B12" t="str">
        <f>TRIM('Account Creation'!B12)</f>
        <v>Mercedez</v>
      </c>
      <c r="C12" t="str">
        <f>TRIM('Account Creation'!D12)</f>
        <v>De Leon</v>
      </c>
      <c r="D12" s="4" t="str">
        <f t="shared" si="2"/>
        <v>Mercedez D</v>
      </c>
      <c r="E12">
        <f>IF('Account Creation'!AG12="",FALSE,'Account Creation'!AG12)</f>
        <v>169</v>
      </c>
      <c r="F12">
        <f>IF('Account Creation'!AH12="",FALSE,'Account Creation'!AH12)</f>
        <v>100978</v>
      </c>
      <c r="G12" s="5" t="s">
        <v>397</v>
      </c>
      <c r="H12" t="str">
        <f t="shared" si="3"/>
        <v>vn54tqy</v>
      </c>
      <c r="I12">
        <f>'VCC_Vaccine ONLY'!B12</f>
        <v>0</v>
      </c>
      <c r="J12" s="4">
        <f>('Account Creation'!G12 - 25569) * 86400</f>
        <v>1665964800</v>
      </c>
    </row>
    <row r="13" spans="1:10" x14ac:dyDescent="0.25">
      <c r="A13" t="str">
        <f>TRIM('Help Desk'!D13)</f>
        <v>vn54tr0</v>
      </c>
      <c r="B13" t="str">
        <f>TRIM('Account Creation'!B13)</f>
        <v>Eduardo</v>
      </c>
      <c r="C13" t="str">
        <f>TRIM('Account Creation'!D13)</f>
        <v>Prera</v>
      </c>
      <c r="D13" s="4" t="str">
        <f t="shared" si="2"/>
        <v>Eduardo P</v>
      </c>
      <c r="E13">
        <f>IF('Account Creation'!AG13="",FALSE,'Account Creation'!AG13)</f>
        <v>169</v>
      </c>
      <c r="F13">
        <f>IF('Account Creation'!AH13="",FALSE,'Account Creation'!AH13)</f>
        <v>100978</v>
      </c>
      <c r="G13" s="5" t="s">
        <v>397</v>
      </c>
      <c r="H13" t="str">
        <f t="shared" si="3"/>
        <v>vn54tr0</v>
      </c>
      <c r="I13">
        <f>'VCC_Vaccine ONLY'!B13</f>
        <v>0</v>
      </c>
      <c r="J13" s="4">
        <f>('Account Creation'!G13 - 25569) * 86400</f>
        <v>1665964800</v>
      </c>
    </row>
    <row r="14" spans="1:10" x14ac:dyDescent="0.25">
      <c r="A14" t="str">
        <f>TRIM('Help Desk'!D14)</f>
        <v>vn54tr2</v>
      </c>
      <c r="B14" t="str">
        <f>TRIM('Account Creation'!B14)</f>
        <v>Madelin</v>
      </c>
      <c r="C14" t="str">
        <f>TRIM('Account Creation'!D14)</f>
        <v>Abal</v>
      </c>
      <c r="D14" s="4" t="str">
        <f t="shared" si="2"/>
        <v>Madelin A</v>
      </c>
      <c r="E14">
        <f>IF('Account Creation'!AG14="",FALSE,'Account Creation'!AG14)</f>
        <v>169</v>
      </c>
      <c r="F14">
        <f>IF('Account Creation'!AH14="",FALSE,'Account Creation'!AH14)</f>
        <v>100978</v>
      </c>
      <c r="G14" s="5" t="s">
        <v>397</v>
      </c>
      <c r="H14" t="str">
        <f t="shared" si="3"/>
        <v>vn54tr2</v>
      </c>
      <c r="I14">
        <f>'VCC_Vaccine ONLY'!B14</f>
        <v>0</v>
      </c>
      <c r="J14" s="4">
        <f>('Account Creation'!G14 - 25569) * 86400</f>
        <v>1665964800</v>
      </c>
    </row>
    <row r="15" spans="1:10" x14ac:dyDescent="0.25">
      <c r="A15" t="str">
        <f>TRIM('Help Desk'!D15)</f>
        <v>vn54tr4</v>
      </c>
      <c r="B15" t="str">
        <f>TRIM('Account Creation'!B15)</f>
        <v>Dyana</v>
      </c>
      <c r="C15" t="str">
        <f>TRIM('Account Creation'!D15)</f>
        <v>Calicio</v>
      </c>
      <c r="D15" s="4" t="str">
        <f t="shared" si="2"/>
        <v>Dyana C</v>
      </c>
      <c r="E15">
        <f>IF('Account Creation'!AG15="",FALSE,'Account Creation'!AG15)</f>
        <v>169</v>
      </c>
      <c r="F15">
        <f>IF('Account Creation'!AH15="",FALSE,'Account Creation'!AH15)</f>
        <v>100978</v>
      </c>
      <c r="G15" s="5" t="s">
        <v>397</v>
      </c>
      <c r="H15" t="str">
        <f t="shared" si="3"/>
        <v>vn54tr4</v>
      </c>
      <c r="I15">
        <f>'VCC_Vaccine ONLY'!B15</f>
        <v>0</v>
      </c>
      <c r="J15" s="4">
        <f>('Account Creation'!G15 - 25569) * 86400</f>
        <v>1665964800</v>
      </c>
    </row>
    <row r="16" spans="1:10" x14ac:dyDescent="0.25">
      <c r="A16" t="str">
        <f>TRIM('Help Desk'!D16)</f>
        <v>vn54tr6</v>
      </c>
      <c r="B16" t="str">
        <f>TRIM('Account Creation'!B16)</f>
        <v>Sandra</v>
      </c>
      <c r="C16" t="str">
        <f>TRIM('Account Creation'!D16)</f>
        <v>Arango</v>
      </c>
      <c r="D16" s="4" t="str">
        <f t="shared" si="2"/>
        <v>Sandra A</v>
      </c>
      <c r="E16">
        <f>IF('Account Creation'!AG16="",FALSE,'Account Creation'!AG16)</f>
        <v>169</v>
      </c>
      <c r="F16">
        <f>IF('Account Creation'!AH16="",FALSE,'Account Creation'!AH16)</f>
        <v>100978</v>
      </c>
      <c r="G16" s="5" t="s">
        <v>397</v>
      </c>
      <c r="H16" t="str">
        <f t="shared" si="3"/>
        <v>vn54tr6</v>
      </c>
      <c r="I16">
        <f>'VCC_Vaccine ONLY'!B16</f>
        <v>0</v>
      </c>
      <c r="J16" s="4">
        <f>('Account Creation'!G16 - 25569) * 86400</f>
        <v>1665964800</v>
      </c>
    </row>
    <row r="17" spans="7:10" x14ac:dyDescent="0.25">
      <c r="G17" s="5"/>
      <c r="J17" s="4"/>
    </row>
    <row r="18" spans="7:10" x14ac:dyDescent="0.25">
      <c r="G18" s="5"/>
      <c r="J18" s="4"/>
    </row>
    <row r="19" spans="7:10" x14ac:dyDescent="0.25">
      <c r="G19" s="5"/>
      <c r="J19" s="4"/>
    </row>
    <row r="20" spans="7:10" x14ac:dyDescent="0.25">
      <c r="G20" s="5"/>
      <c r="J20" s="4"/>
    </row>
    <row r="21" spans="7:10" x14ac:dyDescent="0.25">
      <c r="G21" s="5"/>
      <c r="J21" s="4"/>
    </row>
    <row r="22" spans="7:10" x14ac:dyDescent="0.25">
      <c r="G22" s="5"/>
      <c r="J22" s="4"/>
    </row>
    <row r="23" spans="7:10" x14ac:dyDescent="0.25">
      <c r="G23" s="5"/>
      <c r="J23" s="4"/>
    </row>
    <row r="24" spans="7:10" x14ac:dyDescent="0.25">
      <c r="G24" s="5"/>
      <c r="J24" s="4"/>
    </row>
    <row r="25" spans="7:10" x14ac:dyDescent="0.25">
      <c r="G25" s="5"/>
      <c r="J25" s="4"/>
    </row>
    <row r="26" spans="7:10" x14ac:dyDescent="0.25">
      <c r="G26" s="5"/>
      <c r="J26" s="4"/>
    </row>
    <row r="27" spans="7:10" x14ac:dyDescent="0.25">
      <c r="G27" s="5"/>
      <c r="J27" s="4"/>
    </row>
    <row r="28" spans="7:10" x14ac:dyDescent="0.25">
      <c r="G28" s="5"/>
      <c r="J28" s="4"/>
    </row>
    <row r="29" spans="7:10" x14ac:dyDescent="0.25">
      <c r="G29" s="5"/>
      <c r="J29" s="4"/>
    </row>
    <row r="30" spans="7:10" x14ac:dyDescent="0.25">
      <c r="G30" s="5"/>
      <c r="J30" s="4"/>
    </row>
    <row r="31" spans="7:10" x14ac:dyDescent="0.25">
      <c r="G31" s="5"/>
      <c r="J31" s="4"/>
    </row>
    <row r="32" spans="7:10" x14ac:dyDescent="0.25">
      <c r="G32" s="5"/>
      <c r="J32" s="4"/>
    </row>
    <row r="33" spans="7:10" x14ac:dyDescent="0.25">
      <c r="G33" s="5"/>
      <c r="J33" s="4"/>
    </row>
    <row r="34" spans="7:10" x14ac:dyDescent="0.25">
      <c r="G34" s="5"/>
      <c r="J34" s="4"/>
    </row>
    <row r="35" spans="7:10" x14ac:dyDescent="0.25">
      <c r="G35" s="5"/>
      <c r="J35" s="4"/>
    </row>
    <row r="36" spans="7:10" x14ac:dyDescent="0.25">
      <c r="G36" s="5"/>
      <c r="J36" s="4"/>
    </row>
    <row r="37" spans="7:10" x14ac:dyDescent="0.25">
      <c r="G37" s="5"/>
      <c r="J37" s="4"/>
    </row>
    <row r="38" spans="7:10" x14ac:dyDescent="0.25">
      <c r="G38" s="5"/>
      <c r="J38" s="4"/>
    </row>
    <row r="39" spans="7:10" x14ac:dyDescent="0.25">
      <c r="G39" s="5"/>
      <c r="J39" s="4"/>
    </row>
    <row r="40" spans="7:10" x14ac:dyDescent="0.25">
      <c r="G40" s="5"/>
      <c r="J40" s="4"/>
    </row>
    <row r="41" spans="7:10" x14ac:dyDescent="0.25">
      <c r="G41" s="5"/>
      <c r="J41" s="4"/>
    </row>
    <row r="42" spans="7:10" x14ac:dyDescent="0.25">
      <c r="G42" s="5"/>
      <c r="J42" s="4"/>
    </row>
    <row r="43" spans="7:10" x14ac:dyDescent="0.25">
      <c r="G43" s="5"/>
      <c r="J43" s="4"/>
    </row>
    <row r="44" spans="7:10" x14ac:dyDescent="0.25">
      <c r="G44" s="5"/>
      <c r="J44" s="4"/>
    </row>
    <row r="45" spans="7:10" x14ac:dyDescent="0.25">
      <c r="G45" s="5"/>
      <c r="J45" s="4"/>
    </row>
    <row r="46" spans="7:10" x14ac:dyDescent="0.25">
      <c r="G46" s="5"/>
      <c r="J46" s="4"/>
    </row>
    <row r="47" spans="7:10" x14ac:dyDescent="0.25">
      <c r="G47" s="5"/>
      <c r="J47" s="4"/>
    </row>
    <row r="48" spans="7:10" x14ac:dyDescent="0.25">
      <c r="G48" s="5"/>
      <c r="J48" s="4"/>
    </row>
    <row r="49" spans="7:10" x14ac:dyDescent="0.25">
      <c r="G49" s="5"/>
      <c r="J49" s="4"/>
    </row>
    <row r="50" spans="7:10" x14ac:dyDescent="0.25">
      <c r="G50" s="5"/>
      <c r="J50" s="4"/>
    </row>
    <row r="51" spans="7:10" x14ac:dyDescent="0.25">
      <c r="G51" s="5"/>
      <c r="J51" s="4"/>
    </row>
    <row r="52" spans="7:10" x14ac:dyDescent="0.25">
      <c r="G52" s="5"/>
      <c r="J52" s="4"/>
    </row>
    <row r="53" spans="7:10" x14ac:dyDescent="0.25">
      <c r="G53" s="5"/>
      <c r="J53" s="4"/>
    </row>
    <row r="54" spans="7:10" x14ac:dyDescent="0.25">
      <c r="G54" s="5"/>
      <c r="J54" s="4"/>
    </row>
    <row r="55" spans="7:10" x14ac:dyDescent="0.25">
      <c r="G55" s="5"/>
      <c r="J55" s="4"/>
    </row>
    <row r="56" spans="7:10" x14ac:dyDescent="0.25">
      <c r="G56" s="5"/>
      <c r="J56" s="4"/>
    </row>
    <row r="57" spans="7:10" x14ac:dyDescent="0.25">
      <c r="G57" s="5"/>
      <c r="J57" s="4"/>
    </row>
    <row r="58" spans="7:10" x14ac:dyDescent="0.25">
      <c r="G58" s="5"/>
      <c r="J58" s="4"/>
    </row>
    <row r="59" spans="7:10" x14ac:dyDescent="0.25">
      <c r="G59" s="5"/>
      <c r="J59" s="4"/>
    </row>
    <row r="60" spans="7:10" x14ac:dyDescent="0.25">
      <c r="G60" s="5"/>
      <c r="J60" s="4"/>
    </row>
    <row r="61" spans="7:10" x14ac:dyDescent="0.25">
      <c r="G61" s="5"/>
      <c r="J61" s="4"/>
    </row>
    <row r="62" spans="7:10" x14ac:dyDescent="0.25">
      <c r="G62" s="5"/>
      <c r="J62" s="4"/>
    </row>
    <row r="63" spans="7:10" x14ac:dyDescent="0.25">
      <c r="G63" s="5"/>
      <c r="J63" s="4"/>
    </row>
    <row r="64" spans="7:10" x14ac:dyDescent="0.25">
      <c r="G64" s="5"/>
      <c r="J64" s="4"/>
    </row>
    <row r="65" spans="7:10" x14ac:dyDescent="0.25">
      <c r="G65" s="5"/>
      <c r="J65" s="4"/>
    </row>
    <row r="66" spans="7:10" x14ac:dyDescent="0.25">
      <c r="G66" s="5"/>
      <c r="J66" s="4"/>
    </row>
    <row r="67" spans="7:10" x14ac:dyDescent="0.25">
      <c r="G67" s="5"/>
      <c r="J67" s="4"/>
    </row>
    <row r="68" spans="7:10" x14ac:dyDescent="0.25">
      <c r="G68" s="5"/>
      <c r="J68" s="4"/>
    </row>
    <row r="69" spans="7:10" x14ac:dyDescent="0.25">
      <c r="G69" s="5"/>
      <c r="J69" s="4"/>
    </row>
    <row r="70" spans="7:10" x14ac:dyDescent="0.25">
      <c r="G70" s="5"/>
      <c r="J70" s="4"/>
    </row>
    <row r="71" spans="7:10" x14ac:dyDescent="0.25">
      <c r="G71" s="5"/>
      <c r="J71" s="4"/>
    </row>
    <row r="72" spans="7:10" x14ac:dyDescent="0.25">
      <c r="G72" s="5"/>
      <c r="J72" s="4"/>
    </row>
    <row r="73" spans="7:10" x14ac:dyDescent="0.25">
      <c r="G73" s="5"/>
      <c r="J73" s="4"/>
    </row>
    <row r="74" spans="7:10" x14ac:dyDescent="0.25">
      <c r="G74" s="5"/>
      <c r="J74" s="4"/>
    </row>
    <row r="75" spans="7:10" x14ac:dyDescent="0.25">
      <c r="G75" s="5"/>
      <c r="J75" s="4"/>
    </row>
    <row r="76" spans="7:10" x14ac:dyDescent="0.25">
      <c r="G76" s="5"/>
      <c r="J76" s="4"/>
    </row>
    <row r="77" spans="7:10" x14ac:dyDescent="0.25">
      <c r="G77" s="5"/>
      <c r="J77" s="4"/>
    </row>
    <row r="78" spans="7:10" x14ac:dyDescent="0.25">
      <c r="G78" s="5"/>
      <c r="J78" s="4"/>
    </row>
    <row r="79" spans="7:10" x14ac:dyDescent="0.25">
      <c r="G79" s="5"/>
      <c r="J79" s="4"/>
    </row>
    <row r="80" spans="7:10" x14ac:dyDescent="0.25">
      <c r="G80" s="5"/>
      <c r="J80" s="4"/>
    </row>
    <row r="81" spans="7:10" x14ac:dyDescent="0.25">
      <c r="G81" s="5"/>
      <c r="J81" s="4"/>
    </row>
    <row r="82" spans="7:10" x14ac:dyDescent="0.25">
      <c r="G82" s="5"/>
      <c r="J82" s="4"/>
    </row>
    <row r="83" spans="7:10" x14ac:dyDescent="0.25">
      <c r="G83" s="5"/>
      <c r="J83" s="4"/>
    </row>
    <row r="84" spans="7:10" x14ac:dyDescent="0.25">
      <c r="G84" s="5"/>
      <c r="J84" s="4"/>
    </row>
    <row r="85" spans="7:10" x14ac:dyDescent="0.25">
      <c r="G85" s="5"/>
      <c r="J85" s="4"/>
    </row>
    <row r="86" spans="7:10" x14ac:dyDescent="0.25">
      <c r="G86" s="5"/>
      <c r="J86" s="4"/>
    </row>
    <row r="87" spans="7:10" x14ac:dyDescent="0.25">
      <c r="G87" s="5"/>
      <c r="J87" s="4"/>
    </row>
    <row r="88" spans="7:10" x14ac:dyDescent="0.25">
      <c r="G88" s="5"/>
      <c r="J88" s="4"/>
    </row>
    <row r="89" spans="7:10" x14ac:dyDescent="0.25">
      <c r="G89" s="5"/>
      <c r="J89" s="4"/>
    </row>
    <row r="90" spans="7:10" x14ac:dyDescent="0.25">
      <c r="G90" s="5"/>
      <c r="J90" s="4"/>
    </row>
    <row r="91" spans="7:10" x14ac:dyDescent="0.25">
      <c r="G91" s="5"/>
      <c r="J91" s="4"/>
    </row>
    <row r="92" spans="7:10" x14ac:dyDescent="0.25">
      <c r="G92" s="5"/>
      <c r="J92" s="4"/>
    </row>
    <row r="93" spans="7:10" x14ac:dyDescent="0.25">
      <c r="G93" s="5"/>
      <c r="J93" s="4"/>
    </row>
    <row r="94" spans="7:10" x14ac:dyDescent="0.25">
      <c r="G94" s="5"/>
      <c r="J94" s="4"/>
    </row>
    <row r="95" spans="7:10" x14ac:dyDescent="0.25">
      <c r="G95" s="5"/>
      <c r="J95" s="4"/>
    </row>
    <row r="96" spans="7:10" x14ac:dyDescent="0.25">
      <c r="G96" s="5"/>
      <c r="J96" s="4"/>
    </row>
    <row r="97" spans="7:10" x14ac:dyDescent="0.25">
      <c r="G97" s="5"/>
      <c r="J97" s="4"/>
    </row>
    <row r="98" spans="7:10" x14ac:dyDescent="0.25">
      <c r="G98" s="5"/>
      <c r="J98" s="4"/>
    </row>
    <row r="99" spans="7:10" x14ac:dyDescent="0.25">
      <c r="G99" s="5"/>
      <c r="J99" s="4"/>
    </row>
    <row r="100" spans="7:10" x14ac:dyDescent="0.25">
      <c r="G100" s="5"/>
      <c r="J100" s="4"/>
    </row>
    <row r="101" spans="7:10" x14ac:dyDescent="0.25">
      <c r="G101" s="5"/>
      <c r="J101" s="4"/>
    </row>
    <row r="102" spans="7:10" x14ac:dyDescent="0.25">
      <c r="G102" s="5"/>
      <c r="J102" s="4"/>
    </row>
    <row r="103" spans="7:10" x14ac:dyDescent="0.25">
      <c r="G103" s="5"/>
      <c r="J103" s="4"/>
    </row>
    <row r="104" spans="7:10" x14ac:dyDescent="0.25">
      <c r="G104" s="5"/>
      <c r="J104" s="4"/>
    </row>
    <row r="105" spans="7:10" x14ac:dyDescent="0.25">
      <c r="G105" s="5"/>
      <c r="J105" s="4"/>
    </row>
    <row r="106" spans="7:10" x14ac:dyDescent="0.25">
      <c r="G106" s="5"/>
      <c r="J106" s="4"/>
    </row>
    <row r="107" spans="7:10" x14ac:dyDescent="0.25">
      <c r="G107" s="5"/>
      <c r="J107" s="4"/>
    </row>
    <row r="108" spans="7:10" x14ac:dyDescent="0.25">
      <c r="G108" s="5"/>
      <c r="J108" s="4"/>
    </row>
    <row r="109" spans="7:10" x14ac:dyDescent="0.25">
      <c r="G109" s="5"/>
      <c r="J109" s="4"/>
    </row>
    <row r="110" spans="7:10" x14ac:dyDescent="0.25">
      <c r="G110" s="5"/>
      <c r="J110" s="4"/>
    </row>
    <row r="111" spans="7:10" x14ac:dyDescent="0.25">
      <c r="G111" s="5"/>
      <c r="J111" s="4"/>
    </row>
    <row r="112" spans="7:10" x14ac:dyDescent="0.25">
      <c r="G112" s="5"/>
      <c r="J112" s="4"/>
    </row>
    <row r="113" spans="7:10" x14ac:dyDescent="0.25">
      <c r="G113" s="5"/>
      <c r="J113" s="4"/>
    </row>
    <row r="114" spans="7:10" x14ac:dyDescent="0.25">
      <c r="G114" s="5"/>
      <c r="J114" s="4"/>
    </row>
    <row r="115" spans="7:10" x14ac:dyDescent="0.25">
      <c r="G115" s="5"/>
      <c r="J115" s="4"/>
    </row>
    <row r="116" spans="7:10" x14ac:dyDescent="0.25">
      <c r="G116" s="5"/>
      <c r="J116" s="4"/>
    </row>
    <row r="117" spans="7:10" x14ac:dyDescent="0.25">
      <c r="G117" s="5"/>
      <c r="J117" s="4"/>
    </row>
    <row r="118" spans="7:10" x14ac:dyDescent="0.25">
      <c r="G118" s="5"/>
      <c r="J118" s="4"/>
    </row>
    <row r="119" spans="7:10" x14ac:dyDescent="0.25">
      <c r="G119" s="5"/>
      <c r="J119" s="4"/>
    </row>
    <row r="120" spans="7:10" x14ac:dyDescent="0.25">
      <c r="G120" s="5"/>
      <c r="J120" s="4"/>
    </row>
    <row r="121" spans="7:10" x14ac:dyDescent="0.25">
      <c r="G121" s="5"/>
      <c r="J121" s="4"/>
    </row>
    <row r="122" spans="7:10" x14ac:dyDescent="0.25">
      <c r="G122" s="5"/>
      <c r="J122" s="4"/>
    </row>
    <row r="123" spans="7:10" x14ac:dyDescent="0.25">
      <c r="G123" s="5"/>
      <c r="J123" s="4"/>
    </row>
    <row r="124" spans="7:10" x14ac:dyDescent="0.25">
      <c r="G124" s="5"/>
      <c r="J124" s="4"/>
    </row>
    <row r="125" spans="7:10" x14ac:dyDescent="0.25">
      <c r="G125" s="5"/>
      <c r="J125" s="4"/>
    </row>
    <row r="126" spans="7:10" x14ac:dyDescent="0.25">
      <c r="G126" s="5"/>
      <c r="J126" s="4"/>
    </row>
    <row r="127" spans="7:10" x14ac:dyDescent="0.25">
      <c r="G127" s="5"/>
      <c r="J127" s="4"/>
    </row>
    <row r="128" spans="7:10" x14ac:dyDescent="0.25">
      <c r="G128" s="5"/>
      <c r="J128" s="4"/>
    </row>
    <row r="129" spans="7:10" x14ac:dyDescent="0.25">
      <c r="G129" s="5"/>
      <c r="J129" s="4"/>
    </row>
    <row r="130" spans="7:10" x14ac:dyDescent="0.25">
      <c r="G130" s="5"/>
      <c r="J130" s="4"/>
    </row>
    <row r="131" spans="7:10" x14ac:dyDescent="0.25">
      <c r="G131" s="5"/>
      <c r="J131" s="4"/>
    </row>
    <row r="132" spans="7:10" x14ac:dyDescent="0.25">
      <c r="G132" s="5"/>
      <c r="J132" s="4"/>
    </row>
    <row r="133" spans="7:10" x14ac:dyDescent="0.25">
      <c r="G133" s="5"/>
      <c r="J133" s="4"/>
    </row>
    <row r="134" spans="7:10" x14ac:dyDescent="0.25">
      <c r="G134" s="5"/>
      <c r="J134" s="4"/>
    </row>
    <row r="135" spans="7:10" x14ac:dyDescent="0.25">
      <c r="G135" s="5"/>
      <c r="J135" s="4"/>
    </row>
    <row r="136" spans="7:10" x14ac:dyDescent="0.25">
      <c r="G136" s="5"/>
      <c r="J136" s="4"/>
    </row>
    <row r="137" spans="7:10" x14ac:dyDescent="0.25">
      <c r="G137" s="5"/>
      <c r="J137" s="4"/>
    </row>
    <row r="138" spans="7:10" x14ac:dyDescent="0.25">
      <c r="G138" s="5"/>
      <c r="J138" s="4"/>
    </row>
    <row r="139" spans="7:10" x14ac:dyDescent="0.25">
      <c r="G139" s="5"/>
      <c r="J139" s="4"/>
    </row>
    <row r="140" spans="7:10" x14ac:dyDescent="0.25">
      <c r="G140" s="5"/>
      <c r="J140" s="4"/>
    </row>
    <row r="141" spans="7:10" x14ac:dyDescent="0.25">
      <c r="G141" s="5"/>
      <c r="J141" s="4"/>
    </row>
    <row r="142" spans="7:10" x14ac:dyDescent="0.25">
      <c r="G142" s="5"/>
      <c r="J142" s="4"/>
    </row>
    <row r="143" spans="7:10" x14ac:dyDescent="0.25">
      <c r="G143" s="5"/>
      <c r="J143" s="4"/>
    </row>
    <row r="144" spans="7:10" x14ac:dyDescent="0.25">
      <c r="G144" s="5"/>
      <c r="J144" s="4"/>
    </row>
    <row r="145" spans="7:10" x14ac:dyDescent="0.25">
      <c r="G145" s="5"/>
      <c r="J145" s="4"/>
    </row>
    <row r="146" spans="7:10" x14ac:dyDescent="0.25">
      <c r="G146" s="5"/>
      <c r="J146" s="4"/>
    </row>
    <row r="147" spans="7:10" x14ac:dyDescent="0.25">
      <c r="G147" s="5"/>
      <c r="J147" s="4"/>
    </row>
    <row r="148" spans="7:10" x14ac:dyDescent="0.25">
      <c r="G148" s="5"/>
      <c r="J148" s="4"/>
    </row>
    <row r="149" spans="7:10" x14ac:dyDescent="0.25">
      <c r="G149" s="5"/>
      <c r="J149" s="4"/>
    </row>
    <row r="150" spans="7:10" x14ac:dyDescent="0.25">
      <c r="G150" s="5"/>
      <c r="J150" s="4"/>
    </row>
    <row r="151" spans="7:10" x14ac:dyDescent="0.25">
      <c r="G151" s="5"/>
      <c r="J151" s="4"/>
    </row>
    <row r="152" spans="7:10" x14ac:dyDescent="0.25">
      <c r="G152" s="5"/>
      <c r="J152" s="4"/>
    </row>
    <row r="153" spans="7:10" x14ac:dyDescent="0.25">
      <c r="G153" s="5"/>
      <c r="J153" s="4"/>
    </row>
    <row r="154" spans="7:10" x14ac:dyDescent="0.25">
      <c r="G154" s="5"/>
      <c r="J154" s="4"/>
    </row>
    <row r="155" spans="7:10" x14ac:dyDescent="0.25">
      <c r="G155" s="5"/>
      <c r="J155" s="4"/>
    </row>
    <row r="156" spans="7:10" x14ac:dyDescent="0.25">
      <c r="G156" s="5"/>
      <c r="J156" s="4"/>
    </row>
    <row r="157" spans="7:10" x14ac:dyDescent="0.25">
      <c r="G157" s="5"/>
      <c r="J157" s="4"/>
    </row>
    <row r="158" spans="7:10" x14ac:dyDescent="0.25">
      <c r="G158" s="5"/>
      <c r="J158" s="4"/>
    </row>
    <row r="159" spans="7:10" x14ac:dyDescent="0.25">
      <c r="G159" s="5"/>
      <c r="J159" s="4"/>
    </row>
    <row r="160" spans="7:10" x14ac:dyDescent="0.25">
      <c r="G160" s="5"/>
      <c r="J160" s="4"/>
    </row>
    <row r="161" spans="7:10" x14ac:dyDescent="0.25">
      <c r="G161" s="5"/>
      <c r="J161" s="4"/>
    </row>
    <row r="162" spans="7:10" x14ac:dyDescent="0.25">
      <c r="G162" s="5"/>
      <c r="J162" s="4"/>
    </row>
    <row r="163" spans="7:10" x14ac:dyDescent="0.25">
      <c r="G163" s="5"/>
      <c r="J163" s="4"/>
    </row>
    <row r="164" spans="7:10" x14ac:dyDescent="0.25">
      <c r="G164" s="5"/>
      <c r="J164" s="4"/>
    </row>
    <row r="165" spans="7:10" x14ac:dyDescent="0.25">
      <c r="G165" s="5"/>
      <c r="J165" s="4"/>
    </row>
    <row r="166" spans="7:10" x14ac:dyDescent="0.25">
      <c r="G166" s="5"/>
      <c r="J166" s="4"/>
    </row>
    <row r="167" spans="7:10" x14ac:dyDescent="0.25">
      <c r="G167" s="5"/>
      <c r="J167" s="4"/>
    </row>
    <row r="168" spans="7:10" x14ac:dyDescent="0.25">
      <c r="G168" s="5"/>
      <c r="J168" s="4"/>
    </row>
    <row r="169" spans="7:10" x14ac:dyDescent="0.25">
      <c r="G169" s="5"/>
      <c r="J169" s="4"/>
    </row>
    <row r="170" spans="7:10" x14ac:dyDescent="0.25">
      <c r="G170" s="5"/>
      <c r="J170" s="4"/>
    </row>
    <row r="171" spans="7:10" x14ac:dyDescent="0.25">
      <c r="G171" s="5"/>
      <c r="J171" s="4"/>
    </row>
    <row r="172" spans="7:10" x14ac:dyDescent="0.25">
      <c r="G172" s="5"/>
      <c r="J172" s="4"/>
    </row>
    <row r="173" spans="7:10" x14ac:dyDescent="0.25">
      <c r="G173" s="5"/>
      <c r="J173" s="4"/>
    </row>
    <row r="174" spans="7:10" x14ac:dyDescent="0.25">
      <c r="G174" s="5"/>
      <c r="J174" s="4"/>
    </row>
    <row r="175" spans="7:10" x14ac:dyDescent="0.25">
      <c r="G175" s="5"/>
      <c r="J175" s="4"/>
    </row>
    <row r="176" spans="7:10" x14ac:dyDescent="0.25">
      <c r="G176" s="5"/>
      <c r="J176" s="4"/>
    </row>
    <row r="177" spans="7:10" x14ac:dyDescent="0.25">
      <c r="G177" s="5"/>
      <c r="J177" s="4"/>
    </row>
    <row r="178" spans="7:10" x14ac:dyDescent="0.25">
      <c r="G178" s="5"/>
      <c r="J178" s="4"/>
    </row>
    <row r="179" spans="7:10" x14ac:dyDescent="0.25">
      <c r="G179" s="5"/>
      <c r="J179" s="4"/>
    </row>
    <row r="180" spans="7:10" x14ac:dyDescent="0.25">
      <c r="G180" s="5"/>
      <c r="J180" s="4"/>
    </row>
    <row r="181" spans="7:10" x14ac:dyDescent="0.25">
      <c r="G181" s="5"/>
      <c r="J181" s="4"/>
    </row>
    <row r="182" spans="7:10" x14ac:dyDescent="0.25">
      <c r="G182" s="5"/>
      <c r="J182" s="4"/>
    </row>
    <row r="183" spans="7:10" x14ac:dyDescent="0.25">
      <c r="G183" s="5"/>
      <c r="J183" s="4"/>
    </row>
    <row r="184" spans="7:10" x14ac:dyDescent="0.25">
      <c r="G184" s="5"/>
      <c r="J184" s="4"/>
    </row>
    <row r="185" spans="7:10" x14ac:dyDescent="0.25">
      <c r="G185" s="5"/>
      <c r="J185" s="4"/>
    </row>
    <row r="186" spans="7:10" x14ac:dyDescent="0.25">
      <c r="G186" s="5"/>
      <c r="J186" s="4"/>
    </row>
    <row r="187" spans="7:10" x14ac:dyDescent="0.25">
      <c r="G187" s="5"/>
      <c r="J187" s="4"/>
    </row>
    <row r="188" spans="7:10" x14ac:dyDescent="0.25">
      <c r="G188" s="5"/>
      <c r="J188" s="4"/>
    </row>
    <row r="189" spans="7:10" x14ac:dyDescent="0.25">
      <c r="G189" s="5"/>
      <c r="J189" s="4"/>
    </row>
    <row r="190" spans="7:10" x14ac:dyDescent="0.25">
      <c r="G190" s="5"/>
      <c r="J190" s="4"/>
    </row>
    <row r="191" spans="7:10" x14ac:dyDescent="0.25">
      <c r="G191" s="5"/>
      <c r="J191" s="4"/>
    </row>
    <row r="192" spans="7:10" x14ac:dyDescent="0.25">
      <c r="G192" s="5"/>
      <c r="J192" s="4"/>
    </row>
    <row r="193" spans="7:10" x14ac:dyDescent="0.25">
      <c r="G193" s="5"/>
      <c r="J193" s="4"/>
    </row>
    <row r="194" spans="7:10" x14ac:dyDescent="0.25">
      <c r="G194" s="5"/>
      <c r="J194" s="4"/>
    </row>
    <row r="195" spans="7:10" x14ac:dyDescent="0.25">
      <c r="G195" s="5"/>
      <c r="J195" s="4"/>
    </row>
    <row r="196" spans="7:10" x14ac:dyDescent="0.25">
      <c r="G196" s="5"/>
      <c r="J196" s="4"/>
    </row>
    <row r="197" spans="7:10" x14ac:dyDescent="0.25">
      <c r="G197" s="5"/>
      <c r="J197" s="4"/>
    </row>
    <row r="198" spans="7:10" x14ac:dyDescent="0.25">
      <c r="G198" s="5"/>
      <c r="J198" s="4"/>
    </row>
    <row r="199" spans="7:10" x14ac:dyDescent="0.25">
      <c r="G199" s="5"/>
      <c r="J199" s="4"/>
    </row>
    <row r="200" spans="7:10" x14ac:dyDescent="0.25">
      <c r="G200" s="5"/>
      <c r="J200" s="4"/>
    </row>
    <row r="201" spans="7:10" x14ac:dyDescent="0.25">
      <c r="G201" s="5"/>
      <c r="J201" s="4"/>
    </row>
    <row r="202" spans="7:10" x14ac:dyDescent="0.25">
      <c r="G202" s="5"/>
      <c r="J202" s="4"/>
    </row>
    <row r="203" spans="7:10" x14ac:dyDescent="0.25">
      <c r="G203" s="5"/>
      <c r="J203" s="4"/>
    </row>
    <row r="204" spans="7:10" x14ac:dyDescent="0.25">
      <c r="G204" s="5"/>
      <c r="J204" s="4"/>
    </row>
    <row r="205" spans="7:10" x14ac:dyDescent="0.25">
      <c r="G205" s="5"/>
      <c r="J205" s="4"/>
    </row>
    <row r="206" spans="7:10" x14ac:dyDescent="0.25">
      <c r="G206" s="5"/>
      <c r="J206" s="4"/>
    </row>
    <row r="207" spans="7:10" x14ac:dyDescent="0.25">
      <c r="G207" s="5"/>
      <c r="J207" s="4"/>
    </row>
    <row r="208" spans="7:10" x14ac:dyDescent="0.25">
      <c r="G208" s="5"/>
      <c r="J208" s="4"/>
    </row>
    <row r="209" spans="7:10" x14ac:dyDescent="0.25">
      <c r="G209" s="5"/>
      <c r="J209" s="4"/>
    </row>
    <row r="210" spans="7:10" x14ac:dyDescent="0.25">
      <c r="G210" s="5"/>
      <c r="J210" s="4"/>
    </row>
    <row r="211" spans="7:10" x14ac:dyDescent="0.25">
      <c r="G211" s="5"/>
      <c r="J211" s="4"/>
    </row>
    <row r="212" spans="7:10" x14ac:dyDescent="0.25">
      <c r="G212" s="5"/>
      <c r="J212" s="4"/>
    </row>
    <row r="213" spans="7:10" x14ac:dyDescent="0.25">
      <c r="G213" s="5"/>
      <c r="J213" s="4"/>
    </row>
    <row r="214" spans="7:10" x14ac:dyDescent="0.25">
      <c r="G214" s="5"/>
      <c r="J214" s="4"/>
    </row>
    <row r="215" spans="7:10" x14ac:dyDescent="0.25">
      <c r="G215" s="5"/>
      <c r="J215" s="4"/>
    </row>
    <row r="216" spans="7:10" x14ac:dyDescent="0.25">
      <c r="G216" s="5"/>
      <c r="J216" s="4"/>
    </row>
    <row r="217" spans="7:10" x14ac:dyDescent="0.25">
      <c r="G217" s="5"/>
      <c r="J217" s="4"/>
    </row>
    <row r="218" spans="7:10" x14ac:dyDescent="0.25">
      <c r="G218" s="5"/>
      <c r="J218" s="4"/>
    </row>
    <row r="219" spans="7:10" x14ac:dyDescent="0.25">
      <c r="G219" s="5"/>
      <c r="J219" s="4"/>
    </row>
    <row r="220" spans="7:10" x14ac:dyDescent="0.25">
      <c r="G220" s="5"/>
      <c r="J220" s="4"/>
    </row>
    <row r="221" spans="7:10" x14ac:dyDescent="0.25">
      <c r="G221" s="5"/>
      <c r="J221" s="4"/>
    </row>
    <row r="222" spans="7:10" x14ac:dyDescent="0.25">
      <c r="G222" s="5"/>
      <c r="J222" s="4"/>
    </row>
    <row r="223" spans="7:10" x14ac:dyDescent="0.25">
      <c r="G223" s="5"/>
      <c r="J223" s="4"/>
    </row>
    <row r="224" spans="7:10" x14ac:dyDescent="0.25">
      <c r="G224" s="5"/>
      <c r="J224" s="4"/>
    </row>
    <row r="225" spans="7:10" x14ac:dyDescent="0.25">
      <c r="G225" s="5"/>
      <c r="J225" s="4"/>
    </row>
    <row r="226" spans="7:10" x14ac:dyDescent="0.25">
      <c r="G226" s="5"/>
      <c r="J226" s="4"/>
    </row>
    <row r="227" spans="7:10" x14ac:dyDescent="0.25">
      <c r="G227" s="5"/>
      <c r="J227" s="4"/>
    </row>
    <row r="228" spans="7:10" x14ac:dyDescent="0.25">
      <c r="G228" s="5"/>
      <c r="J228" s="4"/>
    </row>
    <row r="229" spans="7:10" x14ac:dyDescent="0.25">
      <c r="G229" s="5"/>
      <c r="J229" s="4"/>
    </row>
    <row r="230" spans="7:10" x14ac:dyDescent="0.25">
      <c r="G230" s="5"/>
      <c r="J230" s="4"/>
    </row>
    <row r="231" spans="7:10" x14ac:dyDescent="0.25">
      <c r="G231" s="5"/>
      <c r="J231" s="4"/>
    </row>
    <row r="232" spans="7:10" x14ac:dyDescent="0.25">
      <c r="G232" s="5"/>
      <c r="J232" s="4"/>
    </row>
    <row r="233" spans="7:10" x14ac:dyDescent="0.25">
      <c r="G233" s="5"/>
      <c r="J233" s="4"/>
    </row>
    <row r="234" spans="7:10" x14ac:dyDescent="0.25">
      <c r="G234" s="5"/>
      <c r="J234" s="4"/>
    </row>
    <row r="235" spans="7:10" x14ac:dyDescent="0.25">
      <c r="G235" s="5"/>
      <c r="J235" s="4"/>
    </row>
    <row r="236" spans="7:10" x14ac:dyDescent="0.25">
      <c r="G236" s="5"/>
      <c r="J236" s="4"/>
    </row>
    <row r="237" spans="7:10" x14ac:dyDescent="0.25">
      <c r="G237" s="5"/>
      <c r="J237" s="4"/>
    </row>
    <row r="238" spans="7:10" x14ac:dyDescent="0.25">
      <c r="G238" s="5"/>
      <c r="J238" s="4"/>
    </row>
    <row r="239" spans="7:10" x14ac:dyDescent="0.25">
      <c r="G239" s="5"/>
      <c r="J239" s="4"/>
    </row>
    <row r="240" spans="7:10" x14ac:dyDescent="0.25">
      <c r="G240" s="5"/>
      <c r="J240" s="4"/>
    </row>
    <row r="241" spans="7:10" x14ac:dyDescent="0.25">
      <c r="G241" s="5"/>
      <c r="J241" s="4"/>
    </row>
    <row r="242" spans="7:10" x14ac:dyDescent="0.25">
      <c r="G242" s="5"/>
      <c r="J242" s="4"/>
    </row>
    <row r="243" spans="7:10" x14ac:dyDescent="0.25">
      <c r="G243" s="5"/>
      <c r="J243" s="4"/>
    </row>
    <row r="244" spans="7:10" x14ac:dyDescent="0.25">
      <c r="G244" s="5"/>
      <c r="J244" s="4"/>
    </row>
    <row r="245" spans="7:10" x14ac:dyDescent="0.25">
      <c r="G245" s="5"/>
      <c r="J245" s="4"/>
    </row>
    <row r="246" spans="7:10" x14ac:dyDescent="0.25">
      <c r="G246" s="5"/>
      <c r="J246" s="4"/>
    </row>
    <row r="247" spans="7:10" x14ac:dyDescent="0.25">
      <c r="G247" s="5"/>
      <c r="J247" s="4"/>
    </row>
    <row r="248" spans="7:10" x14ac:dyDescent="0.25">
      <c r="G248" s="5"/>
      <c r="J248" s="4"/>
    </row>
    <row r="249" spans="7:10" x14ac:dyDescent="0.25">
      <c r="G249" s="5"/>
      <c r="J249" s="4"/>
    </row>
    <row r="250" spans="7:10" x14ac:dyDescent="0.25">
      <c r="G250" s="5"/>
      <c r="J250" s="4"/>
    </row>
  </sheetData>
  <conditionalFormatting sqref="J1:J1048576">
    <cfRule type="cellIs" dxfId="20" priority="2" operator="equal">
      <formula>-2209161600</formula>
    </cfRule>
  </conditionalFormatting>
  <conditionalFormatting sqref="D1:D1048576">
    <cfRule type="cellIs" dxfId="19" priority="1" operator="equal">
      <formula>"0 0"</formula>
    </cfRule>
  </conditionalFormatting>
  <hyperlinks>
    <hyperlink ref="G2" r:id="rId1" xr:uid="{1E535CE5-9F90-4B7E-B671-52B341519DCB}"/>
    <hyperlink ref="G10" r:id="rId2" xr:uid="{89A09577-FD3C-43C8-9961-FD9EFA5E40F9}"/>
    <hyperlink ref="G14" r:id="rId3" xr:uid="{5552BF67-CE79-4A28-8E38-34982CB1C12D}"/>
    <hyperlink ref="G7" r:id="rId4" xr:uid="{6A3413F1-AB3D-4B17-9C57-51584A32F9DD}"/>
    <hyperlink ref="G11" r:id="rId5" xr:uid="{C9D1CFE0-56B8-4CB9-9997-112F2AB4C723}"/>
    <hyperlink ref="G15" r:id="rId6" xr:uid="{400377E1-1102-4C01-89ED-38295FDBA0F6}"/>
    <hyperlink ref="G8" r:id="rId7" xr:uid="{801B45DB-80ED-4C79-A647-D4E0F871072F}"/>
    <hyperlink ref="G12" r:id="rId8" xr:uid="{F5C0C348-9662-45AA-B30A-5256A1BC57AE}"/>
    <hyperlink ref="G16" r:id="rId9" xr:uid="{FF547376-724D-4B68-8C79-A194E2138629}"/>
    <hyperlink ref="G9" r:id="rId10" xr:uid="{320A9D1C-4457-448C-83AC-5AA6D6E0D423}"/>
    <hyperlink ref="G13" r:id="rId11" xr:uid="{FE6F00E9-8558-41A6-9CB7-FD2AC20110D0}"/>
    <hyperlink ref="G3" r:id="rId12" xr:uid="{1D239CA8-B4F1-4FAF-B004-56923D34E4A6}"/>
    <hyperlink ref="G4" r:id="rId13" xr:uid="{03E6142C-7AFD-4663-A6FF-77F4B0507D11}"/>
    <hyperlink ref="G5" r:id="rId14" xr:uid="{2BD375AC-E16F-4B4D-AA06-C9765F735627}"/>
    <hyperlink ref="G6" r:id="rId15" xr:uid="{E6A805A1-B244-4D82-82AC-15985117056B}"/>
  </hyperlinks>
  <pageMargins left="0.7" right="0.7" top="0.75" bottom="0.75" header="0.3" footer="0.3"/>
  <pageSetup orientation="portrait" r:id="rId1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8BB7B-8CEC-4EE9-9D33-3B65CDF17DF4}">
  <sheetPr codeName="Sheet6"/>
  <dimension ref="A1:AZ251"/>
  <sheetViews>
    <sheetView workbookViewId="0">
      <selection activeCell="A17" sqref="A17:XFD252"/>
    </sheetView>
  </sheetViews>
  <sheetFormatPr defaultColWidth="21.42578125" defaultRowHeight="15" x14ac:dyDescent="0.25"/>
  <cols>
    <col min="1" max="9" width="21.42578125" customWidth="1"/>
    <col min="10" max="10" width="41.7109375" bestFit="1" customWidth="1"/>
    <col min="11" max="11" width="23.85546875" bestFit="1" customWidth="1"/>
    <col min="12" max="12" width="107.140625" customWidth="1"/>
    <col min="13" max="13" width="21.42578125" customWidth="1"/>
    <col min="14" max="14" width="20.140625" bestFit="1" customWidth="1"/>
    <col min="15" max="15" width="20.140625" customWidth="1"/>
    <col min="16" max="16" width="25.85546875" bestFit="1" customWidth="1"/>
    <col min="17" max="17" width="25.85546875" customWidth="1"/>
    <col min="18" max="19" width="25.85546875" bestFit="1" customWidth="1"/>
    <col min="20" max="21" width="21.42578125" customWidth="1"/>
    <col min="22" max="22" width="36.140625" bestFit="1" customWidth="1"/>
    <col min="23" max="40" width="21.42578125" customWidth="1"/>
    <col min="41" max="41" width="49.28515625" bestFit="1" customWidth="1"/>
    <col min="42" max="43" width="21.42578125" customWidth="1"/>
    <col min="44" max="44" width="50.7109375" bestFit="1" customWidth="1"/>
    <col min="45" max="45" width="40.5703125" bestFit="1" customWidth="1"/>
    <col min="46" max="46" width="50" bestFit="1" customWidth="1"/>
    <col min="47" max="48" width="31.85546875" customWidth="1"/>
    <col min="49" max="51" width="21.42578125" customWidth="1"/>
    <col min="52" max="52" width="21" bestFit="1" customWidth="1"/>
  </cols>
  <sheetData>
    <row r="1" spans="1:52" x14ac:dyDescent="0.25">
      <c r="A1" s="6" t="s">
        <v>345</v>
      </c>
      <c r="B1" s="2" t="s">
        <v>346</v>
      </c>
      <c r="C1" s="2" t="s">
        <v>2</v>
      </c>
      <c r="D1" s="2" t="s">
        <v>0</v>
      </c>
      <c r="E1" s="2" t="s">
        <v>1</v>
      </c>
      <c r="F1" s="2" t="s">
        <v>347</v>
      </c>
      <c r="G1" s="2" t="s">
        <v>348</v>
      </c>
      <c r="H1" s="2" t="s">
        <v>349</v>
      </c>
      <c r="I1" s="2" t="s">
        <v>350</v>
      </c>
      <c r="J1" s="2" t="s">
        <v>28</v>
      </c>
      <c r="K1" s="2" t="s">
        <v>351</v>
      </c>
      <c r="L1" s="2" t="s">
        <v>352</v>
      </c>
      <c r="M1" s="2" t="s">
        <v>353</v>
      </c>
      <c r="N1" s="2" t="s">
        <v>354</v>
      </c>
      <c r="O1" s="2" t="s">
        <v>355</v>
      </c>
      <c r="P1" s="2" t="s">
        <v>356</v>
      </c>
      <c r="Q1" s="2" t="s">
        <v>357</v>
      </c>
      <c r="R1" s="2" t="s">
        <v>358</v>
      </c>
      <c r="S1" s="2" t="s">
        <v>359</v>
      </c>
      <c r="T1" s="2" t="s">
        <v>360</v>
      </c>
      <c r="U1" s="2" t="s">
        <v>361</v>
      </c>
      <c r="V1" s="2" t="s">
        <v>362</v>
      </c>
      <c r="W1" s="2" t="s">
        <v>29</v>
      </c>
      <c r="X1" s="2" t="s">
        <v>30</v>
      </c>
      <c r="Y1" s="2" t="s">
        <v>31</v>
      </c>
      <c r="Z1" s="2" t="s">
        <v>4</v>
      </c>
      <c r="AA1" s="2" t="s">
        <v>363</v>
      </c>
      <c r="AB1" s="2" t="s">
        <v>364</v>
      </c>
      <c r="AC1" s="2" t="s">
        <v>365</v>
      </c>
      <c r="AD1" s="2" t="s">
        <v>366</v>
      </c>
      <c r="AE1" s="2" t="s">
        <v>367</v>
      </c>
      <c r="AF1" s="2" t="s">
        <v>368</v>
      </c>
      <c r="AG1" s="2" t="s">
        <v>369</v>
      </c>
      <c r="AH1" s="2" t="s">
        <v>370</v>
      </c>
      <c r="AI1" s="2" t="s">
        <v>371</v>
      </c>
      <c r="AJ1" s="2" t="s">
        <v>372</v>
      </c>
      <c r="AK1" s="2" t="s">
        <v>373</v>
      </c>
      <c r="AL1" s="2" t="s">
        <v>374</v>
      </c>
      <c r="AM1" s="2" t="s">
        <v>375</v>
      </c>
      <c r="AN1" s="2" t="s">
        <v>376</v>
      </c>
      <c r="AO1" s="2" t="s">
        <v>377</v>
      </c>
      <c r="AP1" s="2" t="s">
        <v>378</v>
      </c>
      <c r="AQ1" s="2" t="s">
        <v>379</v>
      </c>
      <c r="AR1" s="2" t="s">
        <v>380</v>
      </c>
      <c r="AS1" s="8" t="s">
        <v>381</v>
      </c>
      <c r="AT1" s="8" t="s">
        <v>382</v>
      </c>
      <c r="AU1" s="8" t="s">
        <v>383</v>
      </c>
      <c r="AV1" s="8" t="s">
        <v>384</v>
      </c>
      <c r="AW1" s="8" t="s">
        <v>385</v>
      </c>
      <c r="AX1" s="8" t="s">
        <v>386</v>
      </c>
      <c r="AY1" s="8" t="s">
        <v>387</v>
      </c>
      <c r="AZ1" s="8" t="s">
        <v>503</v>
      </c>
    </row>
    <row r="2" spans="1:52" x14ac:dyDescent="0.25">
      <c r="A2" t="s">
        <v>388</v>
      </c>
      <c r="C2" t="str">
        <f>TRIM('Account Creation'!B2)</f>
        <v>Cristian</v>
      </c>
      <c r="D2" t="str">
        <f>TRIM('Account Creation'!D2)</f>
        <v>Ramirez</v>
      </c>
      <c r="E2" t="str">
        <f>TRIM('Account Creation'!C2)</f>
        <v>Jose</v>
      </c>
      <c r="F2" t="str">
        <f>'Account Creation'!V2</f>
        <v>24-7Intouch_GTM_GUA_Chat_Nest</v>
      </c>
      <c r="I2" t="str">
        <f>'Account Creation'!W2</f>
        <v>247Intouch Agent</v>
      </c>
      <c r="J2" t="str">
        <f>'Account Creation'!X2</f>
        <v>guawmtops@24-7intouch.com</v>
      </c>
      <c r="K2" t="str">
        <f>CONCATENATE('Help Desk'!D2, 'Account Creation'!AE2)</f>
        <v>vn54tqf@wmt45.com</v>
      </c>
      <c r="L2" t="str">
        <f>'Account Creation'!Y2</f>
        <v>10670368:3:TRUE</v>
      </c>
      <c r="N2">
        <v>15</v>
      </c>
      <c r="O2">
        <v>15</v>
      </c>
      <c r="P2">
        <v>15</v>
      </c>
      <c r="Q2">
        <v>15</v>
      </c>
      <c r="R2">
        <v>15</v>
      </c>
      <c r="S2">
        <v>15</v>
      </c>
      <c r="T2" t="s">
        <v>389</v>
      </c>
      <c r="V2" t="s">
        <v>390</v>
      </c>
      <c r="W2" t="str">
        <f>'Account Creation'!AA2</f>
        <v>Guatemala</v>
      </c>
      <c r="X2" t="str">
        <f>'Account Creation'!AB2</f>
        <v>Guatemala</v>
      </c>
      <c r="Y2" t="str">
        <f>'Account Creation'!AC2</f>
        <v>Guatemala City</v>
      </c>
      <c r="AA2" s="11" t="str">
        <f>TEXT('Account Creation'!G2,"mm/dd/yyyy")</f>
        <v>10/17/2022</v>
      </c>
      <c r="AC2">
        <v>0</v>
      </c>
      <c r="AD2" t="s">
        <v>550</v>
      </c>
      <c r="AG2" t="b">
        <v>0</v>
      </c>
      <c r="AI2" t="str">
        <f>TRIM('Help Desk'!D2)</f>
        <v>vn54tqf</v>
      </c>
      <c r="AO2" t="b">
        <v>1</v>
      </c>
      <c r="AP2">
        <v>1</v>
      </c>
      <c r="AQ2">
        <v>1</v>
      </c>
      <c r="AR2" t="b">
        <v>1</v>
      </c>
      <c r="AS2" t="b">
        <v>0</v>
      </c>
      <c r="AT2" t="b">
        <v>0</v>
      </c>
      <c r="AU2">
        <v>15</v>
      </c>
      <c r="AV2" t="str">
        <f>TRIM('Help Desk'!D2)</f>
        <v>vn54tqf</v>
      </c>
      <c r="AW2">
        <f>'Account Creation'!AF2</f>
        <v>0</v>
      </c>
    </row>
    <row r="3" spans="1:52" x14ac:dyDescent="0.25">
      <c r="A3" t="s">
        <v>388</v>
      </c>
      <c r="C3" t="str">
        <f>TRIM('Account Creation'!B3)</f>
        <v>Claudia</v>
      </c>
      <c r="D3" t="str">
        <f>TRIM('Account Creation'!D3)</f>
        <v>Garcia</v>
      </c>
      <c r="E3" t="str">
        <f>TRIM('Account Creation'!C3)</f>
        <v>Gabriela</v>
      </c>
      <c r="F3" t="str">
        <f>'Account Creation'!V3</f>
        <v>24-7Intouch_GTM_GUA_Chat_Nest</v>
      </c>
      <c r="I3" t="str">
        <f>'Account Creation'!W3</f>
        <v>247Intouch Agent</v>
      </c>
      <c r="J3" t="str">
        <f>'Account Creation'!X3</f>
        <v>guawmtops@24-7intouch.com</v>
      </c>
      <c r="K3" t="str">
        <f>CONCATENATE('Help Desk'!D3, 'Account Creation'!AE3)</f>
        <v>vn54tqh@wmt45.com</v>
      </c>
      <c r="L3" t="str">
        <f>'Account Creation'!Y3</f>
        <v>10670368:3:TRUE</v>
      </c>
      <c r="N3">
        <v>15</v>
      </c>
      <c r="O3">
        <v>15</v>
      </c>
      <c r="P3">
        <v>15</v>
      </c>
      <c r="Q3">
        <v>15</v>
      </c>
      <c r="R3">
        <v>15</v>
      </c>
      <c r="S3">
        <v>15</v>
      </c>
      <c r="T3" t="s">
        <v>389</v>
      </c>
      <c r="V3" t="s">
        <v>390</v>
      </c>
      <c r="W3" t="str">
        <f>'Account Creation'!AA3</f>
        <v>Guatemala</v>
      </c>
      <c r="X3" t="str">
        <f>'Account Creation'!AB3</f>
        <v>Guatemala</v>
      </c>
      <c r="Y3" t="str">
        <f>'Account Creation'!AC3</f>
        <v>Guatemala City</v>
      </c>
      <c r="AA3" s="11" t="str">
        <f>TEXT('Account Creation'!G3,"mm/dd/yyyy")</f>
        <v>10/17/2022</v>
      </c>
      <c r="AC3">
        <v>0</v>
      </c>
      <c r="AD3" t="s">
        <v>550</v>
      </c>
      <c r="AG3" t="b">
        <v>0</v>
      </c>
      <c r="AI3" t="str">
        <f>TRIM('Help Desk'!D3)</f>
        <v>vn54tqh</v>
      </c>
      <c r="AO3" t="b">
        <v>1</v>
      </c>
      <c r="AP3">
        <v>1</v>
      </c>
      <c r="AQ3">
        <v>1</v>
      </c>
      <c r="AR3" t="b">
        <v>1</v>
      </c>
      <c r="AS3" t="b">
        <v>0</v>
      </c>
      <c r="AT3" t="b">
        <v>0</v>
      </c>
      <c r="AU3">
        <v>15</v>
      </c>
      <c r="AV3" t="str">
        <f>TRIM('Help Desk'!D3)</f>
        <v>vn54tqh</v>
      </c>
      <c r="AW3">
        <f>'Account Creation'!AF3</f>
        <v>0</v>
      </c>
    </row>
    <row r="4" spans="1:52" x14ac:dyDescent="0.25">
      <c r="A4" t="s">
        <v>388</v>
      </c>
      <c r="C4" t="str">
        <f>TRIM('Account Creation'!B4)</f>
        <v>Luis</v>
      </c>
      <c r="D4" t="str">
        <f>TRIM('Account Creation'!D4)</f>
        <v>Hernandez</v>
      </c>
      <c r="E4" t="str">
        <f>TRIM('Account Creation'!C4)</f>
        <v>Fernando</v>
      </c>
      <c r="F4" t="str">
        <f>'Account Creation'!V4</f>
        <v>24-7Intouch_GTM_GUA_Chat_Nest</v>
      </c>
      <c r="I4" t="str">
        <f>'Account Creation'!W4</f>
        <v>247Intouch Agent</v>
      </c>
      <c r="J4" t="str">
        <f>'Account Creation'!X4</f>
        <v>guawmtops@24-7intouch.com</v>
      </c>
      <c r="K4" t="str">
        <f>CONCATENATE('Help Desk'!D4, 'Account Creation'!AE4)</f>
        <v>vn54tqj@wmt45.com</v>
      </c>
      <c r="L4" t="str">
        <f>'Account Creation'!Y4</f>
        <v>10670368:3:TRUE</v>
      </c>
      <c r="N4">
        <v>15</v>
      </c>
      <c r="O4">
        <v>15</v>
      </c>
      <c r="P4">
        <v>15</v>
      </c>
      <c r="Q4">
        <v>15</v>
      </c>
      <c r="R4">
        <v>15</v>
      </c>
      <c r="S4">
        <v>15</v>
      </c>
      <c r="T4" t="s">
        <v>389</v>
      </c>
      <c r="V4" t="s">
        <v>390</v>
      </c>
      <c r="W4" t="str">
        <f>'Account Creation'!AA4</f>
        <v>Guatemala</v>
      </c>
      <c r="X4" t="str">
        <f>'Account Creation'!AB4</f>
        <v>Guatemala</v>
      </c>
      <c r="Y4" t="str">
        <f>'Account Creation'!AC4</f>
        <v>Guatemala City</v>
      </c>
      <c r="AA4" s="11" t="str">
        <f>TEXT('Account Creation'!G4,"mm/dd/yyyy")</f>
        <v>10/17/2022</v>
      </c>
      <c r="AC4">
        <v>0</v>
      </c>
      <c r="AD4" t="s">
        <v>550</v>
      </c>
      <c r="AG4" t="b">
        <v>0</v>
      </c>
      <c r="AI4" t="str">
        <f>TRIM('Help Desk'!D4)</f>
        <v>vn54tqj</v>
      </c>
      <c r="AO4" t="b">
        <v>1</v>
      </c>
      <c r="AP4">
        <v>1</v>
      </c>
      <c r="AQ4">
        <v>1</v>
      </c>
      <c r="AR4" t="b">
        <v>1</v>
      </c>
      <c r="AS4" t="b">
        <v>0</v>
      </c>
      <c r="AT4" t="b">
        <v>0</v>
      </c>
      <c r="AU4">
        <v>15</v>
      </c>
      <c r="AV4" t="str">
        <f>TRIM('Help Desk'!D4)</f>
        <v>vn54tqj</v>
      </c>
      <c r="AW4">
        <f>'Account Creation'!AF4</f>
        <v>0</v>
      </c>
    </row>
    <row r="5" spans="1:52" x14ac:dyDescent="0.25">
      <c r="A5" t="s">
        <v>388</v>
      </c>
      <c r="C5" t="str">
        <f>TRIM('Account Creation'!B5)</f>
        <v>Sofia</v>
      </c>
      <c r="D5" t="str">
        <f>TRIM('Account Creation'!D5)</f>
        <v>Marroquin</v>
      </c>
      <c r="E5" t="str">
        <f>TRIM('Account Creation'!C5)</f>
        <v>Bernice</v>
      </c>
      <c r="F5" t="str">
        <f>'Account Creation'!V5</f>
        <v>24-7Intouch_GTM_GUA_Chat_Nest</v>
      </c>
      <c r="I5" t="str">
        <f>'Account Creation'!W5</f>
        <v>247Intouch Agent</v>
      </c>
      <c r="J5" t="str">
        <f>'Account Creation'!X5</f>
        <v>guawmtops@24-7intouch.com</v>
      </c>
      <c r="K5" t="str">
        <f>CONCATENATE('Help Desk'!D5, 'Account Creation'!AE5)</f>
        <v>vn54tql@wmt45.com</v>
      </c>
      <c r="L5" t="str">
        <f>'Account Creation'!Y5</f>
        <v>10670368:3:TRUE</v>
      </c>
      <c r="N5">
        <v>15</v>
      </c>
      <c r="O5">
        <v>15</v>
      </c>
      <c r="P5">
        <v>15</v>
      </c>
      <c r="Q5">
        <v>15</v>
      </c>
      <c r="R5">
        <v>15</v>
      </c>
      <c r="S5">
        <v>15</v>
      </c>
      <c r="T5" t="s">
        <v>389</v>
      </c>
      <c r="V5" t="s">
        <v>390</v>
      </c>
      <c r="W5" t="str">
        <f>'Account Creation'!AA5</f>
        <v>Guatemala</v>
      </c>
      <c r="X5" t="str">
        <f>'Account Creation'!AB5</f>
        <v>Guatemala</v>
      </c>
      <c r="Y5" t="str">
        <f>'Account Creation'!AC5</f>
        <v>Guatemala City</v>
      </c>
      <c r="AA5" s="11" t="str">
        <f>TEXT('Account Creation'!G5,"mm/dd/yyyy")</f>
        <v>10/17/2022</v>
      </c>
      <c r="AC5">
        <v>0</v>
      </c>
      <c r="AD5" t="s">
        <v>550</v>
      </c>
      <c r="AG5" t="b">
        <v>0</v>
      </c>
      <c r="AI5" t="str">
        <f>TRIM('Help Desk'!D5)</f>
        <v>vn54tql</v>
      </c>
      <c r="AO5" t="b">
        <v>1</v>
      </c>
      <c r="AP5">
        <v>1</v>
      </c>
      <c r="AQ5">
        <v>1</v>
      </c>
      <c r="AR5" t="b">
        <v>1</v>
      </c>
      <c r="AS5" t="b">
        <v>0</v>
      </c>
      <c r="AT5" t="b">
        <v>0</v>
      </c>
      <c r="AU5">
        <v>15</v>
      </c>
      <c r="AV5" t="str">
        <f>TRIM('Help Desk'!D5)</f>
        <v>vn54tql</v>
      </c>
      <c r="AW5">
        <f>'Account Creation'!AF5</f>
        <v>0</v>
      </c>
    </row>
    <row r="6" spans="1:52" x14ac:dyDescent="0.25">
      <c r="A6" t="s">
        <v>388</v>
      </c>
      <c r="C6" t="str">
        <f>TRIM('Account Creation'!B6)</f>
        <v>Guillermo</v>
      </c>
      <c r="D6" t="str">
        <f>TRIM('Account Creation'!D6)</f>
        <v>Zamora</v>
      </c>
      <c r="E6" t="str">
        <f>TRIM('Account Creation'!C6)</f>
        <v>Benjamin</v>
      </c>
      <c r="F6" t="str">
        <f>'Account Creation'!V6</f>
        <v>24-7Intouch_GTM_GUA_Chat_Nest</v>
      </c>
      <c r="I6" t="str">
        <f>'Account Creation'!W6</f>
        <v>247Intouch Agent</v>
      </c>
      <c r="J6" t="str">
        <f>'Account Creation'!X6</f>
        <v>guawmtops@24-7intouch.com</v>
      </c>
      <c r="K6" t="str">
        <f>CONCATENATE('Help Desk'!D6, 'Account Creation'!AE6)</f>
        <v>vn54tqn@wmt45.com</v>
      </c>
      <c r="L6" t="str">
        <f>'Account Creation'!Y6</f>
        <v>10670368:3:TRUE</v>
      </c>
      <c r="N6">
        <v>15</v>
      </c>
      <c r="O6">
        <v>15</v>
      </c>
      <c r="P6">
        <v>15</v>
      </c>
      <c r="Q6">
        <v>15</v>
      </c>
      <c r="R6">
        <v>15</v>
      </c>
      <c r="S6">
        <v>15</v>
      </c>
      <c r="T6" t="s">
        <v>389</v>
      </c>
      <c r="V6" t="s">
        <v>390</v>
      </c>
      <c r="W6" t="str">
        <f>'Account Creation'!AA6</f>
        <v>Guatemala</v>
      </c>
      <c r="X6" t="str">
        <f>'Account Creation'!AB6</f>
        <v>Guatemala</v>
      </c>
      <c r="Y6" t="str">
        <f>'Account Creation'!AC6</f>
        <v>Guatemala City</v>
      </c>
      <c r="AA6" s="11" t="str">
        <f>TEXT('Account Creation'!G6,"mm/dd/yyyy")</f>
        <v>10/17/2022</v>
      </c>
      <c r="AC6">
        <v>0</v>
      </c>
      <c r="AD6" t="s">
        <v>550</v>
      </c>
      <c r="AG6" t="b">
        <v>0</v>
      </c>
      <c r="AI6" t="str">
        <f>TRIM('Help Desk'!D6)</f>
        <v>vn54tqn</v>
      </c>
      <c r="AO6" t="b">
        <v>1</v>
      </c>
      <c r="AP6">
        <v>1</v>
      </c>
      <c r="AQ6">
        <v>1</v>
      </c>
      <c r="AR6" t="b">
        <v>1</v>
      </c>
      <c r="AS6" t="b">
        <v>0</v>
      </c>
      <c r="AT6" t="b">
        <v>0</v>
      </c>
      <c r="AU6">
        <v>15</v>
      </c>
      <c r="AV6" t="str">
        <f>TRIM('Help Desk'!D6)</f>
        <v>vn54tqn</v>
      </c>
      <c r="AW6">
        <f>'Account Creation'!AF6</f>
        <v>0</v>
      </c>
    </row>
    <row r="7" spans="1:52" x14ac:dyDescent="0.25">
      <c r="A7" t="s">
        <v>388</v>
      </c>
      <c r="C7" t="str">
        <f>TRIM('Account Creation'!B7)</f>
        <v>Katherine</v>
      </c>
      <c r="D7" t="str">
        <f>TRIM('Account Creation'!D7)</f>
        <v>Santizo</v>
      </c>
      <c r="E7" t="str">
        <f>TRIM('Account Creation'!C7)</f>
        <v>Gabriela</v>
      </c>
      <c r="F7" t="str">
        <f>'Account Creation'!V7</f>
        <v>24-7Intouch_GTM_GUA_Chat_Nest</v>
      </c>
      <c r="I7" t="str">
        <f>'Account Creation'!W7</f>
        <v>247Intouch Agent</v>
      </c>
      <c r="J7" t="str">
        <f>'Account Creation'!X7</f>
        <v>guawmtops@24-7intouch.com</v>
      </c>
      <c r="K7" t="str">
        <f>CONCATENATE('Help Desk'!D7, 'Account Creation'!AE7)</f>
        <v>vn54tqo@wmt45.com</v>
      </c>
      <c r="L7" t="str">
        <f>'Account Creation'!Y7</f>
        <v>10670368:3:TRUE</v>
      </c>
      <c r="N7">
        <v>15</v>
      </c>
      <c r="O7">
        <v>15</v>
      </c>
      <c r="P7">
        <v>15</v>
      </c>
      <c r="Q7">
        <v>15</v>
      </c>
      <c r="R7">
        <v>15</v>
      </c>
      <c r="S7">
        <v>15</v>
      </c>
      <c r="T7" t="s">
        <v>389</v>
      </c>
      <c r="V7" t="s">
        <v>390</v>
      </c>
      <c r="W7" t="str">
        <f>'Account Creation'!AA7</f>
        <v>Guatemala</v>
      </c>
      <c r="X7" t="str">
        <f>'Account Creation'!AB7</f>
        <v>Guatemala</v>
      </c>
      <c r="Y7" t="str">
        <f>'Account Creation'!AC7</f>
        <v>Guatemala City</v>
      </c>
      <c r="AA7" s="11" t="str">
        <f>TEXT('Account Creation'!G7,"mm/dd/yyyy")</f>
        <v>10/17/2022</v>
      </c>
      <c r="AC7">
        <v>0</v>
      </c>
      <c r="AD7" t="s">
        <v>550</v>
      </c>
      <c r="AG7" t="b">
        <v>0</v>
      </c>
      <c r="AI7" t="str">
        <f>TRIM('Help Desk'!D7)</f>
        <v>vn54tqo</v>
      </c>
      <c r="AO7" t="b">
        <v>1</v>
      </c>
      <c r="AP7">
        <v>1</v>
      </c>
      <c r="AQ7">
        <v>1</v>
      </c>
      <c r="AR7" t="b">
        <v>1</v>
      </c>
      <c r="AS7" t="b">
        <v>0</v>
      </c>
      <c r="AT7" t="b">
        <v>0</v>
      </c>
      <c r="AU7">
        <v>15</v>
      </c>
      <c r="AV7" t="str">
        <f>TRIM('Help Desk'!D7)</f>
        <v>vn54tqo</v>
      </c>
      <c r="AW7">
        <f>'Account Creation'!AF7</f>
        <v>0</v>
      </c>
    </row>
    <row r="8" spans="1:52" x14ac:dyDescent="0.25">
      <c r="A8" t="s">
        <v>388</v>
      </c>
      <c r="C8" t="str">
        <f>TRIM('Account Creation'!B8)</f>
        <v>Josue</v>
      </c>
      <c r="D8" t="str">
        <f>TRIM('Account Creation'!D8)</f>
        <v>Manrique</v>
      </c>
      <c r="E8" t="str">
        <f>TRIM('Account Creation'!C8)</f>
        <v>David</v>
      </c>
      <c r="F8" t="str">
        <f>'Account Creation'!V8</f>
        <v>24-7Intouch_GTM_GUA_Chat_Nest</v>
      </c>
      <c r="I8" t="str">
        <f>'Account Creation'!W8</f>
        <v>247Intouch Agent</v>
      </c>
      <c r="J8" t="str">
        <f>'Account Creation'!X8</f>
        <v>guawmtops@24-7intouch.com</v>
      </c>
      <c r="K8" t="str">
        <f>CONCATENATE('Help Desk'!D8, 'Account Creation'!AE8)</f>
        <v>vn54tqq@wmt45.com</v>
      </c>
      <c r="L8" t="str">
        <f>'Account Creation'!Y8</f>
        <v>10670368:3:TRUE</v>
      </c>
      <c r="N8">
        <v>15</v>
      </c>
      <c r="O8">
        <v>15</v>
      </c>
      <c r="P8">
        <v>15</v>
      </c>
      <c r="Q8">
        <v>15</v>
      </c>
      <c r="R8">
        <v>15</v>
      </c>
      <c r="S8">
        <v>15</v>
      </c>
      <c r="T8" t="s">
        <v>389</v>
      </c>
      <c r="V8" t="s">
        <v>390</v>
      </c>
      <c r="W8" t="str">
        <f>'Account Creation'!AA8</f>
        <v>Guatemala</v>
      </c>
      <c r="X8" t="str">
        <f>'Account Creation'!AB8</f>
        <v>Guatemala</v>
      </c>
      <c r="Y8" t="str">
        <f>'Account Creation'!AC8</f>
        <v>Guatemala City</v>
      </c>
      <c r="AA8" s="11" t="str">
        <f>TEXT('Account Creation'!G8,"mm/dd/yyyy")</f>
        <v>10/17/2022</v>
      </c>
      <c r="AC8">
        <v>0</v>
      </c>
      <c r="AD8" t="s">
        <v>550</v>
      </c>
      <c r="AG8" t="b">
        <v>0</v>
      </c>
      <c r="AI8" t="str">
        <f>TRIM('Help Desk'!D8)</f>
        <v>vn54tqq</v>
      </c>
      <c r="AO8" t="b">
        <v>1</v>
      </c>
      <c r="AP8">
        <v>1</v>
      </c>
      <c r="AQ8">
        <v>1</v>
      </c>
      <c r="AR8" t="b">
        <v>1</v>
      </c>
      <c r="AS8" t="b">
        <v>0</v>
      </c>
      <c r="AT8" t="b">
        <v>0</v>
      </c>
      <c r="AU8">
        <v>15</v>
      </c>
      <c r="AV8" t="str">
        <f>TRIM('Help Desk'!D8)</f>
        <v>vn54tqq</v>
      </c>
      <c r="AW8">
        <f>'Account Creation'!AF8</f>
        <v>0</v>
      </c>
    </row>
    <row r="9" spans="1:52" x14ac:dyDescent="0.25">
      <c r="A9" t="s">
        <v>388</v>
      </c>
      <c r="C9" t="str">
        <f>TRIM('Account Creation'!B9)</f>
        <v>Kristtel</v>
      </c>
      <c r="D9" t="str">
        <f>TRIM('Account Creation'!D9)</f>
        <v>Hernandez</v>
      </c>
      <c r="E9" t="str">
        <f>TRIM('Account Creation'!C9)</f>
        <v>Carolina</v>
      </c>
      <c r="F9" t="str">
        <f>'Account Creation'!V9</f>
        <v>24-7Intouch_GTM_GUA_Chat_Nest</v>
      </c>
      <c r="I9" t="str">
        <f>'Account Creation'!W9</f>
        <v>247Intouch Agent</v>
      </c>
      <c r="J9" t="str">
        <f>'Account Creation'!X9</f>
        <v>guawmtops@24-7intouch.com</v>
      </c>
      <c r="K9" t="str">
        <f>CONCATENATE('Help Desk'!D9, 'Account Creation'!AE9)</f>
        <v>vn54tqs@wmt45.com</v>
      </c>
      <c r="L9" t="str">
        <f>'Account Creation'!Y9</f>
        <v>10670368:3:TRUE</v>
      </c>
      <c r="N9">
        <v>15</v>
      </c>
      <c r="O9">
        <v>15</v>
      </c>
      <c r="P9">
        <v>15</v>
      </c>
      <c r="Q9">
        <v>15</v>
      </c>
      <c r="R9">
        <v>15</v>
      </c>
      <c r="S9">
        <v>15</v>
      </c>
      <c r="T9" t="s">
        <v>389</v>
      </c>
      <c r="V9" t="s">
        <v>390</v>
      </c>
      <c r="W9" t="str">
        <f>'Account Creation'!AA9</f>
        <v>Guatemala</v>
      </c>
      <c r="X9" t="str">
        <f>'Account Creation'!AB9</f>
        <v>Guatemala</v>
      </c>
      <c r="Y9" t="str">
        <f>'Account Creation'!AC9</f>
        <v>Guatemala City</v>
      </c>
      <c r="AA9" s="11" t="str">
        <f>TEXT('Account Creation'!G9,"mm/dd/yyyy")</f>
        <v>10/17/2022</v>
      </c>
      <c r="AC9">
        <v>0</v>
      </c>
      <c r="AD9" t="s">
        <v>550</v>
      </c>
      <c r="AG9" t="b">
        <v>0</v>
      </c>
      <c r="AI9" t="str">
        <f>TRIM('Help Desk'!D9)</f>
        <v>vn54tqs</v>
      </c>
      <c r="AO9" t="b">
        <v>1</v>
      </c>
      <c r="AP9">
        <v>1</v>
      </c>
      <c r="AQ9">
        <v>1</v>
      </c>
      <c r="AR9" t="b">
        <v>1</v>
      </c>
      <c r="AS9" t="b">
        <v>0</v>
      </c>
      <c r="AT9" t="b">
        <v>0</v>
      </c>
      <c r="AU9">
        <v>15</v>
      </c>
      <c r="AV9" t="str">
        <f>TRIM('Help Desk'!D9)</f>
        <v>vn54tqs</v>
      </c>
      <c r="AW9">
        <f>'Account Creation'!AF9</f>
        <v>0</v>
      </c>
    </row>
    <row r="10" spans="1:52" x14ac:dyDescent="0.25">
      <c r="A10" t="s">
        <v>388</v>
      </c>
      <c r="C10" t="str">
        <f>TRIM('Account Creation'!B10)</f>
        <v>Juan</v>
      </c>
      <c r="D10" t="str">
        <f>TRIM('Account Creation'!D10)</f>
        <v>Flores</v>
      </c>
      <c r="E10" t="str">
        <f>TRIM('Account Creation'!C10)</f>
        <v>Pablo</v>
      </c>
      <c r="F10" t="str">
        <f>'Account Creation'!V10</f>
        <v>24-7Intouch_GTM_GUA_Chat_Nest</v>
      </c>
      <c r="I10" t="str">
        <f>'Account Creation'!W10</f>
        <v>247Intouch Agent</v>
      </c>
      <c r="J10" t="str">
        <f>'Account Creation'!X10</f>
        <v>guawmtops@24-7intouch.com</v>
      </c>
      <c r="K10" t="str">
        <f>CONCATENATE('Help Desk'!D10, 'Account Creation'!AE10)</f>
        <v>vn54tqu@wmt45.com</v>
      </c>
      <c r="L10" t="str">
        <f>'Account Creation'!Y10</f>
        <v>10670368:3:TRUE</v>
      </c>
      <c r="N10">
        <v>15</v>
      </c>
      <c r="O10">
        <v>15</v>
      </c>
      <c r="P10">
        <v>15</v>
      </c>
      <c r="Q10">
        <v>15</v>
      </c>
      <c r="R10">
        <v>15</v>
      </c>
      <c r="S10">
        <v>15</v>
      </c>
      <c r="T10" t="s">
        <v>389</v>
      </c>
      <c r="V10" t="s">
        <v>390</v>
      </c>
      <c r="W10" t="str">
        <f>'Account Creation'!AA10</f>
        <v>Guatemala</v>
      </c>
      <c r="X10" t="str">
        <f>'Account Creation'!AB10</f>
        <v>Guatemala</v>
      </c>
      <c r="Y10" t="str">
        <f>'Account Creation'!AC10</f>
        <v>Guatemala City</v>
      </c>
      <c r="AA10" s="11" t="str">
        <f>TEXT('Account Creation'!G10,"mm/dd/yyyy")</f>
        <v>10/17/2022</v>
      </c>
      <c r="AC10">
        <v>0</v>
      </c>
      <c r="AD10" t="s">
        <v>550</v>
      </c>
      <c r="AG10" t="b">
        <v>0</v>
      </c>
      <c r="AI10" t="str">
        <f>TRIM('Help Desk'!D10)</f>
        <v>vn54tqu</v>
      </c>
      <c r="AO10" t="b">
        <v>1</v>
      </c>
      <c r="AP10">
        <v>1</v>
      </c>
      <c r="AQ10">
        <v>1</v>
      </c>
      <c r="AR10" t="b">
        <v>1</v>
      </c>
      <c r="AS10" t="b">
        <v>0</v>
      </c>
      <c r="AT10" t="b">
        <v>0</v>
      </c>
      <c r="AU10">
        <v>15</v>
      </c>
      <c r="AV10" t="str">
        <f>TRIM('Help Desk'!D10)</f>
        <v>vn54tqu</v>
      </c>
      <c r="AW10">
        <f>'Account Creation'!AF10</f>
        <v>0</v>
      </c>
    </row>
    <row r="11" spans="1:52" x14ac:dyDescent="0.25">
      <c r="A11" t="s">
        <v>388</v>
      </c>
      <c r="C11" t="str">
        <f>TRIM('Account Creation'!B11)</f>
        <v>Gabriel</v>
      </c>
      <c r="D11" t="str">
        <f>TRIM('Account Creation'!D11)</f>
        <v>Morales</v>
      </c>
      <c r="E11" t="str">
        <f>TRIM('Account Creation'!C11)</f>
        <v>Adolfo</v>
      </c>
      <c r="F11" t="str">
        <f>'Account Creation'!V11</f>
        <v>24-7Intouch_GTM_GUA_Chat_Nest</v>
      </c>
      <c r="I11" t="str">
        <f>'Account Creation'!W11</f>
        <v>247Intouch Agent</v>
      </c>
      <c r="J11" t="str">
        <f>'Account Creation'!X11</f>
        <v>guawmtops@24-7intouch.com</v>
      </c>
      <c r="K11" t="str">
        <f>CONCATENATE('Help Desk'!D11, 'Account Creation'!AE11)</f>
        <v>vn54tqw@wmt45.com</v>
      </c>
      <c r="L11" t="str">
        <f>'Account Creation'!Y11</f>
        <v>10670368:3:TRUE</v>
      </c>
      <c r="N11">
        <v>15</v>
      </c>
      <c r="O11">
        <v>15</v>
      </c>
      <c r="P11">
        <v>15</v>
      </c>
      <c r="Q11">
        <v>15</v>
      </c>
      <c r="R11">
        <v>15</v>
      </c>
      <c r="S11">
        <v>15</v>
      </c>
      <c r="T11" t="s">
        <v>389</v>
      </c>
      <c r="V11" t="s">
        <v>390</v>
      </c>
      <c r="W11" t="str">
        <f>'Account Creation'!AA11</f>
        <v>Guatemala</v>
      </c>
      <c r="X11" t="str">
        <f>'Account Creation'!AB11</f>
        <v>Guatemala</v>
      </c>
      <c r="Y11" t="str">
        <f>'Account Creation'!AC11</f>
        <v>Guatemala City</v>
      </c>
      <c r="AA11" s="11" t="str">
        <f>TEXT('Account Creation'!G11,"mm/dd/yyyy")</f>
        <v>10/17/2022</v>
      </c>
      <c r="AC11">
        <v>0</v>
      </c>
      <c r="AD11" t="s">
        <v>550</v>
      </c>
      <c r="AG11" t="b">
        <v>0</v>
      </c>
      <c r="AI11" t="str">
        <f>TRIM('Help Desk'!D11)</f>
        <v>vn54tqw</v>
      </c>
      <c r="AO11" t="b">
        <v>1</v>
      </c>
      <c r="AP11">
        <v>1</v>
      </c>
      <c r="AQ11">
        <v>1</v>
      </c>
      <c r="AR11" t="b">
        <v>1</v>
      </c>
      <c r="AS11" t="b">
        <v>0</v>
      </c>
      <c r="AT11" t="b">
        <v>0</v>
      </c>
      <c r="AU11">
        <v>15</v>
      </c>
      <c r="AV11" t="str">
        <f>TRIM('Help Desk'!D11)</f>
        <v>vn54tqw</v>
      </c>
      <c r="AW11">
        <f>'Account Creation'!AF11</f>
        <v>0</v>
      </c>
    </row>
    <row r="12" spans="1:52" x14ac:dyDescent="0.25">
      <c r="A12" t="s">
        <v>388</v>
      </c>
      <c r="C12" t="str">
        <f>TRIM('Account Creation'!B12)</f>
        <v>Mercedez</v>
      </c>
      <c r="D12" t="str">
        <f>TRIM('Account Creation'!D12)</f>
        <v>De Leon</v>
      </c>
      <c r="E12" t="str">
        <f>TRIM('Account Creation'!C12)</f>
        <v>Isabel</v>
      </c>
      <c r="F12" t="str">
        <f>'Account Creation'!V12</f>
        <v>24-7Intouch_GTM_GUA_Chat_Nest</v>
      </c>
      <c r="I12" t="str">
        <f>'Account Creation'!W12</f>
        <v>247Intouch Agent</v>
      </c>
      <c r="J12" t="str">
        <f>'Account Creation'!X12</f>
        <v>guawmtops@24-7intouch.com</v>
      </c>
      <c r="K12" t="str">
        <f>CONCATENATE('Help Desk'!D12, 'Account Creation'!AE12)</f>
        <v>vn54tqy@wmt45.com</v>
      </c>
      <c r="L12" t="str">
        <f>'Account Creation'!Y12</f>
        <v>10670368:3:TRUE</v>
      </c>
      <c r="N12">
        <v>15</v>
      </c>
      <c r="O12">
        <v>15</v>
      </c>
      <c r="P12">
        <v>15</v>
      </c>
      <c r="Q12">
        <v>15</v>
      </c>
      <c r="R12">
        <v>15</v>
      </c>
      <c r="S12">
        <v>15</v>
      </c>
      <c r="T12" t="s">
        <v>389</v>
      </c>
      <c r="V12" t="s">
        <v>390</v>
      </c>
      <c r="W12" t="str">
        <f>'Account Creation'!AA12</f>
        <v>Guatemala</v>
      </c>
      <c r="X12" t="str">
        <f>'Account Creation'!AB12</f>
        <v>Guatemala</v>
      </c>
      <c r="Y12" t="str">
        <f>'Account Creation'!AC12</f>
        <v>Guatemala City</v>
      </c>
      <c r="AA12" s="11" t="str">
        <f>TEXT('Account Creation'!G12,"mm/dd/yyyy")</f>
        <v>10/17/2022</v>
      </c>
      <c r="AC12">
        <v>0</v>
      </c>
      <c r="AD12" t="s">
        <v>550</v>
      </c>
      <c r="AG12" t="b">
        <v>0</v>
      </c>
      <c r="AI12" t="str">
        <f>TRIM('Help Desk'!D12)</f>
        <v>vn54tqy</v>
      </c>
      <c r="AO12" t="b">
        <v>1</v>
      </c>
      <c r="AP12">
        <v>1</v>
      </c>
      <c r="AQ12">
        <v>1</v>
      </c>
      <c r="AR12" t="b">
        <v>1</v>
      </c>
      <c r="AS12" t="b">
        <v>0</v>
      </c>
      <c r="AT12" t="b">
        <v>0</v>
      </c>
      <c r="AU12">
        <v>15</v>
      </c>
      <c r="AV12" t="str">
        <f>TRIM('Help Desk'!D12)</f>
        <v>vn54tqy</v>
      </c>
      <c r="AW12">
        <f>'Account Creation'!AF12</f>
        <v>0</v>
      </c>
    </row>
    <row r="13" spans="1:52" x14ac:dyDescent="0.25">
      <c r="A13" t="s">
        <v>388</v>
      </c>
      <c r="C13" t="str">
        <f>TRIM('Account Creation'!B13)</f>
        <v>Eduardo</v>
      </c>
      <c r="D13" t="str">
        <f>TRIM('Account Creation'!D13)</f>
        <v>Prera</v>
      </c>
      <c r="E13" t="str">
        <f>TRIM('Account Creation'!C13)</f>
        <v>Andres</v>
      </c>
      <c r="F13" t="str">
        <f>'Account Creation'!V13</f>
        <v>24-7Intouch_GTM_GUA_Chat_Nest</v>
      </c>
      <c r="I13" t="str">
        <f>'Account Creation'!W13</f>
        <v>247Intouch Agent</v>
      </c>
      <c r="J13" t="str">
        <f>'Account Creation'!X13</f>
        <v>guawmtops@24-7intouch.com</v>
      </c>
      <c r="K13" t="str">
        <f>CONCATENATE('Help Desk'!D13, 'Account Creation'!AE13)</f>
        <v>vn54tr0@wmt45.com</v>
      </c>
      <c r="L13" t="str">
        <f>'Account Creation'!Y13</f>
        <v>10670368:3:TRUE</v>
      </c>
      <c r="N13">
        <v>15</v>
      </c>
      <c r="O13">
        <v>15</v>
      </c>
      <c r="P13">
        <v>15</v>
      </c>
      <c r="Q13">
        <v>15</v>
      </c>
      <c r="R13">
        <v>15</v>
      </c>
      <c r="S13">
        <v>15</v>
      </c>
      <c r="T13" t="s">
        <v>389</v>
      </c>
      <c r="V13" t="s">
        <v>390</v>
      </c>
      <c r="W13" t="str">
        <f>'Account Creation'!AA13</f>
        <v>Guatemala</v>
      </c>
      <c r="X13" t="str">
        <f>'Account Creation'!AB13</f>
        <v>Guatemala</v>
      </c>
      <c r="Y13" t="str">
        <f>'Account Creation'!AC13</f>
        <v>Guatemala City</v>
      </c>
      <c r="AA13" s="11" t="str">
        <f>TEXT('Account Creation'!G13,"mm/dd/yyyy")</f>
        <v>10/17/2022</v>
      </c>
      <c r="AC13">
        <v>0</v>
      </c>
      <c r="AD13" t="s">
        <v>550</v>
      </c>
      <c r="AG13" t="b">
        <v>0</v>
      </c>
      <c r="AI13" t="str">
        <f>TRIM('Help Desk'!D13)</f>
        <v>vn54tr0</v>
      </c>
      <c r="AO13" t="b">
        <v>1</v>
      </c>
      <c r="AP13">
        <v>1</v>
      </c>
      <c r="AQ13">
        <v>1</v>
      </c>
      <c r="AR13" t="b">
        <v>1</v>
      </c>
      <c r="AS13" t="b">
        <v>0</v>
      </c>
      <c r="AT13" t="b">
        <v>0</v>
      </c>
      <c r="AU13">
        <v>15</v>
      </c>
      <c r="AV13" t="str">
        <f>TRIM('Help Desk'!D13)</f>
        <v>vn54tr0</v>
      </c>
      <c r="AW13">
        <f>'Account Creation'!AF13</f>
        <v>0</v>
      </c>
    </row>
    <row r="14" spans="1:52" x14ac:dyDescent="0.25">
      <c r="A14" t="s">
        <v>388</v>
      </c>
      <c r="C14" t="str">
        <f>TRIM('Account Creation'!B14)</f>
        <v>Madelin</v>
      </c>
      <c r="D14" t="str">
        <f>TRIM('Account Creation'!D14)</f>
        <v>Abal</v>
      </c>
      <c r="E14" t="str">
        <f>TRIM('Account Creation'!C14)</f>
        <v>Johana</v>
      </c>
      <c r="F14" t="str">
        <f>'Account Creation'!V14</f>
        <v>24-7Intouch_GTM_GUA_Chat_Nest</v>
      </c>
      <c r="I14" t="str">
        <f>'Account Creation'!W14</f>
        <v>247Intouch Agent</v>
      </c>
      <c r="J14" t="str">
        <f>'Account Creation'!X14</f>
        <v>guawmtops@24-7intouch.com</v>
      </c>
      <c r="K14" t="str">
        <f>CONCATENATE('Help Desk'!D14, 'Account Creation'!AE14)</f>
        <v>vn54tr2@wmt45.com</v>
      </c>
      <c r="L14" t="str">
        <f>'Account Creation'!Y14</f>
        <v>10670368:3:TRUE</v>
      </c>
      <c r="N14">
        <v>15</v>
      </c>
      <c r="O14">
        <v>15</v>
      </c>
      <c r="P14">
        <v>15</v>
      </c>
      <c r="Q14">
        <v>15</v>
      </c>
      <c r="R14">
        <v>15</v>
      </c>
      <c r="S14">
        <v>15</v>
      </c>
      <c r="T14" t="s">
        <v>389</v>
      </c>
      <c r="V14" t="s">
        <v>390</v>
      </c>
      <c r="W14" t="str">
        <f>'Account Creation'!AA14</f>
        <v>Guatemala</v>
      </c>
      <c r="X14" t="str">
        <f>'Account Creation'!AB14</f>
        <v>Guatemala</v>
      </c>
      <c r="Y14" t="str">
        <f>'Account Creation'!AC14</f>
        <v>Guatemala City</v>
      </c>
      <c r="AA14" s="11" t="str">
        <f>TEXT('Account Creation'!G14,"mm/dd/yyyy")</f>
        <v>10/17/2022</v>
      </c>
      <c r="AC14">
        <v>0</v>
      </c>
      <c r="AD14" t="s">
        <v>550</v>
      </c>
      <c r="AG14" t="b">
        <v>0</v>
      </c>
      <c r="AI14" t="str">
        <f>TRIM('Help Desk'!D14)</f>
        <v>vn54tr2</v>
      </c>
      <c r="AO14" t="b">
        <v>1</v>
      </c>
      <c r="AP14">
        <v>1</v>
      </c>
      <c r="AQ14">
        <v>1</v>
      </c>
      <c r="AR14" t="b">
        <v>1</v>
      </c>
      <c r="AS14" t="b">
        <v>0</v>
      </c>
      <c r="AT14" t="b">
        <v>0</v>
      </c>
      <c r="AU14">
        <v>15</v>
      </c>
      <c r="AV14" t="str">
        <f>TRIM('Help Desk'!D14)</f>
        <v>vn54tr2</v>
      </c>
      <c r="AW14">
        <f>'Account Creation'!AF14</f>
        <v>0</v>
      </c>
    </row>
    <row r="15" spans="1:52" x14ac:dyDescent="0.25">
      <c r="A15" t="s">
        <v>388</v>
      </c>
      <c r="C15" t="str">
        <f>TRIM('Account Creation'!B15)</f>
        <v>Dyana</v>
      </c>
      <c r="D15" t="str">
        <f>TRIM('Account Creation'!D15)</f>
        <v>Calicio</v>
      </c>
      <c r="E15" t="str">
        <f>TRIM('Account Creation'!C15)</f>
        <v>Priscila</v>
      </c>
      <c r="F15" t="str">
        <f>'Account Creation'!V15</f>
        <v>24-7Intouch_GTM_GUA_Chat_Nest</v>
      </c>
      <c r="I15" t="str">
        <f>'Account Creation'!W15</f>
        <v>247Intouch Agent</v>
      </c>
      <c r="J15" t="str">
        <f>'Account Creation'!X15</f>
        <v>guawmtops@24-7intouch.com</v>
      </c>
      <c r="K15" t="str">
        <f>CONCATENATE('Help Desk'!D15, 'Account Creation'!AE15)</f>
        <v>vn54tr4@wmt45.com</v>
      </c>
      <c r="L15" t="str">
        <f>'Account Creation'!Y15</f>
        <v>10670368:3:TRUE</v>
      </c>
      <c r="N15">
        <v>15</v>
      </c>
      <c r="O15">
        <v>15</v>
      </c>
      <c r="P15">
        <v>15</v>
      </c>
      <c r="Q15">
        <v>15</v>
      </c>
      <c r="R15">
        <v>15</v>
      </c>
      <c r="S15">
        <v>15</v>
      </c>
      <c r="T15" t="s">
        <v>389</v>
      </c>
      <c r="V15" t="s">
        <v>390</v>
      </c>
      <c r="W15" t="str">
        <f>'Account Creation'!AA15</f>
        <v>Guatemala</v>
      </c>
      <c r="X15" t="str">
        <f>'Account Creation'!AB15</f>
        <v>Guatemala</v>
      </c>
      <c r="Y15" t="str">
        <f>'Account Creation'!AC15</f>
        <v>Guatemala City</v>
      </c>
      <c r="AA15" s="11" t="str">
        <f>TEXT('Account Creation'!G15,"mm/dd/yyyy")</f>
        <v>10/17/2022</v>
      </c>
      <c r="AC15">
        <v>0</v>
      </c>
      <c r="AD15" t="s">
        <v>550</v>
      </c>
      <c r="AG15" t="b">
        <v>0</v>
      </c>
      <c r="AI15" t="str">
        <f>TRIM('Help Desk'!D15)</f>
        <v>vn54tr4</v>
      </c>
      <c r="AO15" t="b">
        <v>1</v>
      </c>
      <c r="AP15">
        <v>1</v>
      </c>
      <c r="AQ15">
        <v>1</v>
      </c>
      <c r="AR15" t="b">
        <v>1</v>
      </c>
      <c r="AS15" t="b">
        <v>0</v>
      </c>
      <c r="AT15" t="b">
        <v>0</v>
      </c>
      <c r="AU15">
        <v>15</v>
      </c>
      <c r="AV15" t="str">
        <f>TRIM('Help Desk'!D15)</f>
        <v>vn54tr4</v>
      </c>
      <c r="AW15">
        <f>'Account Creation'!AF15</f>
        <v>0</v>
      </c>
    </row>
    <row r="16" spans="1:52" x14ac:dyDescent="0.25">
      <c r="A16" t="s">
        <v>388</v>
      </c>
      <c r="C16" t="str">
        <f>TRIM('Account Creation'!B16)</f>
        <v>Sandra</v>
      </c>
      <c r="D16" t="str">
        <f>TRIM('Account Creation'!D16)</f>
        <v>Arango</v>
      </c>
      <c r="E16" t="str">
        <f>TRIM('Account Creation'!C16)</f>
        <v>Virginia</v>
      </c>
      <c r="F16" t="str">
        <f>'Account Creation'!V16</f>
        <v>24-7Intouch_GTM_GUA_Chat_Nest</v>
      </c>
      <c r="I16" t="str">
        <f>'Account Creation'!W16</f>
        <v>247Intouch Agent</v>
      </c>
      <c r="J16" t="str">
        <f>'Account Creation'!X16</f>
        <v>guawmtops@24-7intouch.com</v>
      </c>
      <c r="K16" t="str">
        <f>CONCATENATE('Help Desk'!D16, 'Account Creation'!AE16)</f>
        <v>vn54tr6@wmt45.com</v>
      </c>
      <c r="L16" t="str">
        <f>'Account Creation'!Y16</f>
        <v>10670368:3:TRUE</v>
      </c>
      <c r="N16">
        <v>15</v>
      </c>
      <c r="O16">
        <v>15</v>
      </c>
      <c r="P16">
        <v>15</v>
      </c>
      <c r="Q16">
        <v>15</v>
      </c>
      <c r="R16">
        <v>15</v>
      </c>
      <c r="S16">
        <v>15</v>
      </c>
      <c r="T16" t="s">
        <v>389</v>
      </c>
      <c r="V16" t="s">
        <v>390</v>
      </c>
      <c r="W16" t="str">
        <f>'Account Creation'!AA16</f>
        <v>Guatemala</v>
      </c>
      <c r="X16" t="str">
        <f>'Account Creation'!AB16</f>
        <v>Guatemala</v>
      </c>
      <c r="Y16" t="str">
        <f>'Account Creation'!AC16</f>
        <v>Guatemala City</v>
      </c>
      <c r="AA16" s="11" t="str">
        <f>TEXT('Account Creation'!G16,"mm/dd/yyyy")</f>
        <v>10/17/2022</v>
      </c>
      <c r="AC16">
        <v>0</v>
      </c>
      <c r="AD16" t="s">
        <v>550</v>
      </c>
      <c r="AG16" t="b">
        <v>0</v>
      </c>
      <c r="AI16" t="str">
        <f>TRIM('Help Desk'!D16)</f>
        <v>vn54tr6</v>
      </c>
      <c r="AO16" t="b">
        <v>1</v>
      </c>
      <c r="AP16">
        <v>1</v>
      </c>
      <c r="AQ16">
        <v>1</v>
      </c>
      <c r="AR16" t="b">
        <v>1</v>
      </c>
      <c r="AS16" t="b">
        <v>0</v>
      </c>
      <c r="AT16" t="b">
        <v>0</v>
      </c>
      <c r="AU16">
        <v>15</v>
      </c>
      <c r="AV16" t="str">
        <f>TRIM('Help Desk'!D16)</f>
        <v>vn54tr6</v>
      </c>
      <c r="AW16">
        <f>'Account Creation'!AF16</f>
        <v>0</v>
      </c>
    </row>
    <row r="17" spans="27:27" x14ac:dyDescent="0.25">
      <c r="AA17" s="11"/>
    </row>
    <row r="18" spans="27:27" x14ac:dyDescent="0.25">
      <c r="AA18" s="11"/>
    </row>
    <row r="19" spans="27:27" x14ac:dyDescent="0.25">
      <c r="AA19" s="11"/>
    </row>
    <row r="20" spans="27:27" x14ac:dyDescent="0.25">
      <c r="AA20" s="11"/>
    </row>
    <row r="21" spans="27:27" x14ac:dyDescent="0.25">
      <c r="AA21" s="11"/>
    </row>
    <row r="22" spans="27:27" x14ac:dyDescent="0.25">
      <c r="AA22" s="11"/>
    </row>
    <row r="23" spans="27:27" x14ac:dyDescent="0.25">
      <c r="AA23" s="11"/>
    </row>
    <row r="24" spans="27:27" x14ac:dyDescent="0.25">
      <c r="AA24" s="11"/>
    </row>
    <row r="25" spans="27:27" x14ac:dyDescent="0.25">
      <c r="AA25" s="11"/>
    </row>
    <row r="26" spans="27:27" x14ac:dyDescent="0.25">
      <c r="AA26" s="11"/>
    </row>
    <row r="27" spans="27:27" x14ac:dyDescent="0.25">
      <c r="AA27" s="11"/>
    </row>
    <row r="28" spans="27:27" x14ac:dyDescent="0.25">
      <c r="AA28" s="11"/>
    </row>
    <row r="29" spans="27:27" x14ac:dyDescent="0.25">
      <c r="AA29" s="11"/>
    </row>
    <row r="30" spans="27:27" x14ac:dyDescent="0.25">
      <c r="AA30" s="11"/>
    </row>
    <row r="31" spans="27:27" x14ac:dyDescent="0.25">
      <c r="AA31" s="11"/>
    </row>
    <row r="32" spans="27:27" x14ac:dyDescent="0.25">
      <c r="AA32" s="11"/>
    </row>
    <row r="33" spans="27:27" x14ac:dyDescent="0.25">
      <c r="AA33" s="11"/>
    </row>
    <row r="34" spans="27:27" x14ac:dyDescent="0.25">
      <c r="AA34" s="11"/>
    </row>
    <row r="35" spans="27:27" x14ac:dyDescent="0.25">
      <c r="AA35" s="11"/>
    </row>
    <row r="36" spans="27:27" x14ac:dyDescent="0.25">
      <c r="AA36" s="11"/>
    </row>
    <row r="37" spans="27:27" x14ac:dyDescent="0.25">
      <c r="AA37" s="11"/>
    </row>
    <row r="38" spans="27:27" x14ac:dyDescent="0.25">
      <c r="AA38" s="11"/>
    </row>
    <row r="39" spans="27:27" x14ac:dyDescent="0.25">
      <c r="AA39" s="11"/>
    </row>
    <row r="40" spans="27:27" x14ac:dyDescent="0.25">
      <c r="AA40" s="11"/>
    </row>
    <row r="41" spans="27:27" x14ac:dyDescent="0.25">
      <c r="AA41" s="11"/>
    </row>
    <row r="42" spans="27:27" x14ac:dyDescent="0.25">
      <c r="AA42" s="11"/>
    </row>
    <row r="43" spans="27:27" x14ac:dyDescent="0.25">
      <c r="AA43" s="11"/>
    </row>
    <row r="44" spans="27:27" x14ac:dyDescent="0.25">
      <c r="AA44" s="11"/>
    </row>
    <row r="45" spans="27:27" x14ac:dyDescent="0.25">
      <c r="AA45" s="11"/>
    </row>
    <row r="46" spans="27:27" x14ac:dyDescent="0.25">
      <c r="AA46" s="11"/>
    </row>
    <row r="47" spans="27:27" x14ac:dyDescent="0.25">
      <c r="AA47" s="11"/>
    </row>
    <row r="48" spans="27:27" x14ac:dyDescent="0.25">
      <c r="AA48" s="11"/>
    </row>
    <row r="49" spans="27:27" x14ac:dyDescent="0.25">
      <c r="AA49" s="11"/>
    </row>
    <row r="50" spans="27:27" x14ac:dyDescent="0.25">
      <c r="AA50" s="11"/>
    </row>
    <row r="51" spans="27:27" x14ac:dyDescent="0.25">
      <c r="AA51" s="11"/>
    </row>
    <row r="52" spans="27:27" x14ac:dyDescent="0.25">
      <c r="AA52" s="11"/>
    </row>
    <row r="53" spans="27:27" x14ac:dyDescent="0.25">
      <c r="AA53" s="11"/>
    </row>
    <row r="54" spans="27:27" x14ac:dyDescent="0.25">
      <c r="AA54" s="11"/>
    </row>
    <row r="55" spans="27:27" x14ac:dyDescent="0.25">
      <c r="AA55" s="11"/>
    </row>
    <row r="56" spans="27:27" x14ac:dyDescent="0.25">
      <c r="AA56" s="11"/>
    </row>
    <row r="57" spans="27:27" x14ac:dyDescent="0.25">
      <c r="AA57" s="11"/>
    </row>
    <row r="58" spans="27:27" x14ac:dyDescent="0.25">
      <c r="AA58" s="11"/>
    </row>
    <row r="59" spans="27:27" x14ac:dyDescent="0.25">
      <c r="AA59" s="11"/>
    </row>
    <row r="60" spans="27:27" x14ac:dyDescent="0.25">
      <c r="AA60" s="11"/>
    </row>
    <row r="61" spans="27:27" x14ac:dyDescent="0.25">
      <c r="AA61" s="11"/>
    </row>
    <row r="62" spans="27:27" x14ac:dyDescent="0.25">
      <c r="AA62" s="11"/>
    </row>
    <row r="63" spans="27:27" x14ac:dyDescent="0.25">
      <c r="AA63" s="11"/>
    </row>
    <row r="64" spans="27:27" x14ac:dyDescent="0.25">
      <c r="AA64" s="11"/>
    </row>
    <row r="65" spans="27:27" x14ac:dyDescent="0.25">
      <c r="AA65" s="11"/>
    </row>
    <row r="66" spans="27:27" x14ac:dyDescent="0.25">
      <c r="AA66" s="11"/>
    </row>
    <row r="67" spans="27:27" x14ac:dyDescent="0.25">
      <c r="AA67" s="11"/>
    </row>
    <row r="68" spans="27:27" x14ac:dyDescent="0.25">
      <c r="AA68" s="11"/>
    </row>
    <row r="69" spans="27:27" x14ac:dyDescent="0.25">
      <c r="AA69" s="11"/>
    </row>
    <row r="70" spans="27:27" x14ac:dyDescent="0.25">
      <c r="AA70" s="11"/>
    </row>
    <row r="71" spans="27:27" x14ac:dyDescent="0.25">
      <c r="AA71" s="11"/>
    </row>
    <row r="72" spans="27:27" x14ac:dyDescent="0.25">
      <c r="AA72" s="11"/>
    </row>
    <row r="73" spans="27:27" x14ac:dyDescent="0.25">
      <c r="AA73" s="11"/>
    </row>
    <row r="74" spans="27:27" x14ac:dyDescent="0.25">
      <c r="AA74" s="11"/>
    </row>
    <row r="75" spans="27:27" x14ac:dyDescent="0.25">
      <c r="AA75" s="11"/>
    </row>
    <row r="76" spans="27:27" x14ac:dyDescent="0.25">
      <c r="AA76" s="11"/>
    </row>
    <row r="77" spans="27:27" x14ac:dyDescent="0.25">
      <c r="AA77" s="11"/>
    </row>
    <row r="78" spans="27:27" x14ac:dyDescent="0.25">
      <c r="AA78" s="11"/>
    </row>
    <row r="79" spans="27:27" x14ac:dyDescent="0.25">
      <c r="AA79" s="11"/>
    </row>
    <row r="80" spans="27:27" x14ac:dyDescent="0.25">
      <c r="AA80" s="11"/>
    </row>
    <row r="81" spans="27:27" x14ac:dyDescent="0.25">
      <c r="AA81" s="11"/>
    </row>
    <row r="82" spans="27:27" x14ac:dyDescent="0.25">
      <c r="AA82" s="11"/>
    </row>
    <row r="83" spans="27:27" x14ac:dyDescent="0.25">
      <c r="AA83" s="11"/>
    </row>
    <row r="84" spans="27:27" x14ac:dyDescent="0.25">
      <c r="AA84" s="11"/>
    </row>
    <row r="85" spans="27:27" x14ac:dyDescent="0.25">
      <c r="AA85" s="11"/>
    </row>
    <row r="86" spans="27:27" x14ac:dyDescent="0.25">
      <c r="AA86" s="11"/>
    </row>
    <row r="87" spans="27:27" x14ac:dyDescent="0.25">
      <c r="AA87" s="11"/>
    </row>
    <row r="88" spans="27:27" x14ac:dyDescent="0.25">
      <c r="AA88" s="11"/>
    </row>
    <row r="89" spans="27:27" x14ac:dyDescent="0.25">
      <c r="AA89" s="11"/>
    </row>
    <row r="90" spans="27:27" x14ac:dyDescent="0.25">
      <c r="AA90" s="11"/>
    </row>
    <row r="91" spans="27:27" x14ac:dyDescent="0.25">
      <c r="AA91" s="11"/>
    </row>
    <row r="92" spans="27:27" x14ac:dyDescent="0.25">
      <c r="AA92" s="11"/>
    </row>
    <row r="93" spans="27:27" x14ac:dyDescent="0.25">
      <c r="AA93" s="11"/>
    </row>
    <row r="94" spans="27:27" x14ac:dyDescent="0.25">
      <c r="AA94" s="11"/>
    </row>
    <row r="95" spans="27:27" x14ac:dyDescent="0.25">
      <c r="AA95" s="11"/>
    </row>
    <row r="96" spans="27:27" x14ac:dyDescent="0.25">
      <c r="AA96" s="11"/>
    </row>
    <row r="97" spans="27:27" x14ac:dyDescent="0.25">
      <c r="AA97" s="11"/>
    </row>
    <row r="98" spans="27:27" x14ac:dyDescent="0.25">
      <c r="AA98" s="11"/>
    </row>
    <row r="99" spans="27:27" x14ac:dyDescent="0.25">
      <c r="AA99" s="11"/>
    </row>
    <row r="100" spans="27:27" x14ac:dyDescent="0.25">
      <c r="AA100" s="11"/>
    </row>
    <row r="101" spans="27:27" x14ac:dyDescent="0.25">
      <c r="AA101" s="11"/>
    </row>
    <row r="102" spans="27:27" x14ac:dyDescent="0.25">
      <c r="AA102" s="11"/>
    </row>
    <row r="103" spans="27:27" x14ac:dyDescent="0.25">
      <c r="AA103" s="11"/>
    </row>
    <row r="104" spans="27:27" x14ac:dyDescent="0.25">
      <c r="AA104" s="11"/>
    </row>
    <row r="105" spans="27:27" x14ac:dyDescent="0.25">
      <c r="AA105" s="11"/>
    </row>
    <row r="106" spans="27:27" x14ac:dyDescent="0.25">
      <c r="AA106" s="11"/>
    </row>
    <row r="107" spans="27:27" x14ac:dyDescent="0.25">
      <c r="AA107" s="11"/>
    </row>
    <row r="108" spans="27:27" x14ac:dyDescent="0.25">
      <c r="AA108" s="11"/>
    </row>
    <row r="109" spans="27:27" x14ac:dyDescent="0.25">
      <c r="AA109" s="11"/>
    </row>
    <row r="110" spans="27:27" x14ac:dyDescent="0.25">
      <c r="AA110" s="11"/>
    </row>
    <row r="111" spans="27:27" x14ac:dyDescent="0.25">
      <c r="AA111" s="11"/>
    </row>
    <row r="112" spans="27:27" x14ac:dyDescent="0.25">
      <c r="AA112" s="11"/>
    </row>
    <row r="113" spans="27:27" x14ac:dyDescent="0.25">
      <c r="AA113" s="11"/>
    </row>
    <row r="114" spans="27:27" x14ac:dyDescent="0.25">
      <c r="AA114" s="11"/>
    </row>
    <row r="115" spans="27:27" x14ac:dyDescent="0.25">
      <c r="AA115" s="11"/>
    </row>
    <row r="116" spans="27:27" x14ac:dyDescent="0.25">
      <c r="AA116" s="11"/>
    </row>
    <row r="117" spans="27:27" x14ac:dyDescent="0.25">
      <c r="AA117" s="11"/>
    </row>
    <row r="118" spans="27:27" x14ac:dyDescent="0.25">
      <c r="AA118" s="11"/>
    </row>
    <row r="119" spans="27:27" x14ac:dyDescent="0.25">
      <c r="AA119" s="11"/>
    </row>
    <row r="120" spans="27:27" x14ac:dyDescent="0.25">
      <c r="AA120" s="11"/>
    </row>
    <row r="121" spans="27:27" x14ac:dyDescent="0.25">
      <c r="AA121" s="11"/>
    </row>
    <row r="122" spans="27:27" x14ac:dyDescent="0.25">
      <c r="AA122" s="11"/>
    </row>
    <row r="123" spans="27:27" x14ac:dyDescent="0.25">
      <c r="AA123" s="11"/>
    </row>
    <row r="124" spans="27:27" x14ac:dyDescent="0.25">
      <c r="AA124" s="11"/>
    </row>
    <row r="125" spans="27:27" x14ac:dyDescent="0.25">
      <c r="AA125" s="11"/>
    </row>
    <row r="126" spans="27:27" x14ac:dyDescent="0.25">
      <c r="AA126" s="11"/>
    </row>
    <row r="127" spans="27:27" x14ac:dyDescent="0.25">
      <c r="AA127" s="11"/>
    </row>
    <row r="128" spans="27:27" x14ac:dyDescent="0.25">
      <c r="AA128" s="11"/>
    </row>
    <row r="129" spans="27:27" x14ac:dyDescent="0.25">
      <c r="AA129" s="11"/>
    </row>
    <row r="130" spans="27:27" x14ac:dyDescent="0.25">
      <c r="AA130" s="11"/>
    </row>
    <row r="131" spans="27:27" x14ac:dyDescent="0.25">
      <c r="AA131" s="11"/>
    </row>
    <row r="132" spans="27:27" x14ac:dyDescent="0.25">
      <c r="AA132" s="11"/>
    </row>
    <row r="133" spans="27:27" x14ac:dyDescent="0.25">
      <c r="AA133" s="11"/>
    </row>
    <row r="134" spans="27:27" x14ac:dyDescent="0.25">
      <c r="AA134" s="11"/>
    </row>
    <row r="135" spans="27:27" x14ac:dyDescent="0.25">
      <c r="AA135" s="11"/>
    </row>
    <row r="136" spans="27:27" x14ac:dyDescent="0.25">
      <c r="AA136" s="11"/>
    </row>
    <row r="137" spans="27:27" x14ac:dyDescent="0.25">
      <c r="AA137" s="11"/>
    </row>
    <row r="138" spans="27:27" x14ac:dyDescent="0.25">
      <c r="AA138" s="11"/>
    </row>
    <row r="139" spans="27:27" x14ac:dyDescent="0.25">
      <c r="AA139" s="11"/>
    </row>
    <row r="140" spans="27:27" x14ac:dyDescent="0.25">
      <c r="AA140" s="11"/>
    </row>
    <row r="141" spans="27:27" x14ac:dyDescent="0.25">
      <c r="AA141" s="11"/>
    </row>
    <row r="142" spans="27:27" x14ac:dyDescent="0.25">
      <c r="AA142" s="11"/>
    </row>
    <row r="143" spans="27:27" x14ac:dyDescent="0.25">
      <c r="AA143" s="11"/>
    </row>
    <row r="144" spans="27:27" x14ac:dyDescent="0.25">
      <c r="AA144" s="11"/>
    </row>
    <row r="145" spans="27:27" x14ac:dyDescent="0.25">
      <c r="AA145" s="11"/>
    </row>
    <row r="146" spans="27:27" x14ac:dyDescent="0.25">
      <c r="AA146" s="11"/>
    </row>
    <row r="147" spans="27:27" x14ac:dyDescent="0.25">
      <c r="AA147" s="11"/>
    </row>
    <row r="148" spans="27:27" x14ac:dyDescent="0.25">
      <c r="AA148" s="11"/>
    </row>
    <row r="149" spans="27:27" x14ac:dyDescent="0.25">
      <c r="AA149" s="11"/>
    </row>
    <row r="150" spans="27:27" x14ac:dyDescent="0.25">
      <c r="AA150" s="11"/>
    </row>
    <row r="151" spans="27:27" x14ac:dyDescent="0.25">
      <c r="AA151" s="11"/>
    </row>
    <row r="152" spans="27:27" x14ac:dyDescent="0.25">
      <c r="AA152" s="11"/>
    </row>
    <row r="153" spans="27:27" x14ac:dyDescent="0.25">
      <c r="AA153" s="11"/>
    </row>
    <row r="154" spans="27:27" x14ac:dyDescent="0.25">
      <c r="AA154" s="11"/>
    </row>
    <row r="155" spans="27:27" x14ac:dyDescent="0.25">
      <c r="AA155" s="11"/>
    </row>
    <row r="156" spans="27:27" x14ac:dyDescent="0.25">
      <c r="AA156" s="11"/>
    </row>
    <row r="157" spans="27:27" x14ac:dyDescent="0.25">
      <c r="AA157" s="11"/>
    </row>
    <row r="158" spans="27:27" x14ac:dyDescent="0.25">
      <c r="AA158" s="11"/>
    </row>
    <row r="159" spans="27:27" x14ac:dyDescent="0.25">
      <c r="AA159" s="11"/>
    </row>
    <row r="160" spans="27:27" x14ac:dyDescent="0.25">
      <c r="AA160" s="11"/>
    </row>
    <row r="161" spans="27:27" x14ac:dyDescent="0.25">
      <c r="AA161" s="11"/>
    </row>
    <row r="162" spans="27:27" x14ac:dyDescent="0.25">
      <c r="AA162" s="11"/>
    </row>
    <row r="163" spans="27:27" x14ac:dyDescent="0.25">
      <c r="AA163" s="11"/>
    </row>
    <row r="164" spans="27:27" x14ac:dyDescent="0.25">
      <c r="AA164" s="11"/>
    </row>
    <row r="165" spans="27:27" x14ac:dyDescent="0.25">
      <c r="AA165" s="11"/>
    </row>
    <row r="166" spans="27:27" x14ac:dyDescent="0.25">
      <c r="AA166" s="11"/>
    </row>
    <row r="167" spans="27:27" x14ac:dyDescent="0.25">
      <c r="AA167" s="11"/>
    </row>
    <row r="168" spans="27:27" x14ac:dyDescent="0.25">
      <c r="AA168" s="11"/>
    </row>
    <row r="169" spans="27:27" x14ac:dyDescent="0.25">
      <c r="AA169" s="11"/>
    </row>
    <row r="170" spans="27:27" x14ac:dyDescent="0.25">
      <c r="AA170" s="11"/>
    </row>
    <row r="171" spans="27:27" x14ac:dyDescent="0.25">
      <c r="AA171" s="11"/>
    </row>
    <row r="172" spans="27:27" x14ac:dyDescent="0.25">
      <c r="AA172" s="11"/>
    </row>
    <row r="173" spans="27:27" x14ac:dyDescent="0.25">
      <c r="AA173" s="11"/>
    </row>
    <row r="174" spans="27:27" x14ac:dyDescent="0.25">
      <c r="AA174" s="11"/>
    </row>
    <row r="175" spans="27:27" x14ac:dyDescent="0.25">
      <c r="AA175" s="11"/>
    </row>
    <row r="176" spans="27:27" x14ac:dyDescent="0.25">
      <c r="AA176" s="11"/>
    </row>
    <row r="177" spans="27:27" x14ac:dyDescent="0.25">
      <c r="AA177" s="11"/>
    </row>
    <row r="178" spans="27:27" x14ac:dyDescent="0.25">
      <c r="AA178" s="11"/>
    </row>
    <row r="179" spans="27:27" x14ac:dyDescent="0.25">
      <c r="AA179" s="11"/>
    </row>
    <row r="180" spans="27:27" x14ac:dyDescent="0.25">
      <c r="AA180" s="11"/>
    </row>
    <row r="181" spans="27:27" x14ac:dyDescent="0.25">
      <c r="AA181" s="11"/>
    </row>
    <row r="182" spans="27:27" x14ac:dyDescent="0.25">
      <c r="AA182" s="11"/>
    </row>
    <row r="183" spans="27:27" x14ac:dyDescent="0.25">
      <c r="AA183" s="11"/>
    </row>
    <row r="184" spans="27:27" x14ac:dyDescent="0.25">
      <c r="AA184" s="11"/>
    </row>
    <row r="185" spans="27:27" x14ac:dyDescent="0.25">
      <c r="AA185" s="11"/>
    </row>
    <row r="186" spans="27:27" x14ac:dyDescent="0.25">
      <c r="AA186" s="11"/>
    </row>
    <row r="187" spans="27:27" x14ac:dyDescent="0.25">
      <c r="AA187" s="11"/>
    </row>
    <row r="188" spans="27:27" x14ac:dyDescent="0.25">
      <c r="AA188" s="11"/>
    </row>
    <row r="189" spans="27:27" x14ac:dyDescent="0.25">
      <c r="AA189" s="11"/>
    </row>
    <row r="190" spans="27:27" x14ac:dyDescent="0.25">
      <c r="AA190" s="11"/>
    </row>
    <row r="191" spans="27:27" x14ac:dyDescent="0.25">
      <c r="AA191" s="11"/>
    </row>
    <row r="192" spans="27:27" x14ac:dyDescent="0.25">
      <c r="AA192" s="11"/>
    </row>
    <row r="193" spans="27:27" x14ac:dyDescent="0.25">
      <c r="AA193" s="11"/>
    </row>
    <row r="194" spans="27:27" x14ac:dyDescent="0.25">
      <c r="AA194" s="11"/>
    </row>
    <row r="195" spans="27:27" x14ac:dyDescent="0.25">
      <c r="AA195" s="11"/>
    </row>
    <row r="196" spans="27:27" x14ac:dyDescent="0.25">
      <c r="AA196" s="11"/>
    </row>
    <row r="197" spans="27:27" x14ac:dyDescent="0.25">
      <c r="AA197" s="11"/>
    </row>
    <row r="198" spans="27:27" x14ac:dyDescent="0.25">
      <c r="AA198" s="11"/>
    </row>
    <row r="199" spans="27:27" x14ac:dyDescent="0.25">
      <c r="AA199" s="11"/>
    </row>
    <row r="200" spans="27:27" x14ac:dyDescent="0.25">
      <c r="AA200" s="11"/>
    </row>
    <row r="201" spans="27:27" x14ac:dyDescent="0.25">
      <c r="AA201" s="11"/>
    </row>
    <row r="202" spans="27:27" x14ac:dyDescent="0.25">
      <c r="AA202" s="11"/>
    </row>
    <row r="203" spans="27:27" x14ac:dyDescent="0.25">
      <c r="AA203" s="11"/>
    </row>
    <row r="204" spans="27:27" x14ac:dyDescent="0.25">
      <c r="AA204" s="11"/>
    </row>
    <row r="205" spans="27:27" x14ac:dyDescent="0.25">
      <c r="AA205" s="11"/>
    </row>
    <row r="206" spans="27:27" x14ac:dyDescent="0.25">
      <c r="AA206" s="11"/>
    </row>
    <row r="207" spans="27:27" x14ac:dyDescent="0.25">
      <c r="AA207" s="11"/>
    </row>
    <row r="208" spans="27:27" x14ac:dyDescent="0.25">
      <c r="AA208" s="11"/>
    </row>
    <row r="209" spans="27:27" x14ac:dyDescent="0.25">
      <c r="AA209" s="11"/>
    </row>
    <row r="210" spans="27:27" x14ac:dyDescent="0.25">
      <c r="AA210" s="11"/>
    </row>
    <row r="211" spans="27:27" x14ac:dyDescent="0.25">
      <c r="AA211" s="11"/>
    </row>
    <row r="212" spans="27:27" x14ac:dyDescent="0.25">
      <c r="AA212" s="11"/>
    </row>
    <row r="213" spans="27:27" x14ac:dyDescent="0.25">
      <c r="AA213" s="11"/>
    </row>
    <row r="214" spans="27:27" x14ac:dyDescent="0.25">
      <c r="AA214" s="11"/>
    </row>
    <row r="215" spans="27:27" x14ac:dyDescent="0.25">
      <c r="AA215" s="11"/>
    </row>
    <row r="216" spans="27:27" x14ac:dyDescent="0.25">
      <c r="AA216" s="11"/>
    </row>
    <row r="217" spans="27:27" x14ac:dyDescent="0.25">
      <c r="AA217" s="11"/>
    </row>
    <row r="218" spans="27:27" x14ac:dyDescent="0.25">
      <c r="AA218" s="11"/>
    </row>
    <row r="219" spans="27:27" x14ac:dyDescent="0.25">
      <c r="AA219" s="11"/>
    </row>
    <row r="220" spans="27:27" x14ac:dyDescent="0.25">
      <c r="AA220" s="11"/>
    </row>
    <row r="221" spans="27:27" x14ac:dyDescent="0.25">
      <c r="AA221" s="11"/>
    </row>
    <row r="222" spans="27:27" x14ac:dyDescent="0.25">
      <c r="AA222" s="11"/>
    </row>
    <row r="223" spans="27:27" x14ac:dyDescent="0.25">
      <c r="AA223" s="11"/>
    </row>
    <row r="224" spans="27:27" x14ac:dyDescent="0.25">
      <c r="AA224" s="11"/>
    </row>
    <row r="225" spans="27:27" x14ac:dyDescent="0.25">
      <c r="AA225" s="11"/>
    </row>
    <row r="226" spans="27:27" x14ac:dyDescent="0.25">
      <c r="AA226" s="11"/>
    </row>
    <row r="227" spans="27:27" x14ac:dyDescent="0.25">
      <c r="AA227" s="11"/>
    </row>
    <row r="228" spans="27:27" x14ac:dyDescent="0.25">
      <c r="AA228" s="11"/>
    </row>
    <row r="229" spans="27:27" x14ac:dyDescent="0.25">
      <c r="AA229" s="11"/>
    </row>
    <row r="230" spans="27:27" x14ac:dyDescent="0.25">
      <c r="AA230" s="11"/>
    </row>
    <row r="231" spans="27:27" x14ac:dyDescent="0.25">
      <c r="AA231" s="11"/>
    </row>
    <row r="232" spans="27:27" x14ac:dyDescent="0.25">
      <c r="AA232" s="11"/>
    </row>
    <row r="233" spans="27:27" x14ac:dyDescent="0.25">
      <c r="AA233" s="11"/>
    </row>
    <row r="234" spans="27:27" x14ac:dyDescent="0.25">
      <c r="AA234" s="11"/>
    </row>
    <row r="235" spans="27:27" x14ac:dyDescent="0.25">
      <c r="AA235" s="11"/>
    </row>
    <row r="236" spans="27:27" x14ac:dyDescent="0.25">
      <c r="AA236" s="11"/>
    </row>
    <row r="237" spans="27:27" x14ac:dyDescent="0.25">
      <c r="AA237" s="11"/>
    </row>
    <row r="238" spans="27:27" x14ac:dyDescent="0.25">
      <c r="AA238" s="11"/>
    </row>
    <row r="239" spans="27:27" x14ac:dyDescent="0.25">
      <c r="AA239" s="11"/>
    </row>
    <row r="240" spans="27:27" x14ac:dyDescent="0.25">
      <c r="AA240" s="11"/>
    </row>
    <row r="241" spans="27:27" x14ac:dyDescent="0.25">
      <c r="AA241" s="11"/>
    </row>
    <row r="242" spans="27:27" x14ac:dyDescent="0.25">
      <c r="AA242" s="11"/>
    </row>
    <row r="243" spans="27:27" x14ac:dyDescent="0.25">
      <c r="AA243" s="11"/>
    </row>
    <row r="244" spans="27:27" x14ac:dyDescent="0.25">
      <c r="AA244" s="11"/>
    </row>
    <row r="245" spans="27:27" x14ac:dyDescent="0.25">
      <c r="AA245" s="11"/>
    </row>
    <row r="246" spans="27:27" x14ac:dyDescent="0.25">
      <c r="AA246" s="11"/>
    </row>
    <row r="247" spans="27:27" x14ac:dyDescent="0.25">
      <c r="AA247" s="11"/>
    </row>
    <row r="248" spans="27:27" x14ac:dyDescent="0.25">
      <c r="AA248" s="11"/>
    </row>
    <row r="249" spans="27:27" x14ac:dyDescent="0.25">
      <c r="AA249" s="11"/>
    </row>
    <row r="250" spans="27:27" x14ac:dyDescent="0.25">
      <c r="AA250" s="11"/>
    </row>
    <row r="251" spans="27:27" x14ac:dyDescent="0.25">
      <c r="AA251" s="11"/>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CC637-0607-4DF4-8FCA-B31BBEDA8CA7}">
  <dimension ref="A1:K251"/>
  <sheetViews>
    <sheetView workbookViewId="0">
      <selection activeCell="A17" sqref="A17:XFD253"/>
    </sheetView>
  </sheetViews>
  <sheetFormatPr defaultRowHeight="15" x14ac:dyDescent="0.25"/>
  <cols>
    <col min="1" max="1" width="10.5703125" bestFit="1" customWidth="1"/>
    <col min="2" max="2" width="10.42578125" bestFit="1" customWidth="1"/>
    <col min="3" max="3" width="7.42578125" bestFit="1" customWidth="1"/>
    <col min="4" max="4" width="14.42578125" bestFit="1" customWidth="1"/>
    <col min="5" max="5" width="9.28515625" bestFit="1" customWidth="1"/>
    <col min="6" max="6" width="8.85546875" bestFit="1" customWidth="1"/>
    <col min="7" max="7" width="15.7109375" bestFit="1" customWidth="1"/>
    <col min="8" max="8" width="15.140625" bestFit="1" customWidth="1"/>
    <col min="9" max="9" width="14.140625" bestFit="1" customWidth="1"/>
  </cols>
  <sheetData>
    <row r="1" spans="1:11" x14ac:dyDescent="0.25">
      <c r="A1" s="12" t="s">
        <v>965</v>
      </c>
      <c r="B1" s="12" t="s">
        <v>966</v>
      </c>
      <c r="C1" s="12" t="s">
        <v>967</v>
      </c>
      <c r="D1" s="12" t="s">
        <v>391</v>
      </c>
      <c r="E1" s="12" t="s">
        <v>392</v>
      </c>
      <c r="F1" s="12" t="s">
        <v>393</v>
      </c>
      <c r="G1" s="12" t="s">
        <v>340</v>
      </c>
      <c r="H1" s="12" t="s">
        <v>968</v>
      </c>
      <c r="I1" s="12" t="s">
        <v>969</v>
      </c>
      <c r="J1" s="12" t="s">
        <v>395</v>
      </c>
      <c r="K1" s="12" t="s">
        <v>587</v>
      </c>
    </row>
    <row r="2" spans="1:11" x14ac:dyDescent="0.25">
      <c r="A2" t="str">
        <f>TRIM('Help Desk'!D2)</f>
        <v>vn54tqf</v>
      </c>
      <c r="B2" t="str">
        <f>TRIM('Account Creation'!B2)</f>
        <v>Cristian</v>
      </c>
      <c r="C2" t="str">
        <f>TRIM('Account Creation'!D2)</f>
        <v>Ramirez</v>
      </c>
      <c r="D2" t="str">
        <f>B2</f>
        <v>Cristian</v>
      </c>
      <c r="E2">
        <f>'Account Creation'!AG2</f>
        <v>169</v>
      </c>
      <c r="F2">
        <f>'Account Creation'!AH2</f>
        <v>100978</v>
      </c>
      <c r="G2" t="str">
        <f>IF(A2="","","1@Walmart")</f>
        <v>1@Walmart</v>
      </c>
      <c r="H2" s="97">
        <f>'Account Creation'!AH2</f>
        <v>100978</v>
      </c>
      <c r="J2" s="97">
        <f>IF(A2="","",'VCC_Stores ONLY'!B2)</f>
        <v>0</v>
      </c>
      <c r="K2" t="str">
        <f>IF('Account Creation'!A2="New Hire","Create","")</f>
        <v>Create</v>
      </c>
    </row>
    <row r="3" spans="1:11" x14ac:dyDescent="0.25">
      <c r="A3" t="str">
        <f>TRIM('Help Desk'!D3)</f>
        <v>vn54tqh</v>
      </c>
      <c r="B3" t="str">
        <f>TRIM('Account Creation'!B3)</f>
        <v>Claudia</v>
      </c>
      <c r="C3" t="str">
        <f>TRIM('Account Creation'!D3)</f>
        <v>Garcia</v>
      </c>
      <c r="D3" t="str">
        <f t="shared" ref="D3:D66" si="0">B3</f>
        <v>Claudia</v>
      </c>
      <c r="E3">
        <f>'Account Creation'!AG3</f>
        <v>169</v>
      </c>
      <c r="F3">
        <f>'Account Creation'!AH3</f>
        <v>100978</v>
      </c>
      <c r="G3" s="97" t="str">
        <f t="shared" ref="G3:G66" si="1">IF(A3="","","1@Walmart")</f>
        <v>1@Walmart</v>
      </c>
      <c r="H3" s="97">
        <f>'Account Creation'!AH3</f>
        <v>100978</v>
      </c>
      <c r="J3" s="97">
        <f>IF(A3="","",'VCC_Stores ONLY'!B3)</f>
        <v>0</v>
      </c>
      <c r="K3" s="97" t="str">
        <f>IF('Account Creation'!A3="New Hire","Create","")</f>
        <v>Create</v>
      </c>
    </row>
    <row r="4" spans="1:11" x14ac:dyDescent="0.25">
      <c r="A4" t="str">
        <f>TRIM('Help Desk'!D4)</f>
        <v>vn54tqj</v>
      </c>
      <c r="B4" t="str">
        <f>TRIM('Account Creation'!B4)</f>
        <v>Luis</v>
      </c>
      <c r="C4" t="str">
        <f>TRIM('Account Creation'!D4)</f>
        <v>Hernandez</v>
      </c>
      <c r="D4" t="str">
        <f t="shared" si="0"/>
        <v>Luis</v>
      </c>
      <c r="E4">
        <f>'Account Creation'!AG4</f>
        <v>169</v>
      </c>
      <c r="F4">
        <f>'Account Creation'!AH4</f>
        <v>100978</v>
      </c>
      <c r="G4" s="97" t="str">
        <f t="shared" si="1"/>
        <v>1@Walmart</v>
      </c>
      <c r="H4" s="97">
        <f>'Account Creation'!AH4</f>
        <v>100978</v>
      </c>
      <c r="J4" s="97">
        <f>IF(A4="","",'VCC_Stores ONLY'!B4)</f>
        <v>0</v>
      </c>
      <c r="K4" s="97" t="str">
        <f>IF('Account Creation'!A4="New Hire","Create","")</f>
        <v>Create</v>
      </c>
    </row>
    <row r="5" spans="1:11" x14ac:dyDescent="0.25">
      <c r="A5" t="str">
        <f>TRIM('Help Desk'!D5)</f>
        <v>vn54tql</v>
      </c>
      <c r="B5" t="str">
        <f>TRIM('Account Creation'!B5)</f>
        <v>Sofia</v>
      </c>
      <c r="C5" t="str">
        <f>TRIM('Account Creation'!D5)</f>
        <v>Marroquin</v>
      </c>
      <c r="D5" t="str">
        <f t="shared" si="0"/>
        <v>Sofia</v>
      </c>
      <c r="E5">
        <f>'Account Creation'!AG5</f>
        <v>169</v>
      </c>
      <c r="F5">
        <f>'Account Creation'!AH5</f>
        <v>100978</v>
      </c>
      <c r="G5" s="97" t="str">
        <f t="shared" si="1"/>
        <v>1@Walmart</v>
      </c>
      <c r="H5" s="97">
        <f>'Account Creation'!AH5</f>
        <v>100978</v>
      </c>
      <c r="J5" s="97">
        <f>IF(A5="","",'VCC_Stores ONLY'!B5)</f>
        <v>0</v>
      </c>
      <c r="K5" s="97" t="str">
        <f>IF('Account Creation'!A5="New Hire","Create","")</f>
        <v>Create</v>
      </c>
    </row>
    <row r="6" spans="1:11" x14ac:dyDescent="0.25">
      <c r="A6" t="str">
        <f>TRIM('Help Desk'!D6)</f>
        <v>vn54tqn</v>
      </c>
      <c r="B6" t="str">
        <f>TRIM('Account Creation'!B6)</f>
        <v>Guillermo</v>
      </c>
      <c r="C6" t="str">
        <f>TRIM('Account Creation'!D6)</f>
        <v>Zamora</v>
      </c>
      <c r="D6" t="str">
        <f t="shared" si="0"/>
        <v>Guillermo</v>
      </c>
      <c r="E6">
        <f>'Account Creation'!AG6</f>
        <v>169</v>
      </c>
      <c r="F6">
        <f>'Account Creation'!AH6</f>
        <v>100978</v>
      </c>
      <c r="G6" s="97" t="str">
        <f t="shared" si="1"/>
        <v>1@Walmart</v>
      </c>
      <c r="H6" s="97">
        <f>'Account Creation'!AH6</f>
        <v>100978</v>
      </c>
      <c r="J6" s="97">
        <f>IF(A6="","",'VCC_Stores ONLY'!B6)</f>
        <v>0</v>
      </c>
      <c r="K6" s="97" t="str">
        <f>IF('Account Creation'!A6="New Hire","Create","")</f>
        <v>Create</v>
      </c>
    </row>
    <row r="7" spans="1:11" x14ac:dyDescent="0.25">
      <c r="A7" t="str">
        <f>TRIM('Help Desk'!D7)</f>
        <v>vn54tqo</v>
      </c>
      <c r="B7" t="str">
        <f>TRIM('Account Creation'!B7)</f>
        <v>Katherine</v>
      </c>
      <c r="C7" t="str">
        <f>TRIM('Account Creation'!D7)</f>
        <v>Santizo</v>
      </c>
      <c r="D7" t="str">
        <f t="shared" si="0"/>
        <v>Katherine</v>
      </c>
      <c r="E7">
        <f>'Account Creation'!AG7</f>
        <v>169</v>
      </c>
      <c r="F7">
        <f>'Account Creation'!AH7</f>
        <v>100978</v>
      </c>
      <c r="G7" s="97" t="str">
        <f t="shared" si="1"/>
        <v>1@Walmart</v>
      </c>
      <c r="H7" s="97">
        <f>'Account Creation'!AH7</f>
        <v>100978</v>
      </c>
      <c r="J7" s="97">
        <f>IF(A7="","",'VCC_Stores ONLY'!B7)</f>
        <v>0</v>
      </c>
      <c r="K7" s="97" t="str">
        <f>IF('Account Creation'!A7="New Hire","Create","")</f>
        <v>Create</v>
      </c>
    </row>
    <row r="8" spans="1:11" x14ac:dyDescent="0.25">
      <c r="A8" t="str">
        <f>TRIM('Help Desk'!D8)</f>
        <v>vn54tqq</v>
      </c>
      <c r="B8" t="str">
        <f>TRIM('Account Creation'!B8)</f>
        <v>Josue</v>
      </c>
      <c r="C8" t="str">
        <f>TRIM('Account Creation'!D8)</f>
        <v>Manrique</v>
      </c>
      <c r="D8" t="str">
        <f t="shared" si="0"/>
        <v>Josue</v>
      </c>
      <c r="E8">
        <f>'Account Creation'!AG8</f>
        <v>169</v>
      </c>
      <c r="F8">
        <f>'Account Creation'!AH8</f>
        <v>100978</v>
      </c>
      <c r="G8" s="97" t="str">
        <f t="shared" si="1"/>
        <v>1@Walmart</v>
      </c>
      <c r="H8" s="97">
        <f>'Account Creation'!AH8</f>
        <v>100978</v>
      </c>
      <c r="J8" s="97">
        <f>IF(A8="","",'VCC_Stores ONLY'!B8)</f>
        <v>0</v>
      </c>
      <c r="K8" s="97" t="str">
        <f>IF('Account Creation'!A8="New Hire","Create","")</f>
        <v>Create</v>
      </c>
    </row>
    <row r="9" spans="1:11" x14ac:dyDescent="0.25">
      <c r="A9" t="str">
        <f>TRIM('Help Desk'!D9)</f>
        <v>vn54tqs</v>
      </c>
      <c r="B9" t="str">
        <f>TRIM('Account Creation'!B9)</f>
        <v>Kristtel</v>
      </c>
      <c r="C9" t="str">
        <f>TRIM('Account Creation'!D9)</f>
        <v>Hernandez</v>
      </c>
      <c r="D9" t="str">
        <f t="shared" si="0"/>
        <v>Kristtel</v>
      </c>
      <c r="E9">
        <f>'Account Creation'!AG9</f>
        <v>169</v>
      </c>
      <c r="F9">
        <f>'Account Creation'!AH9</f>
        <v>100978</v>
      </c>
      <c r="G9" s="97" t="str">
        <f t="shared" si="1"/>
        <v>1@Walmart</v>
      </c>
      <c r="H9" s="97">
        <f>'Account Creation'!AH9</f>
        <v>100978</v>
      </c>
      <c r="J9" s="97">
        <f>IF(A9="","",'VCC_Stores ONLY'!B9)</f>
        <v>0</v>
      </c>
      <c r="K9" s="97" t="str">
        <f>IF('Account Creation'!A9="New Hire","Create","")</f>
        <v>Create</v>
      </c>
    </row>
    <row r="10" spans="1:11" x14ac:dyDescent="0.25">
      <c r="A10" t="str">
        <f>TRIM('Help Desk'!D10)</f>
        <v>vn54tqu</v>
      </c>
      <c r="B10" t="str">
        <f>TRIM('Account Creation'!B10)</f>
        <v>Juan</v>
      </c>
      <c r="C10" t="str">
        <f>TRIM('Account Creation'!D10)</f>
        <v>Flores</v>
      </c>
      <c r="D10" t="str">
        <f t="shared" si="0"/>
        <v>Juan</v>
      </c>
      <c r="E10">
        <f>'Account Creation'!AG10</f>
        <v>169</v>
      </c>
      <c r="F10">
        <f>'Account Creation'!AH10</f>
        <v>100978</v>
      </c>
      <c r="G10" s="97" t="str">
        <f t="shared" si="1"/>
        <v>1@Walmart</v>
      </c>
      <c r="H10" s="97">
        <f>'Account Creation'!AH10</f>
        <v>100978</v>
      </c>
      <c r="J10" s="97">
        <f>IF(A10="","",'VCC_Stores ONLY'!B10)</f>
        <v>0</v>
      </c>
      <c r="K10" s="97" t="str">
        <f>IF('Account Creation'!A10="New Hire","Create","")</f>
        <v>Create</v>
      </c>
    </row>
    <row r="11" spans="1:11" x14ac:dyDescent="0.25">
      <c r="A11" t="str">
        <f>TRIM('Help Desk'!D11)</f>
        <v>vn54tqw</v>
      </c>
      <c r="B11" t="str">
        <f>TRIM('Account Creation'!B11)</f>
        <v>Gabriel</v>
      </c>
      <c r="C11" t="str">
        <f>TRIM('Account Creation'!D11)</f>
        <v>Morales</v>
      </c>
      <c r="D11" t="str">
        <f t="shared" si="0"/>
        <v>Gabriel</v>
      </c>
      <c r="E11">
        <f>'Account Creation'!AG11</f>
        <v>169</v>
      </c>
      <c r="F11">
        <f>'Account Creation'!AH11</f>
        <v>100978</v>
      </c>
      <c r="G11" s="97" t="str">
        <f t="shared" si="1"/>
        <v>1@Walmart</v>
      </c>
      <c r="H11" s="97">
        <f>'Account Creation'!AH11</f>
        <v>100978</v>
      </c>
      <c r="J11" s="97">
        <f>IF(A11="","",'VCC_Stores ONLY'!B11)</f>
        <v>0</v>
      </c>
      <c r="K11" s="97" t="str">
        <f>IF('Account Creation'!A11="New Hire","Create","")</f>
        <v>Create</v>
      </c>
    </row>
    <row r="12" spans="1:11" x14ac:dyDescent="0.25">
      <c r="A12" t="str">
        <f>TRIM('Help Desk'!D12)</f>
        <v>vn54tqy</v>
      </c>
      <c r="B12" t="str">
        <f>TRIM('Account Creation'!B12)</f>
        <v>Mercedez</v>
      </c>
      <c r="C12" t="str">
        <f>TRIM('Account Creation'!D12)</f>
        <v>De Leon</v>
      </c>
      <c r="D12" t="str">
        <f t="shared" si="0"/>
        <v>Mercedez</v>
      </c>
      <c r="E12">
        <f>'Account Creation'!AG12</f>
        <v>169</v>
      </c>
      <c r="F12">
        <f>'Account Creation'!AH12</f>
        <v>100978</v>
      </c>
      <c r="G12" s="97" t="str">
        <f t="shared" si="1"/>
        <v>1@Walmart</v>
      </c>
      <c r="H12" s="97">
        <f>'Account Creation'!AH12</f>
        <v>100978</v>
      </c>
      <c r="J12" s="97">
        <f>IF(A12="","",'VCC_Stores ONLY'!B12)</f>
        <v>0</v>
      </c>
      <c r="K12" s="97" t="str">
        <f>IF('Account Creation'!A12="New Hire","Create","")</f>
        <v>Create</v>
      </c>
    </row>
    <row r="13" spans="1:11" x14ac:dyDescent="0.25">
      <c r="A13" t="str">
        <f>TRIM('Help Desk'!D13)</f>
        <v>vn54tr0</v>
      </c>
      <c r="B13" t="str">
        <f>TRIM('Account Creation'!B13)</f>
        <v>Eduardo</v>
      </c>
      <c r="C13" t="str">
        <f>TRIM('Account Creation'!D13)</f>
        <v>Prera</v>
      </c>
      <c r="D13" t="str">
        <f t="shared" si="0"/>
        <v>Eduardo</v>
      </c>
      <c r="E13">
        <f>'Account Creation'!AG13</f>
        <v>169</v>
      </c>
      <c r="F13">
        <f>'Account Creation'!AH13</f>
        <v>100978</v>
      </c>
      <c r="G13" s="97" t="str">
        <f t="shared" si="1"/>
        <v>1@Walmart</v>
      </c>
      <c r="H13" s="97">
        <f>'Account Creation'!AH13</f>
        <v>100978</v>
      </c>
      <c r="J13" s="97">
        <f>IF(A13="","",'VCC_Stores ONLY'!B13)</f>
        <v>0</v>
      </c>
      <c r="K13" s="97" t="str">
        <f>IF('Account Creation'!A13="New Hire","Create","")</f>
        <v>Create</v>
      </c>
    </row>
    <row r="14" spans="1:11" x14ac:dyDescent="0.25">
      <c r="A14" t="str">
        <f>TRIM('Help Desk'!D14)</f>
        <v>vn54tr2</v>
      </c>
      <c r="B14" t="str">
        <f>TRIM('Account Creation'!B14)</f>
        <v>Madelin</v>
      </c>
      <c r="C14" t="str">
        <f>TRIM('Account Creation'!D14)</f>
        <v>Abal</v>
      </c>
      <c r="D14" t="str">
        <f t="shared" si="0"/>
        <v>Madelin</v>
      </c>
      <c r="E14">
        <f>'Account Creation'!AG14</f>
        <v>169</v>
      </c>
      <c r="F14">
        <f>'Account Creation'!AH14</f>
        <v>100978</v>
      </c>
      <c r="G14" s="97" t="str">
        <f t="shared" si="1"/>
        <v>1@Walmart</v>
      </c>
      <c r="H14" s="97">
        <f>'Account Creation'!AH14</f>
        <v>100978</v>
      </c>
      <c r="J14" s="97">
        <f>IF(A14="","",'VCC_Stores ONLY'!B14)</f>
        <v>0</v>
      </c>
      <c r="K14" s="97" t="str">
        <f>IF('Account Creation'!A14="New Hire","Create","")</f>
        <v>Create</v>
      </c>
    </row>
    <row r="15" spans="1:11" x14ac:dyDescent="0.25">
      <c r="A15" t="str">
        <f>TRIM('Help Desk'!D15)</f>
        <v>vn54tr4</v>
      </c>
      <c r="B15" t="str">
        <f>TRIM('Account Creation'!B15)</f>
        <v>Dyana</v>
      </c>
      <c r="C15" t="str">
        <f>TRIM('Account Creation'!D15)</f>
        <v>Calicio</v>
      </c>
      <c r="D15" t="str">
        <f t="shared" si="0"/>
        <v>Dyana</v>
      </c>
      <c r="E15">
        <f>'Account Creation'!AG15</f>
        <v>169</v>
      </c>
      <c r="F15">
        <f>'Account Creation'!AH15</f>
        <v>100978</v>
      </c>
      <c r="G15" s="97" t="str">
        <f t="shared" si="1"/>
        <v>1@Walmart</v>
      </c>
      <c r="H15" s="97">
        <f>'Account Creation'!AH15</f>
        <v>100978</v>
      </c>
      <c r="J15" s="97">
        <f>IF(A15="","",'VCC_Stores ONLY'!B15)</f>
        <v>0</v>
      </c>
      <c r="K15" s="97" t="str">
        <f>IF('Account Creation'!A15="New Hire","Create","")</f>
        <v>Create</v>
      </c>
    </row>
    <row r="16" spans="1:11" x14ac:dyDescent="0.25">
      <c r="A16" t="str">
        <f>TRIM('Help Desk'!D16)</f>
        <v>vn54tr6</v>
      </c>
      <c r="B16" t="str">
        <f>TRIM('Account Creation'!B16)</f>
        <v>Sandra</v>
      </c>
      <c r="C16" t="str">
        <f>TRIM('Account Creation'!D16)</f>
        <v>Arango</v>
      </c>
      <c r="D16" t="str">
        <f t="shared" si="0"/>
        <v>Sandra</v>
      </c>
      <c r="E16">
        <f>'Account Creation'!AG16</f>
        <v>169</v>
      </c>
      <c r="F16">
        <f>'Account Creation'!AH16</f>
        <v>100978</v>
      </c>
      <c r="G16" s="97" t="str">
        <f t="shared" si="1"/>
        <v>1@Walmart</v>
      </c>
      <c r="H16" s="97">
        <f>'Account Creation'!AH16</f>
        <v>100978</v>
      </c>
      <c r="J16" s="97">
        <f>IF(A16="","",'VCC_Stores ONLY'!B16)</f>
        <v>0</v>
      </c>
      <c r="K16" s="97" t="str">
        <f>IF('Account Creation'!A16="New Hire","Create","")</f>
        <v>Create</v>
      </c>
    </row>
    <row r="17" spans="7:11" x14ac:dyDescent="0.25">
      <c r="G17" s="97"/>
      <c r="H17" s="97"/>
      <c r="J17" s="97"/>
      <c r="K17" s="97"/>
    </row>
    <row r="18" spans="7:11" x14ac:dyDescent="0.25">
      <c r="G18" s="97"/>
      <c r="H18" s="97"/>
      <c r="J18" s="97"/>
      <c r="K18" s="97"/>
    </row>
    <row r="19" spans="7:11" x14ac:dyDescent="0.25">
      <c r="G19" s="97"/>
      <c r="H19" s="97"/>
      <c r="J19" s="97"/>
      <c r="K19" s="97"/>
    </row>
    <row r="20" spans="7:11" x14ac:dyDescent="0.25">
      <c r="G20" s="97"/>
      <c r="H20" s="97"/>
      <c r="J20" s="97"/>
      <c r="K20" s="97"/>
    </row>
    <row r="21" spans="7:11" x14ac:dyDescent="0.25">
      <c r="G21" s="97"/>
      <c r="H21" s="97"/>
      <c r="J21" s="97"/>
      <c r="K21" s="97"/>
    </row>
    <row r="22" spans="7:11" x14ac:dyDescent="0.25">
      <c r="G22" s="97"/>
      <c r="H22" s="97"/>
      <c r="J22" s="97"/>
      <c r="K22" s="97"/>
    </row>
    <row r="23" spans="7:11" x14ac:dyDescent="0.25">
      <c r="G23" s="97"/>
      <c r="H23" s="97"/>
      <c r="J23" s="97"/>
      <c r="K23" s="97"/>
    </row>
    <row r="24" spans="7:11" x14ac:dyDescent="0.25">
      <c r="G24" s="97"/>
      <c r="H24" s="97"/>
      <c r="J24" s="97"/>
      <c r="K24" s="97"/>
    </row>
    <row r="25" spans="7:11" x14ac:dyDescent="0.25">
      <c r="G25" s="97"/>
      <c r="H25" s="97"/>
      <c r="J25" s="97"/>
      <c r="K25" s="97"/>
    </row>
    <row r="26" spans="7:11" x14ac:dyDescent="0.25">
      <c r="G26" s="97"/>
      <c r="H26" s="97"/>
      <c r="J26" s="97"/>
      <c r="K26" s="97"/>
    </row>
    <row r="27" spans="7:11" x14ac:dyDescent="0.25">
      <c r="G27" s="97"/>
      <c r="H27" s="97"/>
      <c r="J27" s="97"/>
      <c r="K27" s="97"/>
    </row>
    <row r="28" spans="7:11" x14ac:dyDescent="0.25">
      <c r="G28" s="97"/>
      <c r="H28" s="97"/>
      <c r="J28" s="97"/>
      <c r="K28" s="97"/>
    </row>
    <row r="29" spans="7:11" x14ac:dyDescent="0.25">
      <c r="G29" s="97"/>
      <c r="H29" s="97"/>
      <c r="J29" s="97"/>
      <c r="K29" s="97"/>
    </row>
    <row r="30" spans="7:11" x14ac:dyDescent="0.25">
      <c r="G30" s="97"/>
      <c r="H30" s="97"/>
      <c r="J30" s="97"/>
      <c r="K30" s="97"/>
    </row>
    <row r="31" spans="7:11" x14ac:dyDescent="0.25">
      <c r="G31" s="97"/>
      <c r="H31" s="97"/>
      <c r="J31" s="97"/>
      <c r="K31" s="97"/>
    </row>
    <row r="32" spans="7:11" x14ac:dyDescent="0.25">
      <c r="G32" s="97"/>
      <c r="H32" s="97"/>
      <c r="J32" s="97"/>
      <c r="K32" s="97"/>
    </row>
    <row r="33" spans="7:11" x14ac:dyDescent="0.25">
      <c r="G33" s="97"/>
      <c r="H33" s="97"/>
      <c r="J33" s="97"/>
      <c r="K33" s="97"/>
    </row>
    <row r="34" spans="7:11" x14ac:dyDescent="0.25">
      <c r="G34" s="97"/>
      <c r="H34" s="97"/>
      <c r="J34" s="97"/>
      <c r="K34" s="97"/>
    </row>
    <row r="35" spans="7:11" x14ac:dyDescent="0.25">
      <c r="G35" s="97"/>
      <c r="H35" s="97"/>
      <c r="J35" s="97"/>
      <c r="K35" s="97"/>
    </row>
    <row r="36" spans="7:11" x14ac:dyDescent="0.25">
      <c r="G36" s="97"/>
      <c r="H36" s="97"/>
      <c r="J36" s="97"/>
      <c r="K36" s="97"/>
    </row>
    <row r="37" spans="7:11" x14ac:dyDescent="0.25">
      <c r="G37" s="97"/>
      <c r="H37" s="97"/>
      <c r="J37" s="97"/>
      <c r="K37" s="97"/>
    </row>
    <row r="38" spans="7:11" x14ac:dyDescent="0.25">
      <c r="G38" s="97"/>
      <c r="H38" s="97"/>
      <c r="J38" s="97"/>
      <c r="K38" s="97"/>
    </row>
    <row r="39" spans="7:11" x14ac:dyDescent="0.25">
      <c r="G39" s="97"/>
      <c r="H39" s="97"/>
      <c r="J39" s="97"/>
      <c r="K39" s="97"/>
    </row>
    <row r="40" spans="7:11" x14ac:dyDescent="0.25">
      <c r="G40" s="97"/>
      <c r="H40" s="97"/>
      <c r="J40" s="97"/>
      <c r="K40" s="97"/>
    </row>
    <row r="41" spans="7:11" x14ac:dyDescent="0.25">
      <c r="G41" s="97"/>
      <c r="H41" s="97"/>
      <c r="J41" s="97"/>
      <c r="K41" s="97"/>
    </row>
    <row r="42" spans="7:11" x14ac:dyDescent="0.25">
      <c r="G42" s="97"/>
      <c r="H42" s="97"/>
      <c r="J42" s="97"/>
      <c r="K42" s="97"/>
    </row>
    <row r="43" spans="7:11" x14ac:dyDescent="0.25">
      <c r="G43" s="97"/>
      <c r="H43" s="97"/>
      <c r="J43" s="97"/>
      <c r="K43" s="97"/>
    </row>
    <row r="44" spans="7:11" x14ac:dyDescent="0.25">
      <c r="G44" s="97"/>
      <c r="H44" s="97"/>
      <c r="J44" s="97"/>
      <c r="K44" s="97"/>
    </row>
    <row r="45" spans="7:11" x14ac:dyDescent="0.25">
      <c r="G45" s="97"/>
      <c r="H45" s="97"/>
      <c r="J45" s="97"/>
      <c r="K45" s="97"/>
    </row>
    <row r="46" spans="7:11" x14ac:dyDescent="0.25">
      <c r="G46" s="97"/>
      <c r="H46" s="97"/>
      <c r="J46" s="97"/>
      <c r="K46" s="97"/>
    </row>
    <row r="47" spans="7:11" x14ac:dyDescent="0.25">
      <c r="G47" s="97"/>
      <c r="H47" s="97"/>
      <c r="J47" s="97"/>
      <c r="K47" s="97"/>
    </row>
    <row r="48" spans="7:11" x14ac:dyDescent="0.25">
      <c r="G48" s="97"/>
      <c r="H48" s="97"/>
      <c r="J48" s="97"/>
      <c r="K48" s="97"/>
    </row>
    <row r="49" spans="7:11" x14ac:dyDescent="0.25">
      <c r="G49" s="97"/>
      <c r="H49" s="97"/>
      <c r="J49" s="97"/>
      <c r="K49" s="97"/>
    </row>
    <row r="50" spans="7:11" x14ac:dyDescent="0.25">
      <c r="G50" s="97"/>
      <c r="H50" s="97"/>
      <c r="J50" s="97"/>
      <c r="K50" s="97"/>
    </row>
    <row r="51" spans="7:11" x14ac:dyDescent="0.25">
      <c r="G51" s="97"/>
      <c r="H51" s="97"/>
      <c r="J51" s="97"/>
      <c r="K51" s="97"/>
    </row>
    <row r="52" spans="7:11" x14ac:dyDescent="0.25">
      <c r="G52" s="97"/>
      <c r="H52" s="97"/>
      <c r="J52" s="97"/>
      <c r="K52" s="97"/>
    </row>
    <row r="53" spans="7:11" x14ac:dyDescent="0.25">
      <c r="G53" s="97"/>
      <c r="H53" s="97"/>
      <c r="J53" s="97"/>
      <c r="K53" s="97"/>
    </row>
    <row r="54" spans="7:11" x14ac:dyDescent="0.25">
      <c r="G54" s="97"/>
      <c r="H54" s="97"/>
      <c r="J54" s="97"/>
      <c r="K54" s="97"/>
    </row>
    <row r="55" spans="7:11" x14ac:dyDescent="0.25">
      <c r="G55" s="97"/>
      <c r="H55" s="97"/>
      <c r="J55" s="97"/>
      <c r="K55" s="97"/>
    </row>
    <row r="56" spans="7:11" x14ac:dyDescent="0.25">
      <c r="G56" s="97"/>
      <c r="H56" s="97"/>
      <c r="J56" s="97"/>
      <c r="K56" s="97"/>
    </row>
    <row r="57" spans="7:11" x14ac:dyDescent="0.25">
      <c r="G57" s="97"/>
      <c r="H57" s="97"/>
      <c r="J57" s="97"/>
      <c r="K57" s="97"/>
    </row>
    <row r="58" spans="7:11" x14ac:dyDescent="0.25">
      <c r="G58" s="97"/>
      <c r="H58" s="97"/>
      <c r="J58" s="97"/>
      <c r="K58" s="97"/>
    </row>
    <row r="59" spans="7:11" x14ac:dyDescent="0.25">
      <c r="G59" s="97"/>
      <c r="H59" s="97"/>
      <c r="J59" s="97"/>
      <c r="K59" s="97"/>
    </row>
    <row r="60" spans="7:11" x14ac:dyDescent="0.25">
      <c r="G60" s="97"/>
      <c r="H60" s="97"/>
      <c r="J60" s="97"/>
      <c r="K60" s="97"/>
    </row>
    <row r="61" spans="7:11" x14ac:dyDescent="0.25">
      <c r="G61" s="97"/>
      <c r="H61" s="97"/>
      <c r="J61" s="97"/>
      <c r="K61" s="97"/>
    </row>
    <row r="62" spans="7:11" x14ac:dyDescent="0.25">
      <c r="G62" s="97"/>
      <c r="H62" s="97"/>
      <c r="J62" s="97"/>
      <c r="K62" s="97"/>
    </row>
    <row r="63" spans="7:11" x14ac:dyDescent="0.25">
      <c r="G63" s="97"/>
      <c r="H63" s="97"/>
      <c r="J63" s="97"/>
      <c r="K63" s="97"/>
    </row>
    <row r="64" spans="7:11" x14ac:dyDescent="0.25">
      <c r="G64" s="97"/>
      <c r="H64" s="97"/>
      <c r="J64" s="97"/>
      <c r="K64" s="97"/>
    </row>
    <row r="65" spans="7:11" x14ac:dyDescent="0.25">
      <c r="G65" s="97"/>
      <c r="H65" s="97"/>
      <c r="J65" s="97"/>
      <c r="K65" s="97"/>
    </row>
    <row r="66" spans="7:11" x14ac:dyDescent="0.25">
      <c r="G66" s="97"/>
      <c r="H66" s="97"/>
      <c r="J66" s="97"/>
      <c r="K66" s="97"/>
    </row>
    <row r="67" spans="7:11" x14ac:dyDescent="0.25">
      <c r="G67" s="97"/>
      <c r="H67" s="97"/>
      <c r="J67" s="97"/>
      <c r="K67" s="97"/>
    </row>
    <row r="68" spans="7:11" x14ac:dyDescent="0.25">
      <c r="G68" s="97"/>
      <c r="H68" s="97"/>
      <c r="J68" s="97"/>
      <c r="K68" s="97"/>
    </row>
    <row r="69" spans="7:11" x14ac:dyDescent="0.25">
      <c r="G69" s="97"/>
      <c r="H69" s="97"/>
      <c r="J69" s="97"/>
      <c r="K69" s="97"/>
    </row>
    <row r="70" spans="7:11" x14ac:dyDescent="0.25">
      <c r="G70" s="97"/>
      <c r="H70" s="97"/>
      <c r="J70" s="97"/>
      <c r="K70" s="97"/>
    </row>
    <row r="71" spans="7:11" x14ac:dyDescent="0.25">
      <c r="G71" s="97"/>
      <c r="H71" s="97"/>
      <c r="J71" s="97"/>
      <c r="K71" s="97"/>
    </row>
    <row r="72" spans="7:11" x14ac:dyDescent="0.25">
      <c r="G72" s="97"/>
      <c r="H72" s="97"/>
      <c r="J72" s="97"/>
      <c r="K72" s="97"/>
    </row>
    <row r="73" spans="7:11" x14ac:dyDescent="0.25">
      <c r="G73" s="97"/>
      <c r="H73" s="97"/>
      <c r="J73" s="97"/>
      <c r="K73" s="97"/>
    </row>
    <row r="74" spans="7:11" x14ac:dyDescent="0.25">
      <c r="G74" s="97"/>
      <c r="H74" s="97"/>
      <c r="J74" s="97"/>
      <c r="K74" s="97"/>
    </row>
    <row r="75" spans="7:11" x14ac:dyDescent="0.25">
      <c r="G75" s="97"/>
      <c r="H75" s="97"/>
      <c r="J75" s="97"/>
      <c r="K75" s="97"/>
    </row>
    <row r="76" spans="7:11" x14ac:dyDescent="0.25">
      <c r="G76" s="97"/>
      <c r="H76" s="97"/>
      <c r="J76" s="97"/>
      <c r="K76" s="97"/>
    </row>
    <row r="77" spans="7:11" x14ac:dyDescent="0.25">
      <c r="G77" s="97"/>
      <c r="H77" s="97"/>
      <c r="J77" s="97"/>
      <c r="K77" s="97"/>
    </row>
    <row r="78" spans="7:11" x14ac:dyDescent="0.25">
      <c r="G78" s="97"/>
      <c r="H78" s="97"/>
      <c r="J78" s="97"/>
      <c r="K78" s="97"/>
    </row>
    <row r="79" spans="7:11" x14ac:dyDescent="0.25">
      <c r="G79" s="97"/>
      <c r="H79" s="97"/>
      <c r="J79" s="97"/>
      <c r="K79" s="97"/>
    </row>
    <row r="80" spans="7:11" x14ac:dyDescent="0.25">
      <c r="G80" s="97"/>
      <c r="H80" s="97"/>
      <c r="J80" s="97"/>
      <c r="K80" s="97"/>
    </row>
    <row r="81" spans="7:11" x14ac:dyDescent="0.25">
      <c r="G81" s="97"/>
      <c r="H81" s="97"/>
      <c r="J81" s="97"/>
      <c r="K81" s="97"/>
    </row>
    <row r="82" spans="7:11" x14ac:dyDescent="0.25">
      <c r="G82" s="97"/>
      <c r="H82" s="97"/>
      <c r="J82" s="97"/>
      <c r="K82" s="97"/>
    </row>
    <row r="83" spans="7:11" x14ac:dyDescent="0.25">
      <c r="G83" s="97"/>
      <c r="H83" s="97"/>
      <c r="J83" s="97"/>
      <c r="K83" s="97"/>
    </row>
    <row r="84" spans="7:11" x14ac:dyDescent="0.25">
      <c r="G84" s="97"/>
      <c r="H84" s="97"/>
      <c r="J84" s="97"/>
      <c r="K84" s="97"/>
    </row>
    <row r="85" spans="7:11" x14ac:dyDescent="0.25">
      <c r="G85" s="97"/>
      <c r="H85" s="97"/>
      <c r="J85" s="97"/>
      <c r="K85" s="97"/>
    </row>
    <row r="86" spans="7:11" x14ac:dyDescent="0.25">
      <c r="G86" s="97"/>
      <c r="H86" s="97"/>
      <c r="J86" s="97"/>
      <c r="K86" s="97"/>
    </row>
    <row r="87" spans="7:11" x14ac:dyDescent="0.25">
      <c r="G87" s="97"/>
      <c r="H87" s="97"/>
      <c r="J87" s="97"/>
      <c r="K87" s="97"/>
    </row>
    <row r="88" spans="7:11" x14ac:dyDescent="0.25">
      <c r="G88" s="97"/>
      <c r="H88" s="97"/>
      <c r="J88" s="97"/>
      <c r="K88" s="97"/>
    </row>
    <row r="89" spans="7:11" x14ac:dyDescent="0.25">
      <c r="G89" s="97"/>
      <c r="H89" s="97"/>
      <c r="J89" s="97"/>
      <c r="K89" s="97"/>
    </row>
    <row r="90" spans="7:11" x14ac:dyDescent="0.25">
      <c r="G90" s="97"/>
      <c r="H90" s="97"/>
      <c r="J90" s="97"/>
      <c r="K90" s="97"/>
    </row>
    <row r="91" spans="7:11" x14ac:dyDescent="0.25">
      <c r="G91" s="97"/>
      <c r="H91" s="97"/>
      <c r="J91" s="97"/>
      <c r="K91" s="97"/>
    </row>
    <row r="92" spans="7:11" x14ac:dyDescent="0.25">
      <c r="G92" s="97"/>
      <c r="H92" s="97"/>
      <c r="J92" s="97"/>
      <c r="K92" s="97"/>
    </row>
    <row r="93" spans="7:11" x14ac:dyDescent="0.25">
      <c r="G93" s="97"/>
      <c r="H93" s="97"/>
      <c r="J93" s="97"/>
      <c r="K93" s="97"/>
    </row>
    <row r="94" spans="7:11" x14ac:dyDescent="0.25">
      <c r="G94" s="97"/>
      <c r="H94" s="97"/>
      <c r="J94" s="97"/>
      <c r="K94" s="97"/>
    </row>
    <row r="95" spans="7:11" x14ac:dyDescent="0.25">
      <c r="G95" s="97"/>
      <c r="H95" s="97"/>
      <c r="J95" s="97"/>
      <c r="K95" s="97"/>
    </row>
    <row r="96" spans="7:11" x14ac:dyDescent="0.25">
      <c r="G96" s="97"/>
      <c r="H96" s="97"/>
      <c r="J96" s="97"/>
      <c r="K96" s="97"/>
    </row>
    <row r="97" spans="7:11" x14ac:dyDescent="0.25">
      <c r="G97" s="97"/>
      <c r="H97" s="97"/>
      <c r="J97" s="97"/>
      <c r="K97" s="97"/>
    </row>
    <row r="98" spans="7:11" x14ac:dyDescent="0.25">
      <c r="G98" s="97"/>
      <c r="H98" s="97"/>
      <c r="J98" s="97"/>
      <c r="K98" s="97"/>
    </row>
    <row r="99" spans="7:11" x14ac:dyDescent="0.25">
      <c r="G99" s="97"/>
      <c r="H99" s="97"/>
      <c r="J99" s="97"/>
      <c r="K99" s="97"/>
    </row>
    <row r="100" spans="7:11" x14ac:dyDescent="0.25">
      <c r="G100" s="97"/>
      <c r="H100" s="97"/>
      <c r="J100" s="97"/>
      <c r="K100" s="97"/>
    </row>
    <row r="101" spans="7:11" x14ac:dyDescent="0.25">
      <c r="G101" s="97"/>
      <c r="H101" s="97"/>
      <c r="J101" s="97"/>
      <c r="K101" s="97"/>
    </row>
    <row r="102" spans="7:11" x14ac:dyDescent="0.25">
      <c r="G102" s="97"/>
      <c r="H102" s="97"/>
      <c r="J102" s="97"/>
      <c r="K102" s="97"/>
    </row>
    <row r="103" spans="7:11" x14ac:dyDescent="0.25">
      <c r="G103" s="97"/>
      <c r="H103" s="97"/>
      <c r="J103" s="97"/>
      <c r="K103" s="97"/>
    </row>
    <row r="104" spans="7:11" x14ac:dyDescent="0.25">
      <c r="G104" s="97"/>
      <c r="H104" s="97"/>
      <c r="J104" s="97"/>
      <c r="K104" s="97"/>
    </row>
    <row r="105" spans="7:11" x14ac:dyDescent="0.25">
      <c r="G105" s="97"/>
      <c r="H105" s="97"/>
      <c r="J105" s="97"/>
      <c r="K105" s="97"/>
    </row>
    <row r="106" spans="7:11" x14ac:dyDescent="0.25">
      <c r="G106" s="97"/>
      <c r="H106" s="97"/>
      <c r="J106" s="97"/>
      <c r="K106" s="97"/>
    </row>
    <row r="107" spans="7:11" x14ac:dyDescent="0.25">
      <c r="G107" s="97"/>
      <c r="H107" s="97"/>
      <c r="J107" s="97"/>
      <c r="K107" s="97"/>
    </row>
    <row r="108" spans="7:11" x14ac:dyDescent="0.25">
      <c r="G108" s="97"/>
      <c r="H108" s="97"/>
      <c r="J108" s="97"/>
      <c r="K108" s="97"/>
    </row>
    <row r="109" spans="7:11" x14ac:dyDescent="0.25">
      <c r="G109" s="97"/>
      <c r="H109" s="97"/>
      <c r="J109" s="97"/>
      <c r="K109" s="97"/>
    </row>
    <row r="110" spans="7:11" x14ac:dyDescent="0.25">
      <c r="G110" s="97"/>
      <c r="H110" s="97"/>
      <c r="J110" s="97"/>
      <c r="K110" s="97"/>
    </row>
    <row r="111" spans="7:11" x14ac:dyDescent="0.25">
      <c r="G111" s="97"/>
      <c r="H111" s="97"/>
      <c r="J111" s="97"/>
      <c r="K111" s="97"/>
    </row>
    <row r="112" spans="7:11" x14ac:dyDescent="0.25">
      <c r="G112" s="97"/>
      <c r="H112" s="97"/>
      <c r="J112" s="97"/>
      <c r="K112" s="97"/>
    </row>
    <row r="113" spans="7:11" x14ac:dyDescent="0.25">
      <c r="G113" s="97"/>
      <c r="H113" s="97"/>
      <c r="J113" s="97"/>
      <c r="K113" s="97"/>
    </row>
    <row r="114" spans="7:11" x14ac:dyDescent="0.25">
      <c r="G114" s="97"/>
      <c r="H114" s="97"/>
      <c r="J114" s="97"/>
      <c r="K114" s="97"/>
    </row>
    <row r="115" spans="7:11" x14ac:dyDescent="0.25">
      <c r="G115" s="97"/>
      <c r="H115" s="97"/>
      <c r="J115" s="97"/>
      <c r="K115" s="97"/>
    </row>
    <row r="116" spans="7:11" x14ac:dyDescent="0.25">
      <c r="G116" s="97"/>
      <c r="H116" s="97"/>
      <c r="J116" s="97"/>
      <c r="K116" s="97"/>
    </row>
    <row r="117" spans="7:11" x14ac:dyDescent="0.25">
      <c r="G117" s="97"/>
      <c r="H117" s="97"/>
      <c r="J117" s="97"/>
      <c r="K117" s="97"/>
    </row>
    <row r="118" spans="7:11" x14ac:dyDescent="0.25">
      <c r="G118" s="97"/>
      <c r="H118" s="97"/>
      <c r="J118" s="97"/>
      <c r="K118" s="97"/>
    </row>
    <row r="119" spans="7:11" x14ac:dyDescent="0.25">
      <c r="G119" s="97"/>
      <c r="H119" s="97"/>
      <c r="J119" s="97"/>
      <c r="K119" s="97"/>
    </row>
    <row r="120" spans="7:11" x14ac:dyDescent="0.25">
      <c r="G120" s="97"/>
      <c r="H120" s="97"/>
      <c r="J120" s="97"/>
      <c r="K120" s="97"/>
    </row>
    <row r="121" spans="7:11" x14ac:dyDescent="0.25">
      <c r="G121" s="97"/>
      <c r="H121" s="97"/>
      <c r="J121" s="97"/>
      <c r="K121" s="97"/>
    </row>
    <row r="122" spans="7:11" x14ac:dyDescent="0.25">
      <c r="G122" s="97"/>
      <c r="H122" s="97"/>
      <c r="J122" s="97"/>
      <c r="K122" s="97"/>
    </row>
    <row r="123" spans="7:11" x14ac:dyDescent="0.25">
      <c r="G123" s="97"/>
      <c r="H123" s="97"/>
      <c r="J123" s="97"/>
      <c r="K123" s="97"/>
    </row>
    <row r="124" spans="7:11" x14ac:dyDescent="0.25">
      <c r="G124" s="97"/>
      <c r="H124" s="97"/>
      <c r="J124" s="97"/>
      <c r="K124" s="97"/>
    </row>
    <row r="125" spans="7:11" x14ac:dyDescent="0.25">
      <c r="G125" s="97"/>
      <c r="H125" s="97"/>
      <c r="J125" s="97"/>
      <c r="K125" s="97"/>
    </row>
    <row r="126" spans="7:11" x14ac:dyDescent="0.25">
      <c r="G126" s="97"/>
      <c r="H126" s="97"/>
      <c r="J126" s="97"/>
      <c r="K126" s="97"/>
    </row>
    <row r="127" spans="7:11" x14ac:dyDescent="0.25">
      <c r="G127" s="97"/>
      <c r="H127" s="97"/>
      <c r="J127" s="97"/>
      <c r="K127" s="97"/>
    </row>
    <row r="128" spans="7:11" x14ac:dyDescent="0.25">
      <c r="G128" s="97"/>
      <c r="H128" s="97"/>
      <c r="J128" s="97"/>
      <c r="K128" s="97"/>
    </row>
    <row r="129" spans="7:11" x14ac:dyDescent="0.25">
      <c r="G129" s="97"/>
      <c r="H129" s="97"/>
      <c r="J129" s="97"/>
      <c r="K129" s="97"/>
    </row>
    <row r="130" spans="7:11" x14ac:dyDescent="0.25">
      <c r="G130" s="97"/>
      <c r="H130" s="97"/>
      <c r="J130" s="97"/>
      <c r="K130" s="97"/>
    </row>
    <row r="131" spans="7:11" x14ac:dyDescent="0.25">
      <c r="G131" s="97"/>
      <c r="H131" s="97"/>
      <c r="J131" s="97"/>
      <c r="K131" s="97"/>
    </row>
    <row r="132" spans="7:11" x14ac:dyDescent="0.25">
      <c r="G132" s="97"/>
      <c r="H132" s="97"/>
      <c r="J132" s="97"/>
      <c r="K132" s="97"/>
    </row>
    <row r="133" spans="7:11" x14ac:dyDescent="0.25">
      <c r="G133" s="97"/>
      <c r="H133" s="97"/>
      <c r="J133" s="97"/>
      <c r="K133" s="97"/>
    </row>
    <row r="134" spans="7:11" x14ac:dyDescent="0.25">
      <c r="G134" s="97"/>
      <c r="H134" s="97"/>
      <c r="J134" s="97"/>
      <c r="K134" s="97"/>
    </row>
    <row r="135" spans="7:11" x14ac:dyDescent="0.25">
      <c r="G135" s="97"/>
      <c r="H135" s="97"/>
      <c r="J135" s="97"/>
      <c r="K135" s="97"/>
    </row>
    <row r="136" spans="7:11" x14ac:dyDescent="0.25">
      <c r="G136" s="97"/>
      <c r="H136" s="97"/>
      <c r="J136" s="97"/>
      <c r="K136" s="97"/>
    </row>
    <row r="137" spans="7:11" x14ac:dyDescent="0.25">
      <c r="G137" s="97"/>
      <c r="H137" s="97"/>
      <c r="J137" s="97"/>
      <c r="K137" s="97"/>
    </row>
    <row r="138" spans="7:11" x14ac:dyDescent="0.25">
      <c r="G138" s="97"/>
      <c r="H138" s="97"/>
      <c r="J138" s="97"/>
      <c r="K138" s="97"/>
    </row>
    <row r="139" spans="7:11" x14ac:dyDescent="0.25">
      <c r="G139" s="97"/>
      <c r="H139" s="97"/>
      <c r="J139" s="97"/>
      <c r="K139" s="97"/>
    </row>
    <row r="140" spans="7:11" x14ac:dyDescent="0.25">
      <c r="G140" s="97"/>
      <c r="H140" s="97"/>
      <c r="J140" s="97"/>
      <c r="K140" s="97"/>
    </row>
    <row r="141" spans="7:11" x14ac:dyDescent="0.25">
      <c r="G141" s="97"/>
      <c r="H141" s="97"/>
      <c r="J141" s="97"/>
      <c r="K141" s="97"/>
    </row>
    <row r="142" spans="7:11" x14ac:dyDescent="0.25">
      <c r="G142" s="97"/>
      <c r="H142" s="97"/>
      <c r="J142" s="97"/>
      <c r="K142" s="97"/>
    </row>
    <row r="143" spans="7:11" x14ac:dyDescent="0.25">
      <c r="G143" s="97"/>
      <c r="H143" s="97"/>
      <c r="J143" s="97"/>
      <c r="K143" s="97"/>
    </row>
    <row r="144" spans="7:11" x14ac:dyDescent="0.25">
      <c r="G144" s="97"/>
      <c r="H144" s="97"/>
      <c r="J144" s="97"/>
      <c r="K144" s="97"/>
    </row>
    <row r="145" spans="7:11" x14ac:dyDescent="0.25">
      <c r="G145" s="97"/>
      <c r="H145" s="97"/>
      <c r="J145" s="97"/>
      <c r="K145" s="97"/>
    </row>
    <row r="146" spans="7:11" x14ac:dyDescent="0.25">
      <c r="G146" s="97"/>
      <c r="H146" s="97"/>
      <c r="J146" s="97"/>
      <c r="K146" s="97"/>
    </row>
    <row r="147" spans="7:11" x14ac:dyDescent="0.25">
      <c r="G147" s="97"/>
      <c r="H147" s="97"/>
      <c r="J147" s="97"/>
      <c r="K147" s="97"/>
    </row>
    <row r="148" spans="7:11" x14ac:dyDescent="0.25">
      <c r="G148" s="97"/>
      <c r="H148" s="97"/>
      <c r="J148" s="97"/>
      <c r="K148" s="97"/>
    </row>
    <row r="149" spans="7:11" x14ac:dyDescent="0.25">
      <c r="G149" s="97"/>
      <c r="H149" s="97"/>
      <c r="J149" s="97"/>
      <c r="K149" s="97"/>
    </row>
    <row r="150" spans="7:11" x14ac:dyDescent="0.25">
      <c r="G150" s="97"/>
      <c r="H150" s="97"/>
      <c r="J150" s="97"/>
      <c r="K150" s="97"/>
    </row>
    <row r="151" spans="7:11" x14ac:dyDescent="0.25">
      <c r="G151" s="97"/>
      <c r="H151" s="97"/>
      <c r="J151" s="97"/>
      <c r="K151" s="97"/>
    </row>
    <row r="152" spans="7:11" x14ac:dyDescent="0.25">
      <c r="G152" s="97"/>
      <c r="H152" s="97"/>
      <c r="J152" s="97"/>
      <c r="K152" s="97"/>
    </row>
    <row r="153" spans="7:11" x14ac:dyDescent="0.25">
      <c r="G153" s="97"/>
      <c r="H153" s="97"/>
      <c r="J153" s="97"/>
      <c r="K153" s="97"/>
    </row>
    <row r="154" spans="7:11" x14ac:dyDescent="0.25">
      <c r="G154" s="97"/>
      <c r="H154" s="97"/>
      <c r="J154" s="97"/>
      <c r="K154" s="97"/>
    </row>
    <row r="155" spans="7:11" x14ac:dyDescent="0.25">
      <c r="G155" s="97"/>
      <c r="H155" s="97"/>
      <c r="J155" s="97"/>
      <c r="K155" s="97"/>
    </row>
    <row r="156" spans="7:11" x14ac:dyDescent="0.25">
      <c r="G156" s="97"/>
      <c r="H156" s="97"/>
      <c r="J156" s="97"/>
      <c r="K156" s="97"/>
    </row>
    <row r="157" spans="7:11" x14ac:dyDescent="0.25">
      <c r="G157" s="97"/>
      <c r="H157" s="97"/>
      <c r="J157" s="97"/>
      <c r="K157" s="97"/>
    </row>
    <row r="158" spans="7:11" x14ac:dyDescent="0.25">
      <c r="G158" s="97"/>
      <c r="H158" s="97"/>
      <c r="J158" s="97"/>
      <c r="K158" s="97"/>
    </row>
    <row r="159" spans="7:11" x14ac:dyDescent="0.25">
      <c r="G159" s="97"/>
      <c r="H159" s="97"/>
      <c r="J159" s="97"/>
      <c r="K159" s="97"/>
    </row>
    <row r="160" spans="7:11" x14ac:dyDescent="0.25">
      <c r="G160" s="97"/>
      <c r="H160" s="97"/>
      <c r="J160" s="97"/>
      <c r="K160" s="97"/>
    </row>
    <row r="161" spans="7:11" x14ac:dyDescent="0.25">
      <c r="G161" s="97"/>
      <c r="H161" s="97"/>
      <c r="J161" s="97"/>
      <c r="K161" s="97"/>
    </row>
    <row r="162" spans="7:11" x14ac:dyDescent="0.25">
      <c r="G162" s="97"/>
      <c r="H162" s="97"/>
      <c r="J162" s="97"/>
      <c r="K162" s="97"/>
    </row>
    <row r="163" spans="7:11" x14ac:dyDescent="0.25">
      <c r="G163" s="97"/>
      <c r="H163" s="97"/>
      <c r="J163" s="97"/>
      <c r="K163" s="97"/>
    </row>
    <row r="164" spans="7:11" x14ac:dyDescent="0.25">
      <c r="G164" s="97"/>
      <c r="H164" s="97"/>
      <c r="J164" s="97"/>
      <c r="K164" s="97"/>
    </row>
    <row r="165" spans="7:11" x14ac:dyDescent="0.25">
      <c r="G165" s="97"/>
      <c r="H165" s="97"/>
      <c r="J165" s="97"/>
      <c r="K165" s="97"/>
    </row>
    <row r="166" spans="7:11" x14ac:dyDescent="0.25">
      <c r="G166" s="97"/>
      <c r="H166" s="97"/>
      <c r="J166" s="97"/>
      <c r="K166" s="97"/>
    </row>
    <row r="167" spans="7:11" x14ac:dyDescent="0.25">
      <c r="G167" s="97"/>
      <c r="H167" s="97"/>
      <c r="J167" s="97"/>
      <c r="K167" s="97"/>
    </row>
    <row r="168" spans="7:11" x14ac:dyDescent="0.25">
      <c r="G168" s="97"/>
      <c r="H168" s="97"/>
      <c r="J168" s="97"/>
      <c r="K168" s="97"/>
    </row>
    <row r="169" spans="7:11" x14ac:dyDescent="0.25">
      <c r="G169" s="97"/>
      <c r="H169" s="97"/>
      <c r="J169" s="97"/>
      <c r="K169" s="97"/>
    </row>
    <row r="170" spans="7:11" x14ac:dyDescent="0.25">
      <c r="G170" s="97"/>
      <c r="H170" s="97"/>
      <c r="J170" s="97"/>
      <c r="K170" s="97"/>
    </row>
    <row r="171" spans="7:11" x14ac:dyDescent="0.25">
      <c r="G171" s="97"/>
      <c r="H171" s="97"/>
      <c r="J171" s="97"/>
      <c r="K171" s="97"/>
    </row>
    <row r="172" spans="7:11" x14ac:dyDescent="0.25">
      <c r="G172" s="97"/>
      <c r="H172" s="97"/>
      <c r="J172" s="97"/>
      <c r="K172" s="97"/>
    </row>
    <row r="173" spans="7:11" x14ac:dyDescent="0.25">
      <c r="G173" s="97"/>
      <c r="H173" s="97"/>
      <c r="J173" s="97"/>
      <c r="K173" s="97"/>
    </row>
    <row r="174" spans="7:11" x14ac:dyDescent="0.25">
      <c r="G174" s="97"/>
      <c r="H174" s="97"/>
      <c r="J174" s="97"/>
      <c r="K174" s="97"/>
    </row>
    <row r="175" spans="7:11" x14ac:dyDescent="0.25">
      <c r="G175" s="97"/>
      <c r="H175" s="97"/>
      <c r="J175" s="97"/>
      <c r="K175" s="97"/>
    </row>
    <row r="176" spans="7:11" x14ac:dyDescent="0.25">
      <c r="G176" s="97"/>
      <c r="H176" s="97"/>
      <c r="J176" s="97"/>
      <c r="K176" s="97"/>
    </row>
    <row r="177" spans="7:11" x14ac:dyDescent="0.25">
      <c r="G177" s="97"/>
      <c r="H177" s="97"/>
      <c r="J177" s="97"/>
      <c r="K177" s="97"/>
    </row>
    <row r="178" spans="7:11" x14ac:dyDescent="0.25">
      <c r="G178" s="97"/>
      <c r="H178" s="97"/>
      <c r="J178" s="97"/>
      <c r="K178" s="97"/>
    </row>
    <row r="179" spans="7:11" x14ac:dyDescent="0.25">
      <c r="G179" s="97"/>
      <c r="H179" s="97"/>
      <c r="J179" s="97"/>
      <c r="K179" s="97"/>
    </row>
    <row r="180" spans="7:11" x14ac:dyDescent="0.25">
      <c r="G180" s="97"/>
      <c r="H180" s="97"/>
      <c r="J180" s="97"/>
      <c r="K180" s="97"/>
    </row>
    <row r="181" spans="7:11" x14ac:dyDescent="0.25">
      <c r="G181" s="97"/>
      <c r="H181" s="97"/>
      <c r="J181" s="97"/>
      <c r="K181" s="97"/>
    </row>
    <row r="182" spans="7:11" x14ac:dyDescent="0.25">
      <c r="G182" s="97"/>
      <c r="H182" s="97"/>
      <c r="J182" s="97"/>
      <c r="K182" s="97"/>
    </row>
    <row r="183" spans="7:11" x14ac:dyDescent="0.25">
      <c r="G183" s="97"/>
      <c r="H183" s="97"/>
      <c r="J183" s="97"/>
      <c r="K183" s="97"/>
    </row>
    <row r="184" spans="7:11" x14ac:dyDescent="0.25">
      <c r="G184" s="97"/>
      <c r="H184" s="97"/>
      <c r="J184" s="97"/>
      <c r="K184" s="97"/>
    </row>
    <row r="185" spans="7:11" x14ac:dyDescent="0.25">
      <c r="G185" s="97"/>
      <c r="H185" s="97"/>
      <c r="J185" s="97"/>
      <c r="K185" s="97"/>
    </row>
    <row r="186" spans="7:11" x14ac:dyDescent="0.25">
      <c r="G186" s="97"/>
      <c r="H186" s="97"/>
      <c r="J186" s="97"/>
      <c r="K186" s="97"/>
    </row>
    <row r="187" spans="7:11" x14ac:dyDescent="0.25">
      <c r="G187" s="97"/>
      <c r="H187" s="97"/>
      <c r="J187" s="97"/>
      <c r="K187" s="97"/>
    </row>
    <row r="188" spans="7:11" x14ac:dyDescent="0.25">
      <c r="G188" s="97"/>
      <c r="H188" s="97"/>
      <c r="J188" s="97"/>
      <c r="K188" s="97"/>
    </row>
    <row r="189" spans="7:11" x14ac:dyDescent="0.25">
      <c r="G189" s="97"/>
      <c r="H189" s="97"/>
      <c r="J189" s="97"/>
      <c r="K189" s="97"/>
    </row>
    <row r="190" spans="7:11" x14ac:dyDescent="0.25">
      <c r="G190" s="97"/>
      <c r="H190" s="97"/>
      <c r="J190" s="97"/>
      <c r="K190" s="97"/>
    </row>
    <row r="191" spans="7:11" x14ac:dyDescent="0.25">
      <c r="G191" s="97"/>
      <c r="H191" s="97"/>
      <c r="J191" s="97"/>
      <c r="K191" s="97"/>
    </row>
    <row r="192" spans="7:11" x14ac:dyDescent="0.25">
      <c r="G192" s="97"/>
      <c r="H192" s="97"/>
      <c r="J192" s="97"/>
      <c r="K192" s="97"/>
    </row>
    <row r="193" spans="7:11" x14ac:dyDescent="0.25">
      <c r="G193" s="97"/>
      <c r="H193" s="97"/>
      <c r="J193" s="97"/>
      <c r="K193" s="97"/>
    </row>
    <row r="194" spans="7:11" x14ac:dyDescent="0.25">
      <c r="G194" s="97"/>
      <c r="H194" s="97"/>
      <c r="J194" s="97"/>
      <c r="K194" s="97"/>
    </row>
    <row r="195" spans="7:11" x14ac:dyDescent="0.25">
      <c r="G195" s="97"/>
      <c r="H195" s="97"/>
      <c r="J195" s="97"/>
      <c r="K195" s="97"/>
    </row>
    <row r="196" spans="7:11" x14ac:dyDescent="0.25">
      <c r="G196" s="97"/>
      <c r="H196" s="97"/>
      <c r="J196" s="97"/>
      <c r="K196" s="97"/>
    </row>
    <row r="197" spans="7:11" x14ac:dyDescent="0.25">
      <c r="G197" s="97"/>
      <c r="H197" s="97"/>
      <c r="J197" s="97"/>
      <c r="K197" s="97"/>
    </row>
    <row r="198" spans="7:11" x14ac:dyDescent="0.25">
      <c r="G198" s="97"/>
      <c r="H198" s="97"/>
      <c r="J198" s="97"/>
      <c r="K198" s="97"/>
    </row>
    <row r="199" spans="7:11" x14ac:dyDescent="0.25">
      <c r="G199" s="97"/>
      <c r="H199" s="97"/>
      <c r="J199" s="97"/>
      <c r="K199" s="97"/>
    </row>
    <row r="200" spans="7:11" x14ac:dyDescent="0.25">
      <c r="G200" s="97"/>
      <c r="H200" s="97"/>
      <c r="J200" s="97"/>
      <c r="K200" s="97"/>
    </row>
    <row r="201" spans="7:11" x14ac:dyDescent="0.25">
      <c r="G201" s="97"/>
      <c r="H201" s="97"/>
      <c r="J201" s="97"/>
      <c r="K201" s="97"/>
    </row>
    <row r="202" spans="7:11" x14ac:dyDescent="0.25">
      <c r="G202" s="97"/>
      <c r="H202" s="97"/>
      <c r="J202" s="97"/>
      <c r="K202" s="97"/>
    </row>
    <row r="203" spans="7:11" x14ac:dyDescent="0.25">
      <c r="G203" s="97"/>
      <c r="H203" s="97"/>
      <c r="J203" s="97"/>
      <c r="K203" s="97"/>
    </row>
    <row r="204" spans="7:11" x14ac:dyDescent="0.25">
      <c r="G204" s="97"/>
      <c r="H204" s="97"/>
      <c r="J204" s="97"/>
      <c r="K204" s="97"/>
    </row>
    <row r="205" spans="7:11" x14ac:dyDescent="0.25">
      <c r="G205" s="97"/>
      <c r="H205" s="97"/>
      <c r="J205" s="97"/>
      <c r="K205" s="97"/>
    </row>
    <row r="206" spans="7:11" x14ac:dyDescent="0.25">
      <c r="G206" s="97"/>
      <c r="H206" s="97"/>
      <c r="J206" s="97"/>
      <c r="K206" s="97"/>
    </row>
    <row r="207" spans="7:11" x14ac:dyDescent="0.25">
      <c r="G207" s="97"/>
      <c r="H207" s="97"/>
      <c r="J207" s="97"/>
      <c r="K207" s="97"/>
    </row>
    <row r="208" spans="7:11" x14ac:dyDescent="0.25">
      <c r="G208" s="97"/>
      <c r="H208" s="97"/>
      <c r="J208" s="97"/>
      <c r="K208" s="97"/>
    </row>
    <row r="209" spans="7:11" x14ac:dyDescent="0.25">
      <c r="G209" s="97"/>
      <c r="H209" s="97"/>
      <c r="J209" s="97"/>
      <c r="K209" s="97"/>
    </row>
    <row r="210" spans="7:11" x14ac:dyDescent="0.25">
      <c r="G210" s="97"/>
      <c r="H210" s="97"/>
      <c r="J210" s="97"/>
      <c r="K210" s="97"/>
    </row>
    <row r="211" spans="7:11" x14ac:dyDescent="0.25">
      <c r="G211" s="97"/>
      <c r="H211" s="97"/>
      <c r="J211" s="97"/>
      <c r="K211" s="97"/>
    </row>
    <row r="212" spans="7:11" x14ac:dyDescent="0.25">
      <c r="G212" s="97"/>
      <c r="H212" s="97"/>
      <c r="J212" s="97"/>
      <c r="K212" s="97"/>
    </row>
    <row r="213" spans="7:11" x14ac:dyDescent="0.25">
      <c r="G213" s="97"/>
      <c r="H213" s="97"/>
      <c r="J213" s="97"/>
      <c r="K213" s="97"/>
    </row>
    <row r="214" spans="7:11" x14ac:dyDescent="0.25">
      <c r="G214" s="97"/>
      <c r="H214" s="97"/>
      <c r="J214" s="97"/>
      <c r="K214" s="97"/>
    </row>
    <row r="215" spans="7:11" x14ac:dyDescent="0.25">
      <c r="G215" s="97"/>
      <c r="H215" s="97"/>
      <c r="J215" s="97"/>
      <c r="K215" s="97"/>
    </row>
    <row r="216" spans="7:11" x14ac:dyDescent="0.25">
      <c r="G216" s="97"/>
      <c r="H216" s="97"/>
      <c r="J216" s="97"/>
      <c r="K216" s="97"/>
    </row>
    <row r="217" spans="7:11" x14ac:dyDescent="0.25">
      <c r="G217" s="97"/>
      <c r="H217" s="97"/>
      <c r="J217" s="97"/>
      <c r="K217" s="97"/>
    </row>
    <row r="218" spans="7:11" x14ac:dyDescent="0.25">
      <c r="G218" s="97"/>
      <c r="H218" s="97"/>
      <c r="J218" s="97"/>
      <c r="K218" s="97"/>
    </row>
    <row r="219" spans="7:11" x14ac:dyDescent="0.25">
      <c r="G219" s="97"/>
      <c r="H219" s="97"/>
      <c r="J219" s="97"/>
      <c r="K219" s="97"/>
    </row>
    <row r="220" spans="7:11" x14ac:dyDescent="0.25">
      <c r="G220" s="97"/>
      <c r="H220" s="97"/>
      <c r="J220" s="97"/>
      <c r="K220" s="97"/>
    </row>
    <row r="221" spans="7:11" x14ac:dyDescent="0.25">
      <c r="G221" s="97"/>
      <c r="H221" s="97"/>
      <c r="J221" s="97"/>
      <c r="K221" s="97"/>
    </row>
    <row r="222" spans="7:11" x14ac:dyDescent="0.25">
      <c r="G222" s="97"/>
      <c r="H222" s="97"/>
      <c r="J222" s="97"/>
      <c r="K222" s="97"/>
    </row>
    <row r="223" spans="7:11" x14ac:dyDescent="0.25">
      <c r="G223" s="97"/>
      <c r="H223" s="97"/>
      <c r="J223" s="97"/>
      <c r="K223" s="97"/>
    </row>
    <row r="224" spans="7:11" x14ac:dyDescent="0.25">
      <c r="G224" s="97"/>
      <c r="H224" s="97"/>
      <c r="J224" s="97"/>
      <c r="K224" s="97"/>
    </row>
    <row r="225" spans="7:11" x14ac:dyDescent="0.25">
      <c r="G225" s="97"/>
      <c r="H225" s="97"/>
      <c r="J225" s="97"/>
      <c r="K225" s="97"/>
    </row>
    <row r="226" spans="7:11" x14ac:dyDescent="0.25">
      <c r="G226" s="97"/>
      <c r="H226" s="97"/>
      <c r="J226" s="97"/>
      <c r="K226" s="97"/>
    </row>
    <row r="227" spans="7:11" x14ac:dyDescent="0.25">
      <c r="G227" s="97"/>
      <c r="H227" s="97"/>
      <c r="J227" s="97"/>
      <c r="K227" s="97"/>
    </row>
    <row r="228" spans="7:11" x14ac:dyDescent="0.25">
      <c r="G228" s="97"/>
      <c r="H228" s="97"/>
      <c r="J228" s="97"/>
      <c r="K228" s="97"/>
    </row>
    <row r="229" spans="7:11" x14ac:dyDescent="0.25">
      <c r="G229" s="97"/>
      <c r="H229" s="97"/>
      <c r="J229" s="97"/>
      <c r="K229" s="97"/>
    </row>
    <row r="230" spans="7:11" x14ac:dyDescent="0.25">
      <c r="G230" s="97"/>
      <c r="H230" s="97"/>
      <c r="J230" s="97"/>
      <c r="K230" s="97"/>
    </row>
    <row r="231" spans="7:11" x14ac:dyDescent="0.25">
      <c r="G231" s="97"/>
      <c r="H231" s="97"/>
      <c r="J231" s="97"/>
      <c r="K231" s="97"/>
    </row>
    <row r="232" spans="7:11" x14ac:dyDescent="0.25">
      <c r="G232" s="97"/>
      <c r="H232" s="97"/>
      <c r="J232" s="97"/>
      <c r="K232" s="97"/>
    </row>
    <row r="233" spans="7:11" x14ac:dyDescent="0.25">
      <c r="G233" s="97"/>
      <c r="H233" s="97"/>
      <c r="J233" s="97"/>
      <c r="K233" s="97"/>
    </row>
    <row r="234" spans="7:11" x14ac:dyDescent="0.25">
      <c r="G234" s="97"/>
      <c r="H234" s="97"/>
      <c r="J234" s="97"/>
      <c r="K234" s="97"/>
    </row>
    <row r="235" spans="7:11" x14ac:dyDescent="0.25">
      <c r="G235" s="97"/>
      <c r="H235" s="97"/>
      <c r="J235" s="97"/>
      <c r="K235" s="97"/>
    </row>
    <row r="236" spans="7:11" x14ac:dyDescent="0.25">
      <c r="G236" s="97"/>
      <c r="H236" s="97"/>
      <c r="J236" s="97"/>
      <c r="K236" s="97"/>
    </row>
    <row r="237" spans="7:11" x14ac:dyDescent="0.25">
      <c r="G237" s="97"/>
      <c r="H237" s="97"/>
      <c r="J237" s="97"/>
      <c r="K237" s="97"/>
    </row>
    <row r="238" spans="7:11" x14ac:dyDescent="0.25">
      <c r="G238" s="97"/>
      <c r="H238" s="97"/>
      <c r="J238" s="97"/>
      <c r="K238" s="97"/>
    </row>
    <row r="239" spans="7:11" x14ac:dyDescent="0.25">
      <c r="G239" s="97"/>
      <c r="H239" s="97"/>
      <c r="J239" s="97"/>
      <c r="K239" s="97"/>
    </row>
    <row r="240" spans="7:11" x14ac:dyDescent="0.25">
      <c r="G240" s="97"/>
      <c r="H240" s="97"/>
      <c r="J240" s="97"/>
      <c r="K240" s="97"/>
    </row>
    <row r="241" spans="7:11" x14ac:dyDescent="0.25">
      <c r="G241" s="97"/>
      <c r="H241" s="97"/>
      <c r="J241" s="97"/>
      <c r="K241" s="97"/>
    </row>
    <row r="242" spans="7:11" x14ac:dyDescent="0.25">
      <c r="G242" s="97"/>
      <c r="H242" s="97"/>
      <c r="J242" s="97"/>
      <c r="K242" s="97"/>
    </row>
    <row r="243" spans="7:11" x14ac:dyDescent="0.25">
      <c r="G243" s="97"/>
      <c r="H243" s="97"/>
      <c r="J243" s="97"/>
      <c r="K243" s="97"/>
    </row>
    <row r="244" spans="7:11" x14ac:dyDescent="0.25">
      <c r="G244" s="97"/>
      <c r="H244" s="97"/>
      <c r="J244" s="97"/>
      <c r="K244" s="97"/>
    </row>
    <row r="245" spans="7:11" x14ac:dyDescent="0.25">
      <c r="G245" s="97"/>
      <c r="H245" s="97"/>
      <c r="J245" s="97"/>
      <c r="K245" s="97"/>
    </row>
    <row r="246" spans="7:11" x14ac:dyDescent="0.25">
      <c r="G246" s="97"/>
      <c r="H246" s="97"/>
      <c r="J246" s="97"/>
      <c r="K246" s="97"/>
    </row>
    <row r="247" spans="7:11" x14ac:dyDescent="0.25">
      <c r="G247" s="97"/>
      <c r="H247" s="97"/>
      <c r="J247" s="97"/>
      <c r="K247" s="97"/>
    </row>
    <row r="248" spans="7:11" x14ac:dyDescent="0.25">
      <c r="G248" s="97"/>
      <c r="H248" s="97"/>
      <c r="J248" s="97"/>
      <c r="K248" s="97"/>
    </row>
    <row r="249" spans="7:11" x14ac:dyDescent="0.25">
      <c r="G249" s="97"/>
      <c r="H249" s="97"/>
      <c r="J249" s="97"/>
      <c r="K249" s="97"/>
    </row>
    <row r="250" spans="7:11" x14ac:dyDescent="0.25">
      <c r="G250" s="97"/>
      <c r="H250" s="97"/>
      <c r="J250" s="97"/>
      <c r="K250" s="97"/>
    </row>
    <row r="251" spans="7:11" x14ac:dyDescent="0.25">
      <c r="G251" s="97"/>
      <c r="H251" s="97"/>
      <c r="J251" s="97"/>
      <c r="K251" s="97"/>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829F0-3886-44A5-AEA5-3B983EC63A22}">
  <sheetPr codeName="Sheet12"/>
  <dimension ref="A1:J250"/>
  <sheetViews>
    <sheetView showZeros="0" workbookViewId="0">
      <selection activeCell="I2" sqref="I2"/>
    </sheetView>
  </sheetViews>
  <sheetFormatPr defaultColWidth="21.42578125" defaultRowHeight="15" x14ac:dyDescent="0.25"/>
  <cols>
    <col min="4" max="4" width="21.42578125" style="4"/>
    <col min="10" max="10" width="26" bestFit="1" customWidth="1"/>
  </cols>
  <sheetData>
    <row r="1" spans="1:10" x14ac:dyDescent="0.25">
      <c r="A1" s="2" t="s">
        <v>351</v>
      </c>
      <c r="B1" s="2" t="s">
        <v>2</v>
      </c>
      <c r="C1" s="2" t="s">
        <v>0</v>
      </c>
      <c r="D1" s="7" t="s">
        <v>391</v>
      </c>
      <c r="E1" s="2" t="s">
        <v>392</v>
      </c>
      <c r="F1" s="2" t="s">
        <v>393</v>
      </c>
      <c r="G1" s="2" t="s">
        <v>340</v>
      </c>
      <c r="H1" s="2" t="s">
        <v>394</v>
      </c>
      <c r="I1" s="2" t="s">
        <v>395</v>
      </c>
      <c r="J1" s="2" t="s">
        <v>396</v>
      </c>
    </row>
    <row r="2" spans="1:10" x14ac:dyDescent="0.25">
      <c r="A2" t="str">
        <f>TRIM('Help Desk'!D2)</f>
        <v>vn54tqf</v>
      </c>
      <c r="B2" t="str">
        <f>TRIM('Account Creation'!B2)</f>
        <v>Cristian</v>
      </c>
      <c r="C2" t="str">
        <f>TRIM('Account Creation'!D2)</f>
        <v>Ramirez</v>
      </c>
      <c r="D2" s="4" t="str">
        <f>B2</f>
        <v>Cristian</v>
      </c>
      <c r="E2">
        <f>IF('Account Creation'!AG2="",FALSE,'Account Creation'!AG2)</f>
        <v>169</v>
      </c>
      <c r="F2">
        <f>IF('Account Creation'!AH2="",FALSE,'Account Creation'!AH2)</f>
        <v>100978</v>
      </c>
      <c r="G2" s="5" t="s">
        <v>544</v>
      </c>
      <c r="H2" t="str">
        <f t="shared" ref="H2:H65" si="0">A2</f>
        <v>vn54tqf</v>
      </c>
      <c r="I2">
        <f>'VCC_Stores ONLY'!B2</f>
        <v>0</v>
      </c>
      <c r="J2" s="4">
        <f>('Account Creation'!G2 - 25569) * 86400</f>
        <v>1665964800</v>
      </c>
    </row>
    <row r="3" spans="1:10" x14ac:dyDescent="0.25">
      <c r="A3" t="str">
        <f>TRIM('Help Desk'!D3)</f>
        <v>vn54tqh</v>
      </c>
      <c r="B3" t="str">
        <f>TRIM('Account Creation'!B3)</f>
        <v>Claudia</v>
      </c>
      <c r="C3" t="str">
        <f>TRIM('Account Creation'!D3)</f>
        <v>Garcia</v>
      </c>
      <c r="D3" s="4" t="str">
        <f t="shared" ref="D3:D66" si="1">B3</f>
        <v>Claudia</v>
      </c>
      <c r="E3">
        <f>IF('Account Creation'!AG3="",FALSE,'Account Creation'!AG3)</f>
        <v>169</v>
      </c>
      <c r="F3">
        <f>IF('Account Creation'!AH3="",FALSE,'Account Creation'!AH3)</f>
        <v>100978</v>
      </c>
      <c r="G3" s="5" t="s">
        <v>544</v>
      </c>
      <c r="H3" t="str">
        <f t="shared" si="0"/>
        <v>vn54tqh</v>
      </c>
      <c r="I3">
        <f>'VCC_Stores ONLY'!B3</f>
        <v>0</v>
      </c>
      <c r="J3" s="4">
        <f>('Account Creation'!G3 - 25569) * 86400</f>
        <v>1665964800</v>
      </c>
    </row>
    <row r="4" spans="1:10" x14ac:dyDescent="0.25">
      <c r="A4" t="str">
        <f>TRIM('Help Desk'!D4)</f>
        <v>vn54tqj</v>
      </c>
      <c r="B4" t="str">
        <f>TRIM('Account Creation'!B4)</f>
        <v>Luis</v>
      </c>
      <c r="C4" t="str">
        <f>TRIM('Account Creation'!D4)</f>
        <v>Hernandez</v>
      </c>
      <c r="D4" s="4" t="str">
        <f t="shared" si="1"/>
        <v>Luis</v>
      </c>
      <c r="E4">
        <f>IF('Account Creation'!AG4="",FALSE,'Account Creation'!AG4)</f>
        <v>169</v>
      </c>
      <c r="F4">
        <f>IF('Account Creation'!AH4="",FALSE,'Account Creation'!AH4)</f>
        <v>100978</v>
      </c>
      <c r="G4" s="5" t="s">
        <v>544</v>
      </c>
      <c r="H4" t="str">
        <f t="shared" si="0"/>
        <v>vn54tqj</v>
      </c>
      <c r="I4">
        <f>'VCC_Stores ONLY'!B4</f>
        <v>0</v>
      </c>
      <c r="J4" s="4">
        <f>('Account Creation'!G4 - 25569) * 86400</f>
        <v>1665964800</v>
      </c>
    </row>
    <row r="5" spans="1:10" x14ac:dyDescent="0.25">
      <c r="A5" t="str">
        <f>TRIM('Help Desk'!D5)</f>
        <v>vn54tql</v>
      </c>
      <c r="B5" t="str">
        <f>TRIM('Account Creation'!B5)</f>
        <v>Sofia</v>
      </c>
      <c r="C5" t="str">
        <f>TRIM('Account Creation'!D5)</f>
        <v>Marroquin</v>
      </c>
      <c r="D5" s="4" t="str">
        <f t="shared" si="1"/>
        <v>Sofia</v>
      </c>
      <c r="E5">
        <f>IF('Account Creation'!AG5="",FALSE,'Account Creation'!AG5)</f>
        <v>169</v>
      </c>
      <c r="F5">
        <f>IF('Account Creation'!AH5="",FALSE,'Account Creation'!AH5)</f>
        <v>100978</v>
      </c>
      <c r="G5" s="5" t="s">
        <v>544</v>
      </c>
      <c r="H5" t="str">
        <f t="shared" si="0"/>
        <v>vn54tql</v>
      </c>
      <c r="I5">
        <f>'VCC_Stores ONLY'!B5</f>
        <v>0</v>
      </c>
      <c r="J5" s="4">
        <f>('Account Creation'!G5 - 25569) * 86400</f>
        <v>1665964800</v>
      </c>
    </row>
    <row r="6" spans="1:10" x14ac:dyDescent="0.25">
      <c r="A6" t="str">
        <f>TRIM('Help Desk'!D6)</f>
        <v>vn54tqn</v>
      </c>
      <c r="B6" t="str">
        <f>TRIM('Account Creation'!B6)</f>
        <v>Guillermo</v>
      </c>
      <c r="C6" t="str">
        <f>TRIM('Account Creation'!D6)</f>
        <v>Zamora</v>
      </c>
      <c r="D6" s="4" t="str">
        <f t="shared" si="1"/>
        <v>Guillermo</v>
      </c>
      <c r="E6">
        <f>IF('Account Creation'!AG6="",FALSE,'Account Creation'!AG6)</f>
        <v>169</v>
      </c>
      <c r="F6">
        <f>IF('Account Creation'!AH6="",FALSE,'Account Creation'!AH6)</f>
        <v>100978</v>
      </c>
      <c r="G6" s="5" t="s">
        <v>544</v>
      </c>
      <c r="H6" t="str">
        <f t="shared" si="0"/>
        <v>vn54tqn</v>
      </c>
      <c r="I6">
        <f>'VCC_Stores ONLY'!B6</f>
        <v>0</v>
      </c>
      <c r="J6" s="4">
        <f>('Account Creation'!G6 - 25569) * 86400</f>
        <v>1665964800</v>
      </c>
    </row>
    <row r="7" spans="1:10" x14ac:dyDescent="0.25">
      <c r="A7" t="str">
        <f>TRIM('Help Desk'!D7)</f>
        <v>vn54tqo</v>
      </c>
      <c r="B7" t="str">
        <f>TRIM('Account Creation'!B7)</f>
        <v>Katherine</v>
      </c>
      <c r="C7" t="str">
        <f>TRIM('Account Creation'!D7)</f>
        <v>Santizo</v>
      </c>
      <c r="D7" s="4" t="str">
        <f t="shared" si="1"/>
        <v>Katherine</v>
      </c>
      <c r="E7">
        <f>IF('Account Creation'!AG7="",FALSE,'Account Creation'!AG7)</f>
        <v>169</v>
      </c>
      <c r="F7">
        <f>IF('Account Creation'!AH7="",FALSE,'Account Creation'!AH7)</f>
        <v>100978</v>
      </c>
      <c r="G7" s="5" t="s">
        <v>544</v>
      </c>
      <c r="H7" t="str">
        <f t="shared" si="0"/>
        <v>vn54tqo</v>
      </c>
      <c r="I7">
        <f>'VCC_Stores ONLY'!B7</f>
        <v>0</v>
      </c>
      <c r="J7" s="4">
        <f>('Account Creation'!G7 - 25569) * 86400</f>
        <v>1665964800</v>
      </c>
    </row>
    <row r="8" spans="1:10" x14ac:dyDescent="0.25">
      <c r="A8" t="str">
        <f>TRIM('Help Desk'!D8)</f>
        <v>vn54tqq</v>
      </c>
      <c r="B8" t="str">
        <f>TRIM('Account Creation'!B8)</f>
        <v>Josue</v>
      </c>
      <c r="C8" t="str">
        <f>TRIM('Account Creation'!D8)</f>
        <v>Manrique</v>
      </c>
      <c r="D8" s="4" t="str">
        <f t="shared" si="1"/>
        <v>Josue</v>
      </c>
      <c r="E8">
        <f>IF('Account Creation'!AG8="",FALSE,'Account Creation'!AG8)</f>
        <v>169</v>
      </c>
      <c r="F8">
        <f>IF('Account Creation'!AH8="",FALSE,'Account Creation'!AH8)</f>
        <v>100978</v>
      </c>
      <c r="G8" s="5" t="s">
        <v>544</v>
      </c>
      <c r="H8" t="str">
        <f t="shared" si="0"/>
        <v>vn54tqq</v>
      </c>
      <c r="I8">
        <f>'VCC_Stores ONLY'!B8</f>
        <v>0</v>
      </c>
      <c r="J8" s="4">
        <f>('Account Creation'!G8 - 25569) * 86400</f>
        <v>1665964800</v>
      </c>
    </row>
    <row r="9" spans="1:10" x14ac:dyDescent="0.25">
      <c r="A9" t="str">
        <f>TRIM('Help Desk'!D9)</f>
        <v>vn54tqs</v>
      </c>
      <c r="B9" t="str">
        <f>TRIM('Account Creation'!B9)</f>
        <v>Kristtel</v>
      </c>
      <c r="C9" t="str">
        <f>TRIM('Account Creation'!D9)</f>
        <v>Hernandez</v>
      </c>
      <c r="D9" s="4" t="str">
        <f t="shared" si="1"/>
        <v>Kristtel</v>
      </c>
      <c r="E9">
        <f>IF('Account Creation'!AG9="",FALSE,'Account Creation'!AG9)</f>
        <v>169</v>
      </c>
      <c r="F9">
        <f>IF('Account Creation'!AH9="",FALSE,'Account Creation'!AH9)</f>
        <v>100978</v>
      </c>
      <c r="G9" s="5" t="s">
        <v>544</v>
      </c>
      <c r="H9" t="str">
        <f t="shared" si="0"/>
        <v>vn54tqs</v>
      </c>
      <c r="I9">
        <f>'VCC_Stores ONLY'!B9</f>
        <v>0</v>
      </c>
      <c r="J9" s="4">
        <f>('Account Creation'!G9 - 25569) * 86400</f>
        <v>1665964800</v>
      </c>
    </row>
    <row r="10" spans="1:10" x14ac:dyDescent="0.25">
      <c r="A10" t="str">
        <f>TRIM('Help Desk'!D10)</f>
        <v>vn54tqu</v>
      </c>
      <c r="B10" t="str">
        <f>TRIM('Account Creation'!B10)</f>
        <v>Juan</v>
      </c>
      <c r="C10" t="str">
        <f>TRIM('Account Creation'!D10)</f>
        <v>Flores</v>
      </c>
      <c r="D10" s="4" t="str">
        <f t="shared" si="1"/>
        <v>Juan</v>
      </c>
      <c r="E10">
        <f>IF('Account Creation'!AG10="",FALSE,'Account Creation'!AG10)</f>
        <v>169</v>
      </c>
      <c r="F10">
        <f>IF('Account Creation'!AH10="",FALSE,'Account Creation'!AH10)</f>
        <v>100978</v>
      </c>
      <c r="G10" s="5" t="s">
        <v>544</v>
      </c>
      <c r="H10" t="str">
        <f t="shared" si="0"/>
        <v>vn54tqu</v>
      </c>
      <c r="I10">
        <f>'VCC_Stores ONLY'!B10</f>
        <v>0</v>
      </c>
      <c r="J10" s="4">
        <f>('Account Creation'!G10 - 25569) * 86400</f>
        <v>1665964800</v>
      </c>
    </row>
    <row r="11" spans="1:10" x14ac:dyDescent="0.25">
      <c r="A11" t="str">
        <f>TRIM('Help Desk'!D11)</f>
        <v>vn54tqw</v>
      </c>
      <c r="B11" t="str">
        <f>TRIM('Account Creation'!B11)</f>
        <v>Gabriel</v>
      </c>
      <c r="C11" t="str">
        <f>TRIM('Account Creation'!D11)</f>
        <v>Morales</v>
      </c>
      <c r="D11" s="4" t="str">
        <f t="shared" si="1"/>
        <v>Gabriel</v>
      </c>
      <c r="E11">
        <f>IF('Account Creation'!AG11="",FALSE,'Account Creation'!AG11)</f>
        <v>169</v>
      </c>
      <c r="F11">
        <f>IF('Account Creation'!AH11="",FALSE,'Account Creation'!AH11)</f>
        <v>100978</v>
      </c>
      <c r="G11" s="5" t="s">
        <v>544</v>
      </c>
      <c r="H11" t="str">
        <f t="shared" si="0"/>
        <v>vn54tqw</v>
      </c>
      <c r="I11">
        <f>'VCC_Stores ONLY'!B11</f>
        <v>0</v>
      </c>
      <c r="J11" s="4">
        <f>('Account Creation'!G11 - 25569) * 86400</f>
        <v>1665964800</v>
      </c>
    </row>
    <row r="12" spans="1:10" x14ac:dyDescent="0.25">
      <c r="A12" t="str">
        <f>TRIM('Help Desk'!D12)</f>
        <v>vn54tqy</v>
      </c>
      <c r="B12" t="str">
        <f>TRIM('Account Creation'!B12)</f>
        <v>Mercedez</v>
      </c>
      <c r="C12" t="str">
        <f>TRIM('Account Creation'!D12)</f>
        <v>De Leon</v>
      </c>
      <c r="D12" s="4" t="str">
        <f t="shared" si="1"/>
        <v>Mercedez</v>
      </c>
      <c r="E12">
        <f>IF('Account Creation'!AG12="",FALSE,'Account Creation'!AG12)</f>
        <v>169</v>
      </c>
      <c r="F12">
        <f>IF('Account Creation'!AH12="",FALSE,'Account Creation'!AH12)</f>
        <v>100978</v>
      </c>
      <c r="G12" s="5" t="s">
        <v>544</v>
      </c>
      <c r="H12" t="str">
        <f t="shared" si="0"/>
        <v>vn54tqy</v>
      </c>
      <c r="I12">
        <f>'VCC_Stores ONLY'!B12</f>
        <v>0</v>
      </c>
      <c r="J12" s="4">
        <f>('Account Creation'!G12 - 25569) * 86400</f>
        <v>1665964800</v>
      </c>
    </row>
    <row r="13" spans="1:10" x14ac:dyDescent="0.25">
      <c r="A13" t="str">
        <f>TRIM('Help Desk'!D13)</f>
        <v>vn54tr0</v>
      </c>
      <c r="B13" t="str">
        <f>TRIM('Account Creation'!B13)</f>
        <v>Eduardo</v>
      </c>
      <c r="C13" t="str">
        <f>TRIM('Account Creation'!D13)</f>
        <v>Prera</v>
      </c>
      <c r="D13" s="4" t="str">
        <f t="shared" si="1"/>
        <v>Eduardo</v>
      </c>
      <c r="E13">
        <f>IF('Account Creation'!AG13="",FALSE,'Account Creation'!AG13)</f>
        <v>169</v>
      </c>
      <c r="F13">
        <f>IF('Account Creation'!AH13="",FALSE,'Account Creation'!AH13)</f>
        <v>100978</v>
      </c>
      <c r="G13" s="5" t="s">
        <v>544</v>
      </c>
      <c r="H13" t="str">
        <f t="shared" si="0"/>
        <v>vn54tr0</v>
      </c>
      <c r="I13">
        <f>'VCC_Stores ONLY'!B13</f>
        <v>0</v>
      </c>
      <c r="J13" s="4">
        <f>('Account Creation'!G13 - 25569) * 86400</f>
        <v>1665964800</v>
      </c>
    </row>
    <row r="14" spans="1:10" x14ac:dyDescent="0.25">
      <c r="A14" t="str">
        <f>TRIM('Help Desk'!D14)</f>
        <v>vn54tr2</v>
      </c>
      <c r="B14" t="str">
        <f>TRIM('Account Creation'!B14)</f>
        <v>Madelin</v>
      </c>
      <c r="C14" t="str">
        <f>TRIM('Account Creation'!D14)</f>
        <v>Abal</v>
      </c>
      <c r="D14" s="4" t="str">
        <f t="shared" si="1"/>
        <v>Madelin</v>
      </c>
      <c r="E14">
        <f>IF('Account Creation'!AG14="",FALSE,'Account Creation'!AG14)</f>
        <v>169</v>
      </c>
      <c r="F14">
        <f>IF('Account Creation'!AH14="",FALSE,'Account Creation'!AH14)</f>
        <v>100978</v>
      </c>
      <c r="G14" s="5" t="s">
        <v>544</v>
      </c>
      <c r="H14" t="str">
        <f t="shared" si="0"/>
        <v>vn54tr2</v>
      </c>
      <c r="I14">
        <f>'VCC_Stores ONLY'!B14</f>
        <v>0</v>
      </c>
      <c r="J14" s="4">
        <f>('Account Creation'!G14 - 25569) * 86400</f>
        <v>1665964800</v>
      </c>
    </row>
    <row r="15" spans="1:10" x14ac:dyDescent="0.25">
      <c r="A15" t="str">
        <f>TRIM('Help Desk'!D15)</f>
        <v>vn54tr4</v>
      </c>
      <c r="B15" t="str">
        <f>TRIM('Account Creation'!B15)</f>
        <v>Dyana</v>
      </c>
      <c r="C15" t="str">
        <f>TRIM('Account Creation'!D15)</f>
        <v>Calicio</v>
      </c>
      <c r="D15" s="4" t="str">
        <f t="shared" si="1"/>
        <v>Dyana</v>
      </c>
      <c r="E15">
        <f>IF('Account Creation'!AG15="",FALSE,'Account Creation'!AG15)</f>
        <v>169</v>
      </c>
      <c r="F15">
        <f>IF('Account Creation'!AH15="",FALSE,'Account Creation'!AH15)</f>
        <v>100978</v>
      </c>
      <c r="G15" s="5" t="s">
        <v>544</v>
      </c>
      <c r="H15" t="str">
        <f t="shared" si="0"/>
        <v>vn54tr4</v>
      </c>
      <c r="I15">
        <f>'VCC_Stores ONLY'!B15</f>
        <v>0</v>
      </c>
      <c r="J15" s="4">
        <f>('Account Creation'!G15 - 25569) * 86400</f>
        <v>1665964800</v>
      </c>
    </row>
    <row r="16" spans="1:10" x14ac:dyDescent="0.25">
      <c r="A16" t="str">
        <f>TRIM('Help Desk'!D16)</f>
        <v>vn54tr6</v>
      </c>
      <c r="B16" t="str">
        <f>TRIM('Account Creation'!B16)</f>
        <v>Sandra</v>
      </c>
      <c r="C16" t="str">
        <f>TRIM('Account Creation'!D16)</f>
        <v>Arango</v>
      </c>
      <c r="D16" s="4" t="str">
        <f t="shared" si="1"/>
        <v>Sandra</v>
      </c>
      <c r="E16">
        <f>IF('Account Creation'!AG16="",FALSE,'Account Creation'!AG16)</f>
        <v>169</v>
      </c>
      <c r="F16">
        <f>IF('Account Creation'!AH16="",FALSE,'Account Creation'!AH16)</f>
        <v>100978</v>
      </c>
      <c r="G16" s="5" t="s">
        <v>544</v>
      </c>
      <c r="H16" t="str">
        <f t="shared" si="0"/>
        <v>vn54tr6</v>
      </c>
      <c r="I16">
        <f>'VCC_Stores ONLY'!B16</f>
        <v>0</v>
      </c>
      <c r="J16" s="4">
        <f>('Account Creation'!G16 - 25569) * 86400</f>
        <v>1665964800</v>
      </c>
    </row>
    <row r="17" spans="1:10" x14ac:dyDescent="0.25">
      <c r="A17" t="str">
        <f>TRIM('Help Desk'!D17)</f>
        <v/>
      </c>
      <c r="B17" t="str">
        <f>TRIM('Account Creation'!B17)</f>
        <v/>
      </c>
      <c r="C17" t="str">
        <f>TRIM('Account Creation'!D17)</f>
        <v/>
      </c>
      <c r="D17" s="4" t="str">
        <f t="shared" si="1"/>
        <v/>
      </c>
      <c r="E17" t="b">
        <f>IF('Account Creation'!AG17="",FALSE,'Account Creation'!AG17)</f>
        <v>0</v>
      </c>
      <c r="F17" t="b">
        <f>IF('Account Creation'!AH17="",FALSE,'Account Creation'!AH17)</f>
        <v>0</v>
      </c>
      <c r="G17" s="5" t="s">
        <v>544</v>
      </c>
      <c r="H17" t="str">
        <f t="shared" si="0"/>
        <v/>
      </c>
      <c r="I17">
        <f>'VCC_Stores ONLY'!B17</f>
        <v>0</v>
      </c>
      <c r="J17" s="4">
        <f>('Account Creation'!G17 - 25569) * 86400</f>
        <v>-2209161600</v>
      </c>
    </row>
    <row r="18" spans="1:10" x14ac:dyDescent="0.25">
      <c r="A18" t="str">
        <f>TRIM('Help Desk'!D18)</f>
        <v/>
      </c>
      <c r="B18" t="str">
        <f>TRIM('Account Creation'!B18)</f>
        <v/>
      </c>
      <c r="C18" t="str">
        <f>TRIM('Account Creation'!D18)</f>
        <v/>
      </c>
      <c r="D18" s="4" t="str">
        <f t="shared" si="1"/>
        <v/>
      </c>
      <c r="E18" t="b">
        <f>IF('Account Creation'!AG18="",FALSE,'Account Creation'!AG18)</f>
        <v>0</v>
      </c>
      <c r="F18" t="b">
        <f>IF('Account Creation'!AH18="",FALSE,'Account Creation'!AH18)</f>
        <v>0</v>
      </c>
      <c r="G18" s="5" t="s">
        <v>544</v>
      </c>
      <c r="H18" t="str">
        <f t="shared" si="0"/>
        <v/>
      </c>
      <c r="I18">
        <f>'VCC_Stores ONLY'!B18</f>
        <v>0</v>
      </c>
      <c r="J18" s="4">
        <f>('Account Creation'!G18 - 25569) * 86400</f>
        <v>-2209161600</v>
      </c>
    </row>
    <row r="19" spans="1:10" x14ac:dyDescent="0.25">
      <c r="A19" t="str">
        <f>TRIM('Help Desk'!D19)</f>
        <v/>
      </c>
      <c r="B19" t="str">
        <f>TRIM('Account Creation'!B19)</f>
        <v/>
      </c>
      <c r="C19" t="str">
        <f>TRIM('Account Creation'!D19)</f>
        <v/>
      </c>
      <c r="D19" s="4" t="str">
        <f t="shared" si="1"/>
        <v/>
      </c>
      <c r="E19" t="b">
        <f>IF('Account Creation'!AG19="",FALSE,'Account Creation'!AG19)</f>
        <v>0</v>
      </c>
      <c r="F19" t="b">
        <f>IF('Account Creation'!AH19="",FALSE,'Account Creation'!AH19)</f>
        <v>0</v>
      </c>
      <c r="G19" s="5" t="s">
        <v>544</v>
      </c>
      <c r="H19" t="str">
        <f t="shared" si="0"/>
        <v/>
      </c>
      <c r="I19">
        <f>'VCC_Stores ONLY'!B19</f>
        <v>0</v>
      </c>
      <c r="J19" s="4">
        <f>('Account Creation'!G19 - 25569) * 86400</f>
        <v>-2209161600</v>
      </c>
    </row>
    <row r="20" spans="1:10" x14ac:dyDescent="0.25">
      <c r="A20" t="str">
        <f>TRIM('Help Desk'!D20)</f>
        <v/>
      </c>
      <c r="B20" t="str">
        <f>TRIM('Account Creation'!B20)</f>
        <v/>
      </c>
      <c r="C20" t="str">
        <f>TRIM('Account Creation'!D20)</f>
        <v/>
      </c>
      <c r="D20" s="4" t="str">
        <f t="shared" si="1"/>
        <v/>
      </c>
      <c r="E20" t="b">
        <f>IF('Account Creation'!AG20="",FALSE,'Account Creation'!AG20)</f>
        <v>0</v>
      </c>
      <c r="F20" t="b">
        <f>IF('Account Creation'!AH20="",FALSE,'Account Creation'!AH20)</f>
        <v>0</v>
      </c>
      <c r="G20" s="5" t="s">
        <v>544</v>
      </c>
      <c r="H20" t="str">
        <f t="shared" si="0"/>
        <v/>
      </c>
      <c r="I20">
        <f>'VCC_Stores ONLY'!B20</f>
        <v>0</v>
      </c>
      <c r="J20" s="4">
        <f>('Account Creation'!G20 - 25569) * 86400</f>
        <v>-2209161600</v>
      </c>
    </row>
    <row r="21" spans="1:10" x14ac:dyDescent="0.25">
      <c r="A21" t="str">
        <f>TRIM('Help Desk'!D21)</f>
        <v/>
      </c>
      <c r="B21" t="str">
        <f>TRIM('Account Creation'!B21)</f>
        <v/>
      </c>
      <c r="C21" t="str">
        <f>TRIM('Account Creation'!D21)</f>
        <v/>
      </c>
      <c r="D21" s="4" t="str">
        <f t="shared" si="1"/>
        <v/>
      </c>
      <c r="E21" t="b">
        <f>IF('Account Creation'!AG21="",FALSE,'Account Creation'!AG21)</f>
        <v>0</v>
      </c>
      <c r="F21" t="b">
        <f>IF('Account Creation'!AH21="",FALSE,'Account Creation'!AH21)</f>
        <v>0</v>
      </c>
      <c r="G21" s="5" t="s">
        <v>544</v>
      </c>
      <c r="H21" t="str">
        <f t="shared" si="0"/>
        <v/>
      </c>
      <c r="I21">
        <f>'VCC_Stores ONLY'!B21</f>
        <v>0</v>
      </c>
      <c r="J21" s="4">
        <f>('Account Creation'!G21 - 25569) * 86400</f>
        <v>-2209161600</v>
      </c>
    </row>
    <row r="22" spans="1:10" x14ac:dyDescent="0.25">
      <c r="A22" t="str">
        <f>TRIM('Help Desk'!D22)</f>
        <v/>
      </c>
      <c r="B22" t="str">
        <f>TRIM('Account Creation'!B22)</f>
        <v/>
      </c>
      <c r="C22" t="str">
        <f>TRIM('Account Creation'!D22)</f>
        <v/>
      </c>
      <c r="D22" s="4" t="str">
        <f t="shared" si="1"/>
        <v/>
      </c>
      <c r="E22" t="b">
        <f>IF('Account Creation'!AG22="",FALSE,'Account Creation'!AG22)</f>
        <v>0</v>
      </c>
      <c r="F22" t="b">
        <f>IF('Account Creation'!AH22="",FALSE,'Account Creation'!AH22)</f>
        <v>0</v>
      </c>
      <c r="G22" s="5" t="s">
        <v>544</v>
      </c>
      <c r="H22" t="str">
        <f t="shared" si="0"/>
        <v/>
      </c>
      <c r="I22">
        <f>'VCC_Stores ONLY'!B22</f>
        <v>0</v>
      </c>
      <c r="J22" s="4">
        <f>('Account Creation'!G22 - 25569) * 86400</f>
        <v>-2209161600</v>
      </c>
    </row>
    <row r="23" spans="1:10" x14ac:dyDescent="0.25">
      <c r="A23" t="str">
        <f>TRIM('Help Desk'!D23)</f>
        <v/>
      </c>
      <c r="B23" t="str">
        <f>TRIM('Account Creation'!B23)</f>
        <v/>
      </c>
      <c r="C23" t="str">
        <f>TRIM('Account Creation'!D23)</f>
        <v/>
      </c>
      <c r="D23" s="4" t="str">
        <f t="shared" si="1"/>
        <v/>
      </c>
      <c r="E23" t="b">
        <f>IF('Account Creation'!AG23="",FALSE,'Account Creation'!AG23)</f>
        <v>0</v>
      </c>
      <c r="F23" t="b">
        <f>IF('Account Creation'!AH23="",FALSE,'Account Creation'!AH23)</f>
        <v>0</v>
      </c>
      <c r="G23" s="5" t="s">
        <v>544</v>
      </c>
      <c r="H23" t="str">
        <f t="shared" si="0"/>
        <v/>
      </c>
      <c r="I23">
        <f>'VCC_Stores ONLY'!B23</f>
        <v>0</v>
      </c>
      <c r="J23" s="4">
        <f>('Account Creation'!G23 - 25569) * 86400</f>
        <v>-2209161600</v>
      </c>
    </row>
    <row r="24" spans="1:10" x14ac:dyDescent="0.25">
      <c r="A24" t="str">
        <f>TRIM('Help Desk'!D24)</f>
        <v/>
      </c>
      <c r="B24" t="str">
        <f>TRIM('Account Creation'!B24)</f>
        <v/>
      </c>
      <c r="C24" t="str">
        <f>TRIM('Account Creation'!D24)</f>
        <v/>
      </c>
      <c r="D24" s="4" t="str">
        <f t="shared" si="1"/>
        <v/>
      </c>
      <c r="E24" t="b">
        <f>IF('Account Creation'!AG24="",FALSE,'Account Creation'!AG24)</f>
        <v>0</v>
      </c>
      <c r="F24" t="b">
        <f>IF('Account Creation'!AH24="",FALSE,'Account Creation'!AH24)</f>
        <v>0</v>
      </c>
      <c r="G24" s="5" t="s">
        <v>544</v>
      </c>
      <c r="H24" t="str">
        <f t="shared" si="0"/>
        <v/>
      </c>
      <c r="I24">
        <f>'VCC_Stores ONLY'!B24</f>
        <v>0</v>
      </c>
      <c r="J24" s="4">
        <f>('Account Creation'!G24 - 25569) * 86400</f>
        <v>-2209161600</v>
      </c>
    </row>
    <row r="25" spans="1:10" x14ac:dyDescent="0.25">
      <c r="A25" t="str">
        <f>TRIM('Help Desk'!D25)</f>
        <v/>
      </c>
      <c r="B25" t="str">
        <f>TRIM('Account Creation'!B25)</f>
        <v/>
      </c>
      <c r="C25" t="str">
        <f>TRIM('Account Creation'!D25)</f>
        <v/>
      </c>
      <c r="D25" s="4" t="str">
        <f t="shared" si="1"/>
        <v/>
      </c>
      <c r="E25" t="b">
        <f>IF('Account Creation'!AG25="",FALSE,'Account Creation'!AG25)</f>
        <v>0</v>
      </c>
      <c r="F25" t="b">
        <f>IF('Account Creation'!AH25="",FALSE,'Account Creation'!AH25)</f>
        <v>0</v>
      </c>
      <c r="G25" s="5" t="s">
        <v>544</v>
      </c>
      <c r="H25" t="str">
        <f t="shared" si="0"/>
        <v/>
      </c>
      <c r="I25">
        <f>'VCC_Stores ONLY'!B25</f>
        <v>0</v>
      </c>
      <c r="J25" s="4">
        <f>('Account Creation'!G25 - 25569) * 86400</f>
        <v>-2209161600</v>
      </c>
    </row>
    <row r="26" spans="1:10" x14ac:dyDescent="0.25">
      <c r="A26" t="str">
        <f>TRIM('Help Desk'!D26)</f>
        <v/>
      </c>
      <c r="B26" t="str">
        <f>TRIM('Account Creation'!B26)</f>
        <v/>
      </c>
      <c r="C26" t="str">
        <f>TRIM('Account Creation'!D26)</f>
        <v/>
      </c>
      <c r="D26" s="4" t="str">
        <f t="shared" si="1"/>
        <v/>
      </c>
      <c r="E26" t="b">
        <f>IF('Account Creation'!AG26="",FALSE,'Account Creation'!AG26)</f>
        <v>0</v>
      </c>
      <c r="F26" t="b">
        <f>IF('Account Creation'!AH26="",FALSE,'Account Creation'!AH26)</f>
        <v>0</v>
      </c>
      <c r="G26" s="5" t="s">
        <v>544</v>
      </c>
      <c r="H26" t="str">
        <f t="shared" si="0"/>
        <v/>
      </c>
      <c r="I26">
        <f>'VCC_Stores ONLY'!B26</f>
        <v>0</v>
      </c>
      <c r="J26" s="4">
        <f>('Account Creation'!G26 - 25569) * 86400</f>
        <v>-2209161600</v>
      </c>
    </row>
    <row r="27" spans="1:10" x14ac:dyDescent="0.25">
      <c r="A27" t="str">
        <f>TRIM('Help Desk'!D27)</f>
        <v/>
      </c>
      <c r="B27" t="str">
        <f>TRIM('Account Creation'!B27)</f>
        <v/>
      </c>
      <c r="C27" t="str">
        <f>TRIM('Account Creation'!D27)</f>
        <v/>
      </c>
      <c r="D27" s="4" t="str">
        <f t="shared" si="1"/>
        <v/>
      </c>
      <c r="E27" t="b">
        <f>IF('Account Creation'!AG27="",FALSE,'Account Creation'!AG27)</f>
        <v>0</v>
      </c>
      <c r="F27" t="b">
        <f>IF('Account Creation'!AH27="",FALSE,'Account Creation'!AH27)</f>
        <v>0</v>
      </c>
      <c r="G27" s="5" t="s">
        <v>544</v>
      </c>
      <c r="H27" t="str">
        <f t="shared" si="0"/>
        <v/>
      </c>
      <c r="I27">
        <f>'VCC_Stores ONLY'!B27</f>
        <v>0</v>
      </c>
      <c r="J27" s="4">
        <f>('Account Creation'!G27 - 25569) * 86400</f>
        <v>-2209161600</v>
      </c>
    </row>
    <row r="28" spans="1:10" x14ac:dyDescent="0.25">
      <c r="A28" t="str">
        <f>TRIM('Help Desk'!D28)</f>
        <v/>
      </c>
      <c r="B28" t="str">
        <f>TRIM('Account Creation'!B28)</f>
        <v/>
      </c>
      <c r="C28" t="str">
        <f>TRIM('Account Creation'!D28)</f>
        <v/>
      </c>
      <c r="D28" s="4" t="str">
        <f t="shared" si="1"/>
        <v/>
      </c>
      <c r="E28" t="b">
        <f>IF('Account Creation'!AG28="",FALSE,'Account Creation'!AG28)</f>
        <v>0</v>
      </c>
      <c r="F28" t="b">
        <f>IF('Account Creation'!AH28="",FALSE,'Account Creation'!AH28)</f>
        <v>0</v>
      </c>
      <c r="G28" s="5" t="s">
        <v>544</v>
      </c>
      <c r="H28" t="str">
        <f t="shared" si="0"/>
        <v/>
      </c>
      <c r="I28">
        <f>'VCC_Stores ONLY'!B28</f>
        <v>0</v>
      </c>
      <c r="J28" s="4">
        <f>('Account Creation'!G28 - 25569) * 86400</f>
        <v>-2209161600</v>
      </c>
    </row>
    <row r="29" spans="1:10" x14ac:dyDescent="0.25">
      <c r="A29" t="str">
        <f>TRIM('Help Desk'!D29)</f>
        <v/>
      </c>
      <c r="B29" t="str">
        <f>TRIM('Account Creation'!B29)</f>
        <v/>
      </c>
      <c r="C29" t="str">
        <f>TRIM('Account Creation'!D29)</f>
        <v/>
      </c>
      <c r="D29" s="4" t="str">
        <f t="shared" si="1"/>
        <v/>
      </c>
      <c r="E29" t="b">
        <f>IF('Account Creation'!AG29="",FALSE,'Account Creation'!AG29)</f>
        <v>0</v>
      </c>
      <c r="F29" t="b">
        <f>IF('Account Creation'!AH29="",FALSE,'Account Creation'!AH29)</f>
        <v>0</v>
      </c>
      <c r="G29" s="5" t="s">
        <v>544</v>
      </c>
      <c r="H29" t="str">
        <f t="shared" si="0"/>
        <v/>
      </c>
      <c r="I29">
        <f>'VCC_Stores ONLY'!B29</f>
        <v>0</v>
      </c>
      <c r="J29" s="4">
        <f>('Account Creation'!G29 - 25569) * 86400</f>
        <v>-2209161600</v>
      </c>
    </row>
    <row r="30" spans="1:10" x14ac:dyDescent="0.25">
      <c r="A30" t="str">
        <f>TRIM('Help Desk'!D30)</f>
        <v/>
      </c>
      <c r="B30" t="str">
        <f>TRIM('Account Creation'!B30)</f>
        <v/>
      </c>
      <c r="C30" t="str">
        <f>TRIM('Account Creation'!D30)</f>
        <v/>
      </c>
      <c r="D30" s="4" t="str">
        <f t="shared" si="1"/>
        <v/>
      </c>
      <c r="E30" t="b">
        <f>IF('Account Creation'!AG30="",FALSE,'Account Creation'!AG30)</f>
        <v>0</v>
      </c>
      <c r="F30" t="b">
        <f>IF('Account Creation'!AH30="",FALSE,'Account Creation'!AH30)</f>
        <v>0</v>
      </c>
      <c r="G30" s="5" t="s">
        <v>544</v>
      </c>
      <c r="H30" t="str">
        <f t="shared" si="0"/>
        <v/>
      </c>
      <c r="I30">
        <f>'VCC_Stores ONLY'!B30</f>
        <v>0</v>
      </c>
      <c r="J30" s="4">
        <f>('Account Creation'!G30 - 25569) * 86400</f>
        <v>-2209161600</v>
      </c>
    </row>
    <row r="31" spans="1:10" x14ac:dyDescent="0.25">
      <c r="A31" t="str">
        <f>TRIM('Help Desk'!D31)</f>
        <v/>
      </c>
      <c r="B31" t="str">
        <f>TRIM('Account Creation'!B31)</f>
        <v/>
      </c>
      <c r="C31" t="str">
        <f>TRIM('Account Creation'!D31)</f>
        <v/>
      </c>
      <c r="D31" s="4" t="str">
        <f t="shared" si="1"/>
        <v/>
      </c>
      <c r="E31" t="b">
        <f>IF('Account Creation'!AG31="",FALSE,'Account Creation'!AG31)</f>
        <v>0</v>
      </c>
      <c r="F31" t="b">
        <f>IF('Account Creation'!AH31="",FALSE,'Account Creation'!AH31)</f>
        <v>0</v>
      </c>
      <c r="G31" s="5" t="s">
        <v>544</v>
      </c>
      <c r="H31" t="str">
        <f t="shared" si="0"/>
        <v/>
      </c>
      <c r="I31">
        <f>'VCC_Stores ONLY'!B31</f>
        <v>0</v>
      </c>
      <c r="J31" s="4">
        <f>('Account Creation'!G31 - 25569) * 86400</f>
        <v>-2209161600</v>
      </c>
    </row>
    <row r="32" spans="1:10" x14ac:dyDescent="0.25">
      <c r="A32" t="str">
        <f>TRIM('Help Desk'!D32)</f>
        <v/>
      </c>
      <c r="B32" t="str">
        <f>TRIM('Account Creation'!B32)</f>
        <v/>
      </c>
      <c r="C32" t="str">
        <f>TRIM('Account Creation'!D32)</f>
        <v/>
      </c>
      <c r="D32" s="4" t="str">
        <f t="shared" si="1"/>
        <v/>
      </c>
      <c r="E32" t="b">
        <f>IF('Account Creation'!AG32="",FALSE,'Account Creation'!AG32)</f>
        <v>0</v>
      </c>
      <c r="F32" t="b">
        <f>IF('Account Creation'!AH32="",FALSE,'Account Creation'!AH32)</f>
        <v>0</v>
      </c>
      <c r="G32" s="5" t="s">
        <v>544</v>
      </c>
      <c r="H32" t="str">
        <f t="shared" si="0"/>
        <v/>
      </c>
      <c r="I32">
        <f>'VCC_Stores ONLY'!B32</f>
        <v>0</v>
      </c>
      <c r="J32" s="4">
        <f>('Account Creation'!G32 - 25569) * 86400</f>
        <v>-2209161600</v>
      </c>
    </row>
    <row r="33" spans="1:10" x14ac:dyDescent="0.25">
      <c r="A33" t="str">
        <f>TRIM('Help Desk'!D33)</f>
        <v/>
      </c>
      <c r="B33" t="str">
        <f>TRIM('Account Creation'!B33)</f>
        <v/>
      </c>
      <c r="C33" t="str">
        <f>TRIM('Account Creation'!D33)</f>
        <v/>
      </c>
      <c r="D33" s="4" t="str">
        <f t="shared" si="1"/>
        <v/>
      </c>
      <c r="E33" t="b">
        <f>IF('Account Creation'!AG33="",FALSE,'Account Creation'!AG33)</f>
        <v>0</v>
      </c>
      <c r="F33" t="b">
        <f>IF('Account Creation'!AH33="",FALSE,'Account Creation'!AH33)</f>
        <v>0</v>
      </c>
      <c r="G33" s="5" t="s">
        <v>544</v>
      </c>
      <c r="H33" t="str">
        <f t="shared" si="0"/>
        <v/>
      </c>
      <c r="I33">
        <f>'VCC_Stores ONLY'!B33</f>
        <v>0</v>
      </c>
      <c r="J33" s="4">
        <f>('Account Creation'!G33 - 25569) * 86400</f>
        <v>-2209161600</v>
      </c>
    </row>
    <row r="34" spans="1:10" x14ac:dyDescent="0.25">
      <c r="A34" t="str">
        <f>TRIM('Help Desk'!D34)</f>
        <v/>
      </c>
      <c r="B34" t="str">
        <f>TRIM('Account Creation'!B34)</f>
        <v/>
      </c>
      <c r="C34" t="str">
        <f>TRIM('Account Creation'!D34)</f>
        <v/>
      </c>
      <c r="D34" s="4" t="str">
        <f t="shared" si="1"/>
        <v/>
      </c>
      <c r="E34" t="b">
        <f>IF('Account Creation'!AG34="",FALSE,'Account Creation'!AG34)</f>
        <v>0</v>
      </c>
      <c r="F34" t="b">
        <f>IF('Account Creation'!AH34="",FALSE,'Account Creation'!AH34)</f>
        <v>0</v>
      </c>
      <c r="G34" s="5" t="s">
        <v>544</v>
      </c>
      <c r="H34" t="str">
        <f t="shared" si="0"/>
        <v/>
      </c>
      <c r="I34">
        <f>'VCC_Stores ONLY'!B34</f>
        <v>0</v>
      </c>
      <c r="J34" s="4">
        <f>('Account Creation'!G34 - 25569) * 86400</f>
        <v>-2209161600</v>
      </c>
    </row>
    <row r="35" spans="1:10" x14ac:dyDescent="0.25">
      <c r="A35" t="str">
        <f>TRIM('Help Desk'!D35)</f>
        <v/>
      </c>
      <c r="B35" t="str">
        <f>TRIM('Account Creation'!B35)</f>
        <v/>
      </c>
      <c r="C35" t="str">
        <f>TRIM('Account Creation'!D35)</f>
        <v/>
      </c>
      <c r="D35" s="4" t="str">
        <f t="shared" si="1"/>
        <v/>
      </c>
      <c r="E35" t="b">
        <f>IF('Account Creation'!AG35="",FALSE,'Account Creation'!AG35)</f>
        <v>0</v>
      </c>
      <c r="F35" t="b">
        <f>IF('Account Creation'!AH35="",FALSE,'Account Creation'!AH35)</f>
        <v>0</v>
      </c>
      <c r="G35" s="5" t="s">
        <v>544</v>
      </c>
      <c r="H35" t="str">
        <f t="shared" si="0"/>
        <v/>
      </c>
      <c r="I35">
        <f>'VCC_Stores ONLY'!B35</f>
        <v>0</v>
      </c>
      <c r="J35" s="4">
        <f>('Account Creation'!G35 - 25569) * 86400</f>
        <v>-2209161600</v>
      </c>
    </row>
    <row r="36" spans="1:10" x14ac:dyDescent="0.25">
      <c r="A36" t="str">
        <f>TRIM('Help Desk'!D36)</f>
        <v/>
      </c>
      <c r="B36" t="str">
        <f>TRIM('Account Creation'!B36)</f>
        <v/>
      </c>
      <c r="C36" t="str">
        <f>TRIM('Account Creation'!D36)</f>
        <v/>
      </c>
      <c r="D36" s="4" t="str">
        <f t="shared" si="1"/>
        <v/>
      </c>
      <c r="E36" t="b">
        <f>IF('Account Creation'!AG36="",FALSE,'Account Creation'!AG36)</f>
        <v>0</v>
      </c>
      <c r="F36" t="b">
        <f>IF('Account Creation'!AH36="",FALSE,'Account Creation'!AH36)</f>
        <v>0</v>
      </c>
      <c r="G36" s="5" t="s">
        <v>544</v>
      </c>
      <c r="H36" t="str">
        <f t="shared" si="0"/>
        <v/>
      </c>
      <c r="I36">
        <f>'VCC_Stores ONLY'!B36</f>
        <v>0</v>
      </c>
      <c r="J36" s="4">
        <f>('Account Creation'!G36 - 25569) * 86400</f>
        <v>-2209161600</v>
      </c>
    </row>
    <row r="37" spans="1:10" x14ac:dyDescent="0.25">
      <c r="A37" t="str">
        <f>TRIM('Help Desk'!D37)</f>
        <v/>
      </c>
      <c r="B37" t="str">
        <f>TRIM('Account Creation'!B37)</f>
        <v/>
      </c>
      <c r="C37" t="str">
        <f>TRIM('Account Creation'!D37)</f>
        <v/>
      </c>
      <c r="D37" s="4" t="str">
        <f t="shared" si="1"/>
        <v/>
      </c>
      <c r="E37" t="b">
        <f>IF('Account Creation'!AG37="",FALSE,'Account Creation'!AG37)</f>
        <v>0</v>
      </c>
      <c r="F37" t="b">
        <f>IF('Account Creation'!AH37="",FALSE,'Account Creation'!AH37)</f>
        <v>0</v>
      </c>
      <c r="G37" s="5" t="s">
        <v>544</v>
      </c>
      <c r="H37" t="str">
        <f t="shared" si="0"/>
        <v/>
      </c>
      <c r="I37">
        <f>'VCC_Stores ONLY'!B37</f>
        <v>0</v>
      </c>
      <c r="J37" s="4">
        <f>('Account Creation'!G37 - 25569) * 86400</f>
        <v>-2209161600</v>
      </c>
    </row>
    <row r="38" spans="1:10" x14ac:dyDescent="0.25">
      <c r="A38" t="str">
        <f>TRIM('Help Desk'!D38)</f>
        <v/>
      </c>
      <c r="B38" t="str">
        <f>TRIM('Account Creation'!B38)</f>
        <v/>
      </c>
      <c r="C38" t="str">
        <f>TRIM('Account Creation'!D38)</f>
        <v/>
      </c>
      <c r="D38" s="4" t="str">
        <f t="shared" si="1"/>
        <v/>
      </c>
      <c r="E38" t="b">
        <f>IF('Account Creation'!AG38="",FALSE,'Account Creation'!AG38)</f>
        <v>0</v>
      </c>
      <c r="F38" t="b">
        <f>IF('Account Creation'!AH38="",FALSE,'Account Creation'!AH38)</f>
        <v>0</v>
      </c>
      <c r="G38" s="5" t="s">
        <v>544</v>
      </c>
      <c r="H38" t="str">
        <f t="shared" si="0"/>
        <v/>
      </c>
      <c r="I38">
        <f>'VCC_Stores ONLY'!B38</f>
        <v>0</v>
      </c>
      <c r="J38" s="4">
        <f>('Account Creation'!G38 - 25569) * 86400</f>
        <v>-2209161600</v>
      </c>
    </row>
    <row r="39" spans="1:10" x14ac:dyDescent="0.25">
      <c r="A39" t="str">
        <f>TRIM('Help Desk'!D39)</f>
        <v/>
      </c>
      <c r="B39" t="str">
        <f>TRIM('Account Creation'!B39)</f>
        <v/>
      </c>
      <c r="C39" t="str">
        <f>TRIM('Account Creation'!D39)</f>
        <v/>
      </c>
      <c r="D39" s="4" t="str">
        <f t="shared" si="1"/>
        <v/>
      </c>
      <c r="E39" t="b">
        <f>IF('Account Creation'!AG39="",FALSE,'Account Creation'!AG39)</f>
        <v>0</v>
      </c>
      <c r="F39" t="b">
        <f>IF('Account Creation'!AH39="",FALSE,'Account Creation'!AH39)</f>
        <v>0</v>
      </c>
      <c r="G39" s="5" t="s">
        <v>544</v>
      </c>
      <c r="H39" t="str">
        <f t="shared" si="0"/>
        <v/>
      </c>
      <c r="I39">
        <f>'VCC_Stores ONLY'!B39</f>
        <v>0</v>
      </c>
      <c r="J39" s="4">
        <f>('Account Creation'!G39 - 25569) * 86400</f>
        <v>-2209161600</v>
      </c>
    </row>
    <row r="40" spans="1:10" x14ac:dyDescent="0.25">
      <c r="A40" t="str">
        <f>TRIM('Help Desk'!D40)</f>
        <v/>
      </c>
      <c r="B40" t="str">
        <f>TRIM('Account Creation'!B40)</f>
        <v/>
      </c>
      <c r="C40" t="str">
        <f>TRIM('Account Creation'!D40)</f>
        <v/>
      </c>
      <c r="D40" s="4" t="str">
        <f t="shared" si="1"/>
        <v/>
      </c>
      <c r="E40" t="b">
        <f>IF('Account Creation'!AG40="",FALSE,'Account Creation'!AG40)</f>
        <v>0</v>
      </c>
      <c r="F40" t="b">
        <f>IF('Account Creation'!AH40="",FALSE,'Account Creation'!AH40)</f>
        <v>0</v>
      </c>
      <c r="G40" s="5" t="s">
        <v>544</v>
      </c>
      <c r="H40" t="str">
        <f t="shared" si="0"/>
        <v/>
      </c>
      <c r="I40">
        <f>'VCC_Stores ONLY'!B40</f>
        <v>0</v>
      </c>
      <c r="J40" s="4">
        <f>('Account Creation'!G40 - 25569) * 86400</f>
        <v>-2209161600</v>
      </c>
    </row>
    <row r="41" spans="1:10" x14ac:dyDescent="0.25">
      <c r="A41" t="str">
        <f>TRIM('Help Desk'!D41)</f>
        <v/>
      </c>
      <c r="B41" t="str">
        <f>TRIM('Account Creation'!B41)</f>
        <v/>
      </c>
      <c r="C41" t="str">
        <f>TRIM('Account Creation'!D41)</f>
        <v/>
      </c>
      <c r="D41" s="4" t="str">
        <f t="shared" si="1"/>
        <v/>
      </c>
      <c r="E41" t="b">
        <f>IF('Account Creation'!AG41="",FALSE,'Account Creation'!AG41)</f>
        <v>0</v>
      </c>
      <c r="F41" t="b">
        <f>IF('Account Creation'!AH41="",FALSE,'Account Creation'!AH41)</f>
        <v>0</v>
      </c>
      <c r="G41" s="5" t="s">
        <v>544</v>
      </c>
      <c r="H41" t="str">
        <f t="shared" si="0"/>
        <v/>
      </c>
      <c r="I41">
        <f>'VCC_Stores ONLY'!B41</f>
        <v>0</v>
      </c>
      <c r="J41" s="4">
        <f>('Account Creation'!G41 - 25569) * 86400</f>
        <v>-2209161600</v>
      </c>
    </row>
    <row r="42" spans="1:10" x14ac:dyDescent="0.25">
      <c r="A42" t="str">
        <f>TRIM('Help Desk'!D42)</f>
        <v/>
      </c>
      <c r="B42" t="str">
        <f>TRIM('Account Creation'!B42)</f>
        <v/>
      </c>
      <c r="C42" t="str">
        <f>TRIM('Account Creation'!D42)</f>
        <v/>
      </c>
      <c r="D42" s="4" t="str">
        <f t="shared" si="1"/>
        <v/>
      </c>
      <c r="E42" t="b">
        <f>IF('Account Creation'!AG42="",FALSE,'Account Creation'!AG42)</f>
        <v>0</v>
      </c>
      <c r="F42" t="b">
        <f>IF('Account Creation'!AH42="",FALSE,'Account Creation'!AH42)</f>
        <v>0</v>
      </c>
      <c r="G42" s="5" t="s">
        <v>544</v>
      </c>
      <c r="H42" t="str">
        <f t="shared" si="0"/>
        <v/>
      </c>
      <c r="I42">
        <f>'VCC_Stores ONLY'!B42</f>
        <v>0</v>
      </c>
      <c r="J42" s="4">
        <f>('Account Creation'!G42 - 25569) * 86400</f>
        <v>-2209161600</v>
      </c>
    </row>
    <row r="43" spans="1:10" x14ac:dyDescent="0.25">
      <c r="A43" t="str">
        <f>TRIM('Help Desk'!D43)</f>
        <v/>
      </c>
      <c r="B43" t="str">
        <f>TRIM('Account Creation'!B43)</f>
        <v/>
      </c>
      <c r="C43" t="str">
        <f>TRIM('Account Creation'!D43)</f>
        <v/>
      </c>
      <c r="D43" s="4" t="str">
        <f t="shared" si="1"/>
        <v/>
      </c>
      <c r="E43" t="b">
        <f>IF('Account Creation'!AG43="",FALSE,'Account Creation'!AG43)</f>
        <v>0</v>
      </c>
      <c r="F43" t="b">
        <f>IF('Account Creation'!AH43="",FALSE,'Account Creation'!AH43)</f>
        <v>0</v>
      </c>
      <c r="G43" s="5" t="s">
        <v>544</v>
      </c>
      <c r="H43" t="str">
        <f t="shared" si="0"/>
        <v/>
      </c>
      <c r="I43">
        <f>'VCC_Stores ONLY'!B43</f>
        <v>0</v>
      </c>
      <c r="J43" s="4">
        <f>('Account Creation'!G43 - 25569) * 86400</f>
        <v>-2209161600</v>
      </c>
    </row>
    <row r="44" spans="1:10" x14ac:dyDescent="0.25">
      <c r="A44" t="str">
        <f>TRIM('Help Desk'!D44)</f>
        <v/>
      </c>
      <c r="B44" t="str">
        <f>TRIM('Account Creation'!B44)</f>
        <v/>
      </c>
      <c r="C44" t="str">
        <f>TRIM('Account Creation'!D44)</f>
        <v/>
      </c>
      <c r="D44" s="4" t="str">
        <f t="shared" si="1"/>
        <v/>
      </c>
      <c r="E44" t="b">
        <f>IF('Account Creation'!AG44="",FALSE,'Account Creation'!AG44)</f>
        <v>0</v>
      </c>
      <c r="F44" t="b">
        <f>IF('Account Creation'!AH44="",FALSE,'Account Creation'!AH44)</f>
        <v>0</v>
      </c>
      <c r="G44" s="5" t="s">
        <v>544</v>
      </c>
      <c r="H44" t="str">
        <f t="shared" si="0"/>
        <v/>
      </c>
      <c r="I44">
        <f>'VCC_Stores ONLY'!B44</f>
        <v>0</v>
      </c>
      <c r="J44" s="4">
        <f>('Account Creation'!G44 - 25569) * 86400</f>
        <v>-2209161600</v>
      </c>
    </row>
    <row r="45" spans="1:10" x14ac:dyDescent="0.25">
      <c r="A45" t="str">
        <f>TRIM('Help Desk'!D45)</f>
        <v/>
      </c>
      <c r="B45" t="str">
        <f>TRIM('Account Creation'!B45)</f>
        <v/>
      </c>
      <c r="C45" t="str">
        <f>TRIM('Account Creation'!D45)</f>
        <v/>
      </c>
      <c r="D45" s="4" t="str">
        <f t="shared" si="1"/>
        <v/>
      </c>
      <c r="E45" t="b">
        <f>IF('Account Creation'!AG45="",FALSE,'Account Creation'!AG45)</f>
        <v>0</v>
      </c>
      <c r="F45" t="b">
        <f>IF('Account Creation'!AH45="",FALSE,'Account Creation'!AH45)</f>
        <v>0</v>
      </c>
      <c r="G45" s="5" t="s">
        <v>544</v>
      </c>
      <c r="H45" t="str">
        <f t="shared" si="0"/>
        <v/>
      </c>
      <c r="I45">
        <f>'VCC_Stores ONLY'!B45</f>
        <v>0</v>
      </c>
      <c r="J45" s="4">
        <f>('Account Creation'!G45 - 25569) * 86400</f>
        <v>-2209161600</v>
      </c>
    </row>
    <row r="46" spans="1:10" x14ac:dyDescent="0.25">
      <c r="A46" t="str">
        <f>TRIM('Help Desk'!D46)</f>
        <v/>
      </c>
      <c r="B46" t="str">
        <f>TRIM('Account Creation'!B46)</f>
        <v/>
      </c>
      <c r="C46" t="str">
        <f>TRIM('Account Creation'!D46)</f>
        <v/>
      </c>
      <c r="D46" s="4" t="str">
        <f t="shared" si="1"/>
        <v/>
      </c>
      <c r="E46" t="b">
        <f>IF('Account Creation'!AG46="",FALSE,'Account Creation'!AG46)</f>
        <v>0</v>
      </c>
      <c r="F46" t="b">
        <f>IF('Account Creation'!AH46="",FALSE,'Account Creation'!AH46)</f>
        <v>0</v>
      </c>
      <c r="G46" s="5" t="s">
        <v>544</v>
      </c>
      <c r="H46" t="str">
        <f t="shared" si="0"/>
        <v/>
      </c>
      <c r="I46">
        <f>'VCC_Stores ONLY'!B46</f>
        <v>0</v>
      </c>
      <c r="J46" s="4">
        <f>('Account Creation'!G46 - 25569) * 86400</f>
        <v>-2209161600</v>
      </c>
    </row>
    <row r="47" spans="1:10" x14ac:dyDescent="0.25">
      <c r="A47" t="str">
        <f>TRIM('Help Desk'!D47)</f>
        <v/>
      </c>
      <c r="B47" t="str">
        <f>TRIM('Account Creation'!B47)</f>
        <v/>
      </c>
      <c r="C47" t="str">
        <f>TRIM('Account Creation'!D47)</f>
        <v/>
      </c>
      <c r="D47" s="4" t="str">
        <f t="shared" si="1"/>
        <v/>
      </c>
      <c r="E47" t="b">
        <f>IF('Account Creation'!AG47="",FALSE,'Account Creation'!AG47)</f>
        <v>0</v>
      </c>
      <c r="F47" t="b">
        <f>IF('Account Creation'!AH47="",FALSE,'Account Creation'!AH47)</f>
        <v>0</v>
      </c>
      <c r="G47" s="5" t="s">
        <v>544</v>
      </c>
      <c r="H47" t="str">
        <f t="shared" si="0"/>
        <v/>
      </c>
      <c r="I47">
        <f>'VCC_Stores ONLY'!B47</f>
        <v>0</v>
      </c>
      <c r="J47" s="4">
        <f>('Account Creation'!G47 - 25569) * 86400</f>
        <v>-2209161600</v>
      </c>
    </row>
    <row r="48" spans="1:10" x14ac:dyDescent="0.25">
      <c r="A48" t="str">
        <f>TRIM('Help Desk'!D48)</f>
        <v/>
      </c>
      <c r="B48" t="str">
        <f>TRIM('Account Creation'!B48)</f>
        <v/>
      </c>
      <c r="C48" t="str">
        <f>TRIM('Account Creation'!D48)</f>
        <v/>
      </c>
      <c r="D48" s="4" t="str">
        <f t="shared" si="1"/>
        <v/>
      </c>
      <c r="E48" t="b">
        <f>IF('Account Creation'!AG48="",FALSE,'Account Creation'!AG48)</f>
        <v>0</v>
      </c>
      <c r="F48" t="b">
        <f>IF('Account Creation'!AH48="",FALSE,'Account Creation'!AH48)</f>
        <v>0</v>
      </c>
      <c r="G48" s="5" t="s">
        <v>544</v>
      </c>
      <c r="H48" t="str">
        <f t="shared" si="0"/>
        <v/>
      </c>
      <c r="I48">
        <f>'VCC_Stores ONLY'!B48</f>
        <v>0</v>
      </c>
      <c r="J48" s="4">
        <f>('Account Creation'!G48 - 25569) * 86400</f>
        <v>-2209161600</v>
      </c>
    </row>
    <row r="49" spans="1:10" x14ac:dyDescent="0.25">
      <c r="A49" t="str">
        <f>TRIM('Help Desk'!D49)</f>
        <v/>
      </c>
      <c r="B49" t="str">
        <f>TRIM('Account Creation'!B49)</f>
        <v/>
      </c>
      <c r="C49" t="str">
        <f>TRIM('Account Creation'!D49)</f>
        <v/>
      </c>
      <c r="D49" s="4" t="str">
        <f t="shared" si="1"/>
        <v/>
      </c>
      <c r="E49" t="b">
        <f>IF('Account Creation'!AG49="",FALSE,'Account Creation'!AG49)</f>
        <v>0</v>
      </c>
      <c r="F49" t="b">
        <f>IF('Account Creation'!AH49="",FALSE,'Account Creation'!AH49)</f>
        <v>0</v>
      </c>
      <c r="G49" s="5" t="s">
        <v>544</v>
      </c>
      <c r="H49" t="str">
        <f t="shared" si="0"/>
        <v/>
      </c>
      <c r="I49">
        <f>'VCC_Stores ONLY'!B49</f>
        <v>0</v>
      </c>
      <c r="J49" s="4">
        <f>('Account Creation'!G49 - 25569) * 86400</f>
        <v>-2209161600</v>
      </c>
    </row>
    <row r="50" spans="1:10" x14ac:dyDescent="0.25">
      <c r="A50" t="str">
        <f>TRIM('Help Desk'!D50)</f>
        <v/>
      </c>
      <c r="B50" t="str">
        <f>TRIM('Account Creation'!B50)</f>
        <v/>
      </c>
      <c r="C50" t="str">
        <f>TRIM('Account Creation'!D50)</f>
        <v/>
      </c>
      <c r="D50" s="4" t="str">
        <f t="shared" si="1"/>
        <v/>
      </c>
      <c r="E50" t="b">
        <f>IF('Account Creation'!AG50="",FALSE,'Account Creation'!AG50)</f>
        <v>0</v>
      </c>
      <c r="F50" t="b">
        <f>IF('Account Creation'!AH50="",FALSE,'Account Creation'!AH50)</f>
        <v>0</v>
      </c>
      <c r="G50" s="5" t="s">
        <v>544</v>
      </c>
      <c r="H50" t="str">
        <f t="shared" si="0"/>
        <v/>
      </c>
      <c r="I50">
        <f>'VCC_Stores ONLY'!B50</f>
        <v>0</v>
      </c>
      <c r="J50" s="4">
        <f>('Account Creation'!G50 - 25569) * 86400</f>
        <v>-2209161600</v>
      </c>
    </row>
    <row r="51" spans="1:10" x14ac:dyDescent="0.25">
      <c r="A51" t="str">
        <f>TRIM('Help Desk'!D51)</f>
        <v/>
      </c>
      <c r="B51" t="str">
        <f>TRIM('Account Creation'!B51)</f>
        <v/>
      </c>
      <c r="C51" t="str">
        <f>TRIM('Account Creation'!D51)</f>
        <v/>
      </c>
      <c r="D51" s="4" t="str">
        <f t="shared" si="1"/>
        <v/>
      </c>
      <c r="E51" t="b">
        <f>IF('Account Creation'!AG51="",FALSE,'Account Creation'!AG51)</f>
        <v>0</v>
      </c>
      <c r="F51" t="b">
        <f>IF('Account Creation'!AH51="",FALSE,'Account Creation'!AH51)</f>
        <v>0</v>
      </c>
      <c r="G51" s="5" t="s">
        <v>544</v>
      </c>
      <c r="H51" t="str">
        <f t="shared" si="0"/>
        <v/>
      </c>
      <c r="I51">
        <f>'VCC_Stores ONLY'!B51</f>
        <v>0</v>
      </c>
      <c r="J51" s="4">
        <f>('Account Creation'!G51 - 25569) * 86400</f>
        <v>-2209161600</v>
      </c>
    </row>
    <row r="52" spans="1:10" x14ac:dyDescent="0.25">
      <c r="A52" t="str">
        <f>TRIM('Help Desk'!D52)</f>
        <v/>
      </c>
      <c r="B52" t="str">
        <f>TRIM('Account Creation'!B52)</f>
        <v/>
      </c>
      <c r="C52" t="str">
        <f>TRIM('Account Creation'!D52)</f>
        <v/>
      </c>
      <c r="D52" s="4" t="str">
        <f t="shared" si="1"/>
        <v/>
      </c>
      <c r="E52" t="b">
        <f>IF('Account Creation'!AG52="",FALSE,'Account Creation'!AG52)</f>
        <v>0</v>
      </c>
      <c r="F52" t="b">
        <f>IF('Account Creation'!AH52="",FALSE,'Account Creation'!AH52)</f>
        <v>0</v>
      </c>
      <c r="G52" s="5" t="s">
        <v>544</v>
      </c>
      <c r="H52" t="str">
        <f t="shared" si="0"/>
        <v/>
      </c>
      <c r="I52">
        <f>'VCC_Stores ONLY'!B52</f>
        <v>0</v>
      </c>
      <c r="J52" s="4">
        <f>('Account Creation'!G52 - 25569) * 86400</f>
        <v>-2209161600</v>
      </c>
    </row>
    <row r="53" spans="1:10" x14ac:dyDescent="0.25">
      <c r="A53" t="str">
        <f>TRIM('Help Desk'!D53)</f>
        <v/>
      </c>
      <c r="B53" t="str">
        <f>TRIM('Account Creation'!B53)</f>
        <v/>
      </c>
      <c r="C53" t="str">
        <f>TRIM('Account Creation'!D53)</f>
        <v/>
      </c>
      <c r="D53" s="4" t="str">
        <f t="shared" si="1"/>
        <v/>
      </c>
      <c r="E53" t="b">
        <f>IF('Account Creation'!AG53="",FALSE,'Account Creation'!AG53)</f>
        <v>0</v>
      </c>
      <c r="F53" t="b">
        <f>IF('Account Creation'!AH53="",FALSE,'Account Creation'!AH53)</f>
        <v>0</v>
      </c>
      <c r="G53" s="5" t="s">
        <v>544</v>
      </c>
      <c r="H53" t="str">
        <f t="shared" si="0"/>
        <v/>
      </c>
      <c r="I53">
        <f>'VCC_Stores ONLY'!B53</f>
        <v>0</v>
      </c>
      <c r="J53" s="4">
        <f>('Account Creation'!G53 - 25569) * 86400</f>
        <v>-2209161600</v>
      </c>
    </row>
    <row r="54" spans="1:10" x14ac:dyDescent="0.25">
      <c r="A54" t="str">
        <f>TRIM('Help Desk'!D54)</f>
        <v/>
      </c>
      <c r="B54" t="str">
        <f>TRIM('Account Creation'!B54)</f>
        <v/>
      </c>
      <c r="C54" t="str">
        <f>TRIM('Account Creation'!D54)</f>
        <v/>
      </c>
      <c r="D54" s="4" t="str">
        <f t="shared" si="1"/>
        <v/>
      </c>
      <c r="E54" t="b">
        <f>IF('Account Creation'!AG54="",FALSE,'Account Creation'!AG54)</f>
        <v>0</v>
      </c>
      <c r="F54" t="b">
        <f>IF('Account Creation'!AH54="",FALSE,'Account Creation'!AH54)</f>
        <v>0</v>
      </c>
      <c r="G54" s="5" t="s">
        <v>544</v>
      </c>
      <c r="H54" t="str">
        <f t="shared" si="0"/>
        <v/>
      </c>
      <c r="I54">
        <f>'VCC_Stores ONLY'!B54</f>
        <v>0</v>
      </c>
      <c r="J54" s="4">
        <f>('Account Creation'!G54 - 25569) * 86400</f>
        <v>-2209161600</v>
      </c>
    </row>
    <row r="55" spans="1:10" x14ac:dyDescent="0.25">
      <c r="A55" t="str">
        <f>TRIM('Help Desk'!D55)</f>
        <v/>
      </c>
      <c r="B55" t="str">
        <f>TRIM('Account Creation'!B55)</f>
        <v/>
      </c>
      <c r="C55" t="str">
        <f>TRIM('Account Creation'!D55)</f>
        <v/>
      </c>
      <c r="D55" s="4" t="str">
        <f t="shared" si="1"/>
        <v/>
      </c>
      <c r="E55" t="b">
        <f>IF('Account Creation'!AG55="",FALSE,'Account Creation'!AG55)</f>
        <v>0</v>
      </c>
      <c r="F55" t="b">
        <f>IF('Account Creation'!AH55="",FALSE,'Account Creation'!AH55)</f>
        <v>0</v>
      </c>
      <c r="G55" s="5" t="s">
        <v>544</v>
      </c>
      <c r="H55" t="str">
        <f t="shared" si="0"/>
        <v/>
      </c>
      <c r="I55">
        <f>'VCC_Stores ONLY'!B55</f>
        <v>0</v>
      </c>
      <c r="J55" s="4">
        <f>('Account Creation'!G55 - 25569) * 86400</f>
        <v>-2209161600</v>
      </c>
    </row>
    <row r="56" spans="1:10" x14ac:dyDescent="0.25">
      <c r="A56" t="str">
        <f>TRIM('Help Desk'!D56)</f>
        <v/>
      </c>
      <c r="B56" t="str">
        <f>TRIM('Account Creation'!B56)</f>
        <v/>
      </c>
      <c r="C56" t="str">
        <f>TRIM('Account Creation'!D56)</f>
        <v/>
      </c>
      <c r="D56" s="4" t="str">
        <f t="shared" si="1"/>
        <v/>
      </c>
      <c r="E56" t="b">
        <f>IF('Account Creation'!AG56="",FALSE,'Account Creation'!AG56)</f>
        <v>0</v>
      </c>
      <c r="F56" t="b">
        <f>IF('Account Creation'!AH56="",FALSE,'Account Creation'!AH56)</f>
        <v>0</v>
      </c>
      <c r="G56" s="5" t="s">
        <v>544</v>
      </c>
      <c r="H56" t="str">
        <f t="shared" si="0"/>
        <v/>
      </c>
      <c r="I56">
        <f>'VCC_Stores ONLY'!B56</f>
        <v>0</v>
      </c>
      <c r="J56" s="4">
        <f>('Account Creation'!G56 - 25569) * 86400</f>
        <v>-2209161600</v>
      </c>
    </row>
    <row r="57" spans="1:10" x14ac:dyDescent="0.25">
      <c r="A57" t="str">
        <f>TRIM('Help Desk'!D57)</f>
        <v/>
      </c>
      <c r="B57" t="str">
        <f>TRIM('Account Creation'!B57)</f>
        <v/>
      </c>
      <c r="C57" t="str">
        <f>TRIM('Account Creation'!D57)</f>
        <v/>
      </c>
      <c r="D57" s="4" t="str">
        <f t="shared" si="1"/>
        <v/>
      </c>
      <c r="E57" t="b">
        <f>IF('Account Creation'!AG57="",FALSE,'Account Creation'!AG57)</f>
        <v>0</v>
      </c>
      <c r="F57" t="b">
        <f>IF('Account Creation'!AH57="",FALSE,'Account Creation'!AH57)</f>
        <v>0</v>
      </c>
      <c r="G57" s="5" t="s">
        <v>544</v>
      </c>
      <c r="H57" t="str">
        <f t="shared" si="0"/>
        <v/>
      </c>
      <c r="I57">
        <f>'VCC_Stores ONLY'!B57</f>
        <v>0</v>
      </c>
      <c r="J57" s="4">
        <f>('Account Creation'!G57 - 25569) * 86400</f>
        <v>-2209161600</v>
      </c>
    </row>
    <row r="58" spans="1:10" x14ac:dyDescent="0.25">
      <c r="A58" t="str">
        <f>TRIM('Help Desk'!D58)</f>
        <v/>
      </c>
      <c r="B58" t="str">
        <f>TRIM('Account Creation'!B58)</f>
        <v/>
      </c>
      <c r="C58" t="str">
        <f>TRIM('Account Creation'!D58)</f>
        <v/>
      </c>
      <c r="D58" s="4" t="str">
        <f t="shared" si="1"/>
        <v/>
      </c>
      <c r="E58" t="b">
        <f>IF('Account Creation'!AG58="",FALSE,'Account Creation'!AG58)</f>
        <v>0</v>
      </c>
      <c r="F58" t="b">
        <f>IF('Account Creation'!AH58="",FALSE,'Account Creation'!AH58)</f>
        <v>0</v>
      </c>
      <c r="G58" s="5" t="s">
        <v>544</v>
      </c>
      <c r="H58" t="str">
        <f t="shared" si="0"/>
        <v/>
      </c>
      <c r="I58">
        <f>'VCC_Stores ONLY'!B58</f>
        <v>0</v>
      </c>
      <c r="J58" s="4">
        <f>('Account Creation'!G58 - 25569) * 86400</f>
        <v>-2209161600</v>
      </c>
    </row>
    <row r="59" spans="1:10" x14ac:dyDescent="0.25">
      <c r="A59" t="str">
        <f>TRIM('Help Desk'!D59)</f>
        <v/>
      </c>
      <c r="B59" t="str">
        <f>TRIM('Account Creation'!B59)</f>
        <v/>
      </c>
      <c r="C59" t="str">
        <f>TRIM('Account Creation'!D59)</f>
        <v/>
      </c>
      <c r="D59" s="4" t="str">
        <f t="shared" si="1"/>
        <v/>
      </c>
      <c r="E59" t="b">
        <f>IF('Account Creation'!AG59="",FALSE,'Account Creation'!AG59)</f>
        <v>0</v>
      </c>
      <c r="F59" t="b">
        <f>IF('Account Creation'!AH59="",FALSE,'Account Creation'!AH59)</f>
        <v>0</v>
      </c>
      <c r="G59" s="5" t="s">
        <v>544</v>
      </c>
      <c r="H59" t="str">
        <f t="shared" si="0"/>
        <v/>
      </c>
      <c r="I59">
        <f>'VCC_Stores ONLY'!B59</f>
        <v>0</v>
      </c>
      <c r="J59" s="4">
        <f>('Account Creation'!G59 - 25569) * 86400</f>
        <v>-2209161600</v>
      </c>
    </row>
    <row r="60" spans="1:10" x14ac:dyDescent="0.25">
      <c r="A60" t="str">
        <f>TRIM('Help Desk'!D60)</f>
        <v/>
      </c>
      <c r="B60" t="str">
        <f>TRIM('Account Creation'!B60)</f>
        <v/>
      </c>
      <c r="C60" t="str">
        <f>TRIM('Account Creation'!D60)</f>
        <v/>
      </c>
      <c r="D60" s="4" t="str">
        <f t="shared" si="1"/>
        <v/>
      </c>
      <c r="E60" t="b">
        <f>IF('Account Creation'!AG60="",FALSE,'Account Creation'!AG60)</f>
        <v>0</v>
      </c>
      <c r="F60" t="b">
        <f>IF('Account Creation'!AH60="",FALSE,'Account Creation'!AH60)</f>
        <v>0</v>
      </c>
      <c r="G60" s="5" t="s">
        <v>544</v>
      </c>
      <c r="H60" t="str">
        <f t="shared" si="0"/>
        <v/>
      </c>
      <c r="I60">
        <f>'VCC_Stores ONLY'!B60</f>
        <v>0</v>
      </c>
      <c r="J60" s="4">
        <f>('Account Creation'!G60 - 25569) * 86400</f>
        <v>-2209161600</v>
      </c>
    </row>
    <row r="61" spans="1:10" x14ac:dyDescent="0.25">
      <c r="A61" t="str">
        <f>TRIM('Help Desk'!D61)</f>
        <v/>
      </c>
      <c r="B61" t="str">
        <f>TRIM('Account Creation'!B61)</f>
        <v/>
      </c>
      <c r="C61" t="str">
        <f>TRIM('Account Creation'!D61)</f>
        <v/>
      </c>
      <c r="D61" s="4" t="str">
        <f t="shared" si="1"/>
        <v/>
      </c>
      <c r="E61" t="b">
        <f>IF('Account Creation'!AG61="",FALSE,'Account Creation'!AG61)</f>
        <v>0</v>
      </c>
      <c r="F61" t="b">
        <f>IF('Account Creation'!AH61="",FALSE,'Account Creation'!AH61)</f>
        <v>0</v>
      </c>
      <c r="G61" s="5" t="s">
        <v>544</v>
      </c>
      <c r="H61" t="str">
        <f t="shared" si="0"/>
        <v/>
      </c>
      <c r="I61">
        <f>'VCC_Stores ONLY'!B61</f>
        <v>0</v>
      </c>
      <c r="J61" s="4">
        <f>('Account Creation'!G61 - 25569) * 86400</f>
        <v>-2209161600</v>
      </c>
    </row>
    <row r="62" spans="1:10" x14ac:dyDescent="0.25">
      <c r="A62" t="str">
        <f>TRIM('Help Desk'!D62)</f>
        <v/>
      </c>
      <c r="B62" t="str">
        <f>TRIM('Account Creation'!B62)</f>
        <v/>
      </c>
      <c r="C62" t="str">
        <f>TRIM('Account Creation'!D62)</f>
        <v/>
      </c>
      <c r="D62" s="4" t="str">
        <f t="shared" si="1"/>
        <v/>
      </c>
      <c r="E62" t="b">
        <f>IF('Account Creation'!AG62="",FALSE,'Account Creation'!AG62)</f>
        <v>0</v>
      </c>
      <c r="F62" t="b">
        <f>IF('Account Creation'!AH62="",FALSE,'Account Creation'!AH62)</f>
        <v>0</v>
      </c>
      <c r="G62" s="5" t="s">
        <v>544</v>
      </c>
      <c r="H62" t="str">
        <f t="shared" si="0"/>
        <v/>
      </c>
      <c r="I62">
        <f>'VCC_Stores ONLY'!B62</f>
        <v>0</v>
      </c>
      <c r="J62" s="4">
        <f>('Account Creation'!G62 - 25569) * 86400</f>
        <v>-2209161600</v>
      </c>
    </row>
    <row r="63" spans="1:10" x14ac:dyDescent="0.25">
      <c r="A63" t="str">
        <f>TRIM('Help Desk'!D63)</f>
        <v/>
      </c>
      <c r="B63" t="str">
        <f>TRIM('Account Creation'!B63)</f>
        <v/>
      </c>
      <c r="C63" t="str">
        <f>TRIM('Account Creation'!D63)</f>
        <v/>
      </c>
      <c r="D63" s="4" t="str">
        <f t="shared" si="1"/>
        <v/>
      </c>
      <c r="E63" t="b">
        <f>IF('Account Creation'!AG63="",FALSE,'Account Creation'!AG63)</f>
        <v>0</v>
      </c>
      <c r="F63" t="b">
        <f>IF('Account Creation'!AH63="",FALSE,'Account Creation'!AH63)</f>
        <v>0</v>
      </c>
      <c r="G63" s="5" t="s">
        <v>544</v>
      </c>
      <c r="H63" t="str">
        <f t="shared" si="0"/>
        <v/>
      </c>
      <c r="I63">
        <f>'VCC_Stores ONLY'!B63</f>
        <v>0</v>
      </c>
      <c r="J63" s="4">
        <f>('Account Creation'!G63 - 25569) * 86400</f>
        <v>-2209161600</v>
      </c>
    </row>
    <row r="64" spans="1:10" x14ac:dyDescent="0.25">
      <c r="A64" t="str">
        <f>TRIM('Help Desk'!D64)</f>
        <v/>
      </c>
      <c r="B64" t="str">
        <f>TRIM('Account Creation'!B64)</f>
        <v/>
      </c>
      <c r="C64" t="str">
        <f>TRIM('Account Creation'!D64)</f>
        <v/>
      </c>
      <c r="D64" s="4" t="str">
        <f t="shared" si="1"/>
        <v/>
      </c>
      <c r="E64" t="b">
        <f>IF('Account Creation'!AG64="",FALSE,'Account Creation'!AG64)</f>
        <v>0</v>
      </c>
      <c r="F64" t="b">
        <f>IF('Account Creation'!AH64="",FALSE,'Account Creation'!AH64)</f>
        <v>0</v>
      </c>
      <c r="G64" s="5" t="s">
        <v>544</v>
      </c>
      <c r="H64" t="str">
        <f t="shared" si="0"/>
        <v/>
      </c>
      <c r="I64">
        <f>'VCC_Stores ONLY'!B64</f>
        <v>0</v>
      </c>
      <c r="J64" s="4">
        <f>('Account Creation'!G64 - 25569) * 86400</f>
        <v>-2209161600</v>
      </c>
    </row>
    <row r="65" spans="1:10" x14ac:dyDescent="0.25">
      <c r="A65" t="str">
        <f>TRIM('Help Desk'!D65)</f>
        <v/>
      </c>
      <c r="B65" t="str">
        <f>TRIM('Account Creation'!B65)</f>
        <v/>
      </c>
      <c r="C65" t="str">
        <f>TRIM('Account Creation'!D65)</f>
        <v/>
      </c>
      <c r="D65" s="4" t="str">
        <f t="shared" si="1"/>
        <v/>
      </c>
      <c r="E65" t="b">
        <f>IF('Account Creation'!AG65="",FALSE,'Account Creation'!AG65)</f>
        <v>0</v>
      </c>
      <c r="F65" t="b">
        <f>IF('Account Creation'!AH65="",FALSE,'Account Creation'!AH65)</f>
        <v>0</v>
      </c>
      <c r="G65" s="5" t="s">
        <v>544</v>
      </c>
      <c r="H65" t="str">
        <f t="shared" si="0"/>
        <v/>
      </c>
      <c r="I65">
        <f>'VCC_Stores ONLY'!B65</f>
        <v>0</v>
      </c>
      <c r="J65" s="4">
        <f>('Account Creation'!G65 - 25569) * 86400</f>
        <v>-2209161600</v>
      </c>
    </row>
    <row r="66" spans="1:10" x14ac:dyDescent="0.25">
      <c r="A66" t="str">
        <f>TRIM('Help Desk'!D66)</f>
        <v/>
      </c>
      <c r="B66" t="str">
        <f>TRIM('Account Creation'!B66)</f>
        <v/>
      </c>
      <c r="C66" t="str">
        <f>TRIM('Account Creation'!D66)</f>
        <v/>
      </c>
      <c r="D66" s="4" t="str">
        <f t="shared" si="1"/>
        <v/>
      </c>
      <c r="E66" t="b">
        <f>IF('Account Creation'!AG66="",FALSE,'Account Creation'!AG66)</f>
        <v>0</v>
      </c>
      <c r="F66" t="b">
        <f>IF('Account Creation'!AH66="",FALSE,'Account Creation'!AH66)</f>
        <v>0</v>
      </c>
      <c r="G66" s="5" t="s">
        <v>544</v>
      </c>
      <c r="H66" t="str">
        <f t="shared" ref="H66:H129" si="2">A66</f>
        <v/>
      </c>
      <c r="I66">
        <f>'VCC_Stores ONLY'!B66</f>
        <v>0</v>
      </c>
      <c r="J66" s="4">
        <f>('Account Creation'!G66 - 25569) * 86400</f>
        <v>-2209161600</v>
      </c>
    </row>
    <row r="67" spans="1:10" x14ac:dyDescent="0.25">
      <c r="A67" t="str">
        <f>TRIM('Help Desk'!D67)</f>
        <v/>
      </c>
      <c r="B67" t="str">
        <f>TRIM('Account Creation'!B67)</f>
        <v/>
      </c>
      <c r="C67" t="str">
        <f>TRIM('Account Creation'!D67)</f>
        <v/>
      </c>
      <c r="D67" s="4" t="str">
        <f t="shared" ref="D67:D130" si="3">B67</f>
        <v/>
      </c>
      <c r="E67" t="b">
        <f>IF('Account Creation'!AG67="",FALSE,'Account Creation'!AG67)</f>
        <v>0</v>
      </c>
      <c r="F67" t="b">
        <f>IF('Account Creation'!AH67="",FALSE,'Account Creation'!AH67)</f>
        <v>0</v>
      </c>
      <c r="G67" s="5" t="s">
        <v>544</v>
      </c>
      <c r="H67" t="str">
        <f t="shared" si="2"/>
        <v/>
      </c>
      <c r="I67">
        <f>'VCC_Stores ONLY'!B67</f>
        <v>0</v>
      </c>
      <c r="J67" s="4">
        <f>('Account Creation'!G67 - 25569) * 86400</f>
        <v>-2209161600</v>
      </c>
    </row>
    <row r="68" spans="1:10" x14ac:dyDescent="0.25">
      <c r="A68" t="str">
        <f>TRIM('Help Desk'!D68)</f>
        <v/>
      </c>
      <c r="B68" t="str">
        <f>TRIM('Account Creation'!B68)</f>
        <v/>
      </c>
      <c r="C68" t="str">
        <f>TRIM('Account Creation'!D68)</f>
        <v/>
      </c>
      <c r="D68" s="4" t="str">
        <f t="shared" si="3"/>
        <v/>
      </c>
      <c r="E68" t="b">
        <f>IF('Account Creation'!AG68="",FALSE,'Account Creation'!AG68)</f>
        <v>0</v>
      </c>
      <c r="F68" t="b">
        <f>IF('Account Creation'!AH68="",FALSE,'Account Creation'!AH68)</f>
        <v>0</v>
      </c>
      <c r="G68" s="5" t="s">
        <v>544</v>
      </c>
      <c r="H68" t="str">
        <f t="shared" si="2"/>
        <v/>
      </c>
      <c r="I68">
        <f>'VCC_Stores ONLY'!B68</f>
        <v>0</v>
      </c>
      <c r="J68" s="4">
        <f>('Account Creation'!G68 - 25569) * 86400</f>
        <v>-2209161600</v>
      </c>
    </row>
    <row r="69" spans="1:10" x14ac:dyDescent="0.25">
      <c r="A69" t="str">
        <f>TRIM('Help Desk'!D69)</f>
        <v/>
      </c>
      <c r="B69" t="str">
        <f>TRIM('Account Creation'!B69)</f>
        <v/>
      </c>
      <c r="C69" t="str">
        <f>TRIM('Account Creation'!D69)</f>
        <v/>
      </c>
      <c r="D69" s="4" t="str">
        <f t="shared" si="3"/>
        <v/>
      </c>
      <c r="E69" t="b">
        <f>IF('Account Creation'!AG69="",FALSE,'Account Creation'!AG69)</f>
        <v>0</v>
      </c>
      <c r="F69" t="b">
        <f>IF('Account Creation'!AH69="",FALSE,'Account Creation'!AH69)</f>
        <v>0</v>
      </c>
      <c r="G69" s="5" t="s">
        <v>544</v>
      </c>
      <c r="H69" t="str">
        <f t="shared" si="2"/>
        <v/>
      </c>
      <c r="I69">
        <f>'VCC_Stores ONLY'!B69</f>
        <v>0</v>
      </c>
      <c r="J69" s="4">
        <f>('Account Creation'!G69 - 25569) * 86400</f>
        <v>-2209161600</v>
      </c>
    </row>
    <row r="70" spans="1:10" x14ac:dyDescent="0.25">
      <c r="A70" t="str">
        <f>TRIM('Help Desk'!D70)</f>
        <v/>
      </c>
      <c r="B70" t="str">
        <f>TRIM('Account Creation'!B70)</f>
        <v/>
      </c>
      <c r="C70" t="str">
        <f>TRIM('Account Creation'!D70)</f>
        <v/>
      </c>
      <c r="D70" s="4" t="str">
        <f t="shared" si="3"/>
        <v/>
      </c>
      <c r="E70" t="b">
        <f>IF('Account Creation'!AG70="",FALSE,'Account Creation'!AG70)</f>
        <v>0</v>
      </c>
      <c r="F70" t="b">
        <f>IF('Account Creation'!AH70="",FALSE,'Account Creation'!AH70)</f>
        <v>0</v>
      </c>
      <c r="G70" s="5" t="s">
        <v>544</v>
      </c>
      <c r="H70" t="str">
        <f t="shared" si="2"/>
        <v/>
      </c>
      <c r="I70">
        <f>'VCC_Stores ONLY'!B70</f>
        <v>0</v>
      </c>
      <c r="J70" s="4">
        <f>('Account Creation'!G70 - 25569) * 86400</f>
        <v>-2209161600</v>
      </c>
    </row>
    <row r="71" spans="1:10" x14ac:dyDescent="0.25">
      <c r="A71" t="str">
        <f>TRIM('Help Desk'!D71)</f>
        <v/>
      </c>
      <c r="B71" t="str">
        <f>TRIM('Account Creation'!B71)</f>
        <v/>
      </c>
      <c r="C71" t="str">
        <f>TRIM('Account Creation'!D71)</f>
        <v/>
      </c>
      <c r="D71" s="4" t="str">
        <f t="shared" si="3"/>
        <v/>
      </c>
      <c r="E71" t="b">
        <f>IF('Account Creation'!AG71="",FALSE,'Account Creation'!AG71)</f>
        <v>0</v>
      </c>
      <c r="F71" t="b">
        <f>IF('Account Creation'!AH71="",FALSE,'Account Creation'!AH71)</f>
        <v>0</v>
      </c>
      <c r="G71" s="5" t="s">
        <v>544</v>
      </c>
      <c r="H71" t="str">
        <f t="shared" si="2"/>
        <v/>
      </c>
      <c r="I71">
        <f>'VCC_Stores ONLY'!B71</f>
        <v>0</v>
      </c>
      <c r="J71" s="4">
        <f>('Account Creation'!G71 - 25569) * 86400</f>
        <v>-2209161600</v>
      </c>
    </row>
    <row r="72" spans="1:10" x14ac:dyDescent="0.25">
      <c r="A72" t="str">
        <f>TRIM('Help Desk'!D72)</f>
        <v/>
      </c>
      <c r="B72" t="str">
        <f>TRIM('Account Creation'!B72)</f>
        <v/>
      </c>
      <c r="C72" t="str">
        <f>TRIM('Account Creation'!D72)</f>
        <v/>
      </c>
      <c r="D72" s="4" t="str">
        <f t="shared" si="3"/>
        <v/>
      </c>
      <c r="E72" t="b">
        <f>IF('Account Creation'!AG72="",FALSE,'Account Creation'!AG72)</f>
        <v>0</v>
      </c>
      <c r="F72" t="b">
        <f>IF('Account Creation'!AH72="",FALSE,'Account Creation'!AH72)</f>
        <v>0</v>
      </c>
      <c r="G72" s="5" t="s">
        <v>544</v>
      </c>
      <c r="H72" t="str">
        <f t="shared" si="2"/>
        <v/>
      </c>
      <c r="I72">
        <f>'VCC_Stores ONLY'!B72</f>
        <v>0</v>
      </c>
      <c r="J72" s="4">
        <f>('Account Creation'!G72 - 25569) * 86400</f>
        <v>-2209161600</v>
      </c>
    </row>
    <row r="73" spans="1:10" x14ac:dyDescent="0.25">
      <c r="A73" t="str">
        <f>TRIM('Help Desk'!D73)</f>
        <v/>
      </c>
      <c r="B73" t="str">
        <f>TRIM('Account Creation'!B73)</f>
        <v/>
      </c>
      <c r="C73" t="str">
        <f>TRIM('Account Creation'!D73)</f>
        <v/>
      </c>
      <c r="D73" s="4" t="str">
        <f t="shared" si="3"/>
        <v/>
      </c>
      <c r="E73" t="b">
        <f>IF('Account Creation'!AG73="",FALSE,'Account Creation'!AG73)</f>
        <v>0</v>
      </c>
      <c r="F73" t="b">
        <f>IF('Account Creation'!AH73="",FALSE,'Account Creation'!AH73)</f>
        <v>0</v>
      </c>
      <c r="G73" s="5" t="s">
        <v>544</v>
      </c>
      <c r="H73" t="str">
        <f t="shared" si="2"/>
        <v/>
      </c>
      <c r="I73">
        <f>'VCC_Stores ONLY'!B73</f>
        <v>0</v>
      </c>
      <c r="J73" s="4">
        <f>('Account Creation'!G73 - 25569) * 86400</f>
        <v>-2209161600</v>
      </c>
    </row>
    <row r="74" spans="1:10" x14ac:dyDescent="0.25">
      <c r="A74" t="str">
        <f>TRIM('Help Desk'!D74)</f>
        <v/>
      </c>
      <c r="B74" t="str">
        <f>TRIM('Account Creation'!B74)</f>
        <v/>
      </c>
      <c r="C74" t="str">
        <f>TRIM('Account Creation'!D74)</f>
        <v/>
      </c>
      <c r="D74" s="4" t="str">
        <f t="shared" si="3"/>
        <v/>
      </c>
      <c r="E74" t="b">
        <f>IF('Account Creation'!AG74="",FALSE,'Account Creation'!AG74)</f>
        <v>0</v>
      </c>
      <c r="F74" t="b">
        <f>IF('Account Creation'!AH74="",FALSE,'Account Creation'!AH74)</f>
        <v>0</v>
      </c>
      <c r="G74" s="5" t="s">
        <v>544</v>
      </c>
      <c r="H74" t="str">
        <f t="shared" si="2"/>
        <v/>
      </c>
      <c r="I74">
        <f>'VCC_Stores ONLY'!B74</f>
        <v>0</v>
      </c>
      <c r="J74" s="4">
        <f>('Account Creation'!G74 - 25569) * 86400</f>
        <v>-2209161600</v>
      </c>
    </row>
    <row r="75" spans="1:10" x14ac:dyDescent="0.25">
      <c r="A75" t="str">
        <f>TRIM('Help Desk'!D75)</f>
        <v/>
      </c>
      <c r="B75" t="str">
        <f>TRIM('Account Creation'!B75)</f>
        <v/>
      </c>
      <c r="C75" t="str">
        <f>TRIM('Account Creation'!D75)</f>
        <v/>
      </c>
      <c r="D75" s="4" t="str">
        <f t="shared" si="3"/>
        <v/>
      </c>
      <c r="E75" t="b">
        <f>IF('Account Creation'!AG75="",FALSE,'Account Creation'!AG75)</f>
        <v>0</v>
      </c>
      <c r="F75" t="b">
        <f>IF('Account Creation'!AH75="",FALSE,'Account Creation'!AH75)</f>
        <v>0</v>
      </c>
      <c r="G75" s="5" t="s">
        <v>544</v>
      </c>
      <c r="H75" t="str">
        <f t="shared" si="2"/>
        <v/>
      </c>
      <c r="I75">
        <f>'VCC_Stores ONLY'!B75</f>
        <v>0</v>
      </c>
      <c r="J75" s="4">
        <f>('Account Creation'!G75 - 25569) * 86400</f>
        <v>-2209161600</v>
      </c>
    </row>
    <row r="76" spans="1:10" x14ac:dyDescent="0.25">
      <c r="A76" t="str">
        <f>TRIM('Help Desk'!D76)</f>
        <v/>
      </c>
      <c r="B76" t="str">
        <f>TRIM('Account Creation'!B76)</f>
        <v/>
      </c>
      <c r="C76" t="str">
        <f>TRIM('Account Creation'!D76)</f>
        <v/>
      </c>
      <c r="D76" s="4" t="str">
        <f t="shared" si="3"/>
        <v/>
      </c>
      <c r="E76" t="b">
        <f>IF('Account Creation'!AG76="",FALSE,'Account Creation'!AG76)</f>
        <v>0</v>
      </c>
      <c r="F76" t="b">
        <f>IF('Account Creation'!AH76="",FALSE,'Account Creation'!AH76)</f>
        <v>0</v>
      </c>
      <c r="G76" s="5" t="s">
        <v>544</v>
      </c>
      <c r="H76" t="str">
        <f t="shared" si="2"/>
        <v/>
      </c>
      <c r="I76">
        <f>'VCC_Stores ONLY'!B76</f>
        <v>0</v>
      </c>
      <c r="J76" s="4">
        <f>('Account Creation'!G76 - 25569) * 86400</f>
        <v>-2209161600</v>
      </c>
    </row>
    <row r="77" spans="1:10" x14ac:dyDescent="0.25">
      <c r="A77" t="str">
        <f>TRIM('Help Desk'!D77)</f>
        <v/>
      </c>
      <c r="B77" t="str">
        <f>TRIM('Account Creation'!B77)</f>
        <v/>
      </c>
      <c r="C77" t="str">
        <f>TRIM('Account Creation'!D77)</f>
        <v/>
      </c>
      <c r="D77" s="4" t="str">
        <f t="shared" si="3"/>
        <v/>
      </c>
      <c r="E77" t="b">
        <f>IF('Account Creation'!AG77="",FALSE,'Account Creation'!AG77)</f>
        <v>0</v>
      </c>
      <c r="F77" t="b">
        <f>IF('Account Creation'!AH77="",FALSE,'Account Creation'!AH77)</f>
        <v>0</v>
      </c>
      <c r="G77" s="5" t="s">
        <v>544</v>
      </c>
      <c r="H77" t="str">
        <f t="shared" si="2"/>
        <v/>
      </c>
      <c r="I77">
        <f>'VCC_Stores ONLY'!B77</f>
        <v>0</v>
      </c>
      <c r="J77" s="4">
        <f>('Account Creation'!G77 - 25569) * 86400</f>
        <v>-2209161600</v>
      </c>
    </row>
    <row r="78" spans="1:10" x14ac:dyDescent="0.25">
      <c r="A78" t="str">
        <f>TRIM('Help Desk'!D78)</f>
        <v/>
      </c>
      <c r="B78" t="str">
        <f>TRIM('Account Creation'!B78)</f>
        <v/>
      </c>
      <c r="C78" t="str">
        <f>TRIM('Account Creation'!D78)</f>
        <v/>
      </c>
      <c r="D78" s="4" t="str">
        <f t="shared" si="3"/>
        <v/>
      </c>
      <c r="E78" t="b">
        <f>IF('Account Creation'!AG78="",FALSE,'Account Creation'!AG78)</f>
        <v>0</v>
      </c>
      <c r="F78" t="b">
        <f>IF('Account Creation'!AH78="",FALSE,'Account Creation'!AH78)</f>
        <v>0</v>
      </c>
      <c r="G78" s="5" t="s">
        <v>544</v>
      </c>
      <c r="H78" t="str">
        <f t="shared" si="2"/>
        <v/>
      </c>
      <c r="I78">
        <f>'VCC_Stores ONLY'!B78</f>
        <v>0</v>
      </c>
      <c r="J78" s="4">
        <f>('Account Creation'!G78 - 25569) * 86400</f>
        <v>-2209161600</v>
      </c>
    </row>
    <row r="79" spans="1:10" x14ac:dyDescent="0.25">
      <c r="A79" t="str">
        <f>TRIM('Help Desk'!D79)</f>
        <v/>
      </c>
      <c r="B79" t="str">
        <f>TRIM('Account Creation'!B79)</f>
        <v/>
      </c>
      <c r="C79" t="str">
        <f>TRIM('Account Creation'!D79)</f>
        <v/>
      </c>
      <c r="D79" s="4" t="str">
        <f t="shared" si="3"/>
        <v/>
      </c>
      <c r="E79" t="b">
        <f>IF('Account Creation'!AG79="",FALSE,'Account Creation'!AG79)</f>
        <v>0</v>
      </c>
      <c r="F79" t="b">
        <f>IF('Account Creation'!AH79="",FALSE,'Account Creation'!AH79)</f>
        <v>0</v>
      </c>
      <c r="G79" s="5" t="s">
        <v>544</v>
      </c>
      <c r="H79" t="str">
        <f t="shared" si="2"/>
        <v/>
      </c>
      <c r="I79">
        <f>'VCC_Stores ONLY'!B79</f>
        <v>0</v>
      </c>
      <c r="J79" s="4">
        <f>('Account Creation'!G79 - 25569) * 86400</f>
        <v>-2209161600</v>
      </c>
    </row>
    <row r="80" spans="1:10" x14ac:dyDescent="0.25">
      <c r="A80" t="str">
        <f>TRIM('Help Desk'!D80)</f>
        <v/>
      </c>
      <c r="B80" t="str">
        <f>TRIM('Account Creation'!B80)</f>
        <v/>
      </c>
      <c r="C80" t="str">
        <f>TRIM('Account Creation'!D80)</f>
        <v/>
      </c>
      <c r="D80" s="4" t="str">
        <f t="shared" si="3"/>
        <v/>
      </c>
      <c r="E80" t="b">
        <f>IF('Account Creation'!AG80="",FALSE,'Account Creation'!AG80)</f>
        <v>0</v>
      </c>
      <c r="F80" t="b">
        <f>IF('Account Creation'!AH80="",FALSE,'Account Creation'!AH80)</f>
        <v>0</v>
      </c>
      <c r="G80" s="5" t="s">
        <v>544</v>
      </c>
      <c r="H80" t="str">
        <f t="shared" si="2"/>
        <v/>
      </c>
      <c r="I80">
        <f>'VCC_Stores ONLY'!B80</f>
        <v>0</v>
      </c>
      <c r="J80" s="4">
        <f>('Account Creation'!G80 - 25569) * 86400</f>
        <v>-2209161600</v>
      </c>
    </row>
    <row r="81" spans="1:10" x14ac:dyDescent="0.25">
      <c r="A81" t="str">
        <f>TRIM('Help Desk'!D81)</f>
        <v/>
      </c>
      <c r="B81" t="str">
        <f>TRIM('Account Creation'!B81)</f>
        <v/>
      </c>
      <c r="C81" t="str">
        <f>TRIM('Account Creation'!D81)</f>
        <v/>
      </c>
      <c r="D81" s="4" t="str">
        <f t="shared" si="3"/>
        <v/>
      </c>
      <c r="E81" t="b">
        <f>IF('Account Creation'!AG81="",FALSE,'Account Creation'!AG81)</f>
        <v>0</v>
      </c>
      <c r="F81" t="b">
        <f>IF('Account Creation'!AH81="",FALSE,'Account Creation'!AH81)</f>
        <v>0</v>
      </c>
      <c r="G81" s="5" t="s">
        <v>544</v>
      </c>
      <c r="H81" t="str">
        <f t="shared" si="2"/>
        <v/>
      </c>
      <c r="I81">
        <f>'VCC_Stores ONLY'!B81</f>
        <v>0</v>
      </c>
      <c r="J81" s="4">
        <f>('Account Creation'!G81 - 25569) * 86400</f>
        <v>-2209161600</v>
      </c>
    </row>
    <row r="82" spans="1:10" x14ac:dyDescent="0.25">
      <c r="A82" t="str">
        <f>TRIM('Help Desk'!D82)</f>
        <v/>
      </c>
      <c r="B82" t="str">
        <f>TRIM('Account Creation'!B82)</f>
        <v/>
      </c>
      <c r="C82" t="str">
        <f>TRIM('Account Creation'!D82)</f>
        <v/>
      </c>
      <c r="D82" s="4" t="str">
        <f t="shared" si="3"/>
        <v/>
      </c>
      <c r="E82" t="b">
        <f>IF('Account Creation'!AG82="",FALSE,'Account Creation'!AG82)</f>
        <v>0</v>
      </c>
      <c r="F82" t="b">
        <f>IF('Account Creation'!AH82="",FALSE,'Account Creation'!AH82)</f>
        <v>0</v>
      </c>
      <c r="G82" s="5" t="s">
        <v>544</v>
      </c>
      <c r="H82" t="str">
        <f t="shared" si="2"/>
        <v/>
      </c>
      <c r="I82">
        <f>'VCC_Stores ONLY'!B82</f>
        <v>0</v>
      </c>
      <c r="J82" s="4">
        <f>('Account Creation'!G82 - 25569) * 86400</f>
        <v>-2209161600</v>
      </c>
    </row>
    <row r="83" spans="1:10" x14ac:dyDescent="0.25">
      <c r="A83" t="str">
        <f>TRIM('Help Desk'!D83)</f>
        <v/>
      </c>
      <c r="B83" t="str">
        <f>TRIM('Account Creation'!B83)</f>
        <v/>
      </c>
      <c r="C83" t="str">
        <f>TRIM('Account Creation'!D83)</f>
        <v/>
      </c>
      <c r="D83" s="4" t="str">
        <f t="shared" si="3"/>
        <v/>
      </c>
      <c r="E83" t="b">
        <f>IF('Account Creation'!AG83="",FALSE,'Account Creation'!AG83)</f>
        <v>0</v>
      </c>
      <c r="F83" t="b">
        <f>IF('Account Creation'!AH83="",FALSE,'Account Creation'!AH83)</f>
        <v>0</v>
      </c>
      <c r="G83" s="5" t="s">
        <v>544</v>
      </c>
      <c r="H83" t="str">
        <f t="shared" si="2"/>
        <v/>
      </c>
      <c r="I83">
        <f>'VCC_Stores ONLY'!B83</f>
        <v>0</v>
      </c>
      <c r="J83" s="4">
        <f>('Account Creation'!G83 - 25569) * 86400</f>
        <v>-2209161600</v>
      </c>
    </row>
    <row r="84" spans="1:10" x14ac:dyDescent="0.25">
      <c r="A84" t="str">
        <f>TRIM('Help Desk'!D84)</f>
        <v/>
      </c>
      <c r="B84" t="str">
        <f>TRIM('Account Creation'!B84)</f>
        <v/>
      </c>
      <c r="C84" t="str">
        <f>TRIM('Account Creation'!D84)</f>
        <v/>
      </c>
      <c r="D84" s="4" t="str">
        <f t="shared" si="3"/>
        <v/>
      </c>
      <c r="E84" t="b">
        <f>IF('Account Creation'!AG84="",FALSE,'Account Creation'!AG84)</f>
        <v>0</v>
      </c>
      <c r="F84" t="b">
        <f>IF('Account Creation'!AH84="",FALSE,'Account Creation'!AH84)</f>
        <v>0</v>
      </c>
      <c r="G84" s="5" t="s">
        <v>544</v>
      </c>
      <c r="H84" t="str">
        <f t="shared" si="2"/>
        <v/>
      </c>
      <c r="I84">
        <f>'VCC_Stores ONLY'!B84</f>
        <v>0</v>
      </c>
      <c r="J84" s="4">
        <f>('Account Creation'!G84 - 25569) * 86400</f>
        <v>-2209161600</v>
      </c>
    </row>
    <row r="85" spans="1:10" x14ac:dyDescent="0.25">
      <c r="A85" t="str">
        <f>TRIM('Help Desk'!D85)</f>
        <v/>
      </c>
      <c r="B85" t="str">
        <f>TRIM('Account Creation'!B85)</f>
        <v/>
      </c>
      <c r="C85" t="str">
        <f>TRIM('Account Creation'!D85)</f>
        <v/>
      </c>
      <c r="D85" s="4" t="str">
        <f t="shared" si="3"/>
        <v/>
      </c>
      <c r="E85" t="b">
        <f>IF('Account Creation'!AG85="",FALSE,'Account Creation'!AG85)</f>
        <v>0</v>
      </c>
      <c r="F85" t="b">
        <f>IF('Account Creation'!AH85="",FALSE,'Account Creation'!AH85)</f>
        <v>0</v>
      </c>
      <c r="G85" s="5" t="s">
        <v>544</v>
      </c>
      <c r="H85" t="str">
        <f t="shared" si="2"/>
        <v/>
      </c>
      <c r="I85">
        <f>'VCC_Stores ONLY'!B85</f>
        <v>0</v>
      </c>
      <c r="J85" s="4">
        <f>('Account Creation'!G85 - 25569) * 86400</f>
        <v>-2209161600</v>
      </c>
    </row>
    <row r="86" spans="1:10" x14ac:dyDescent="0.25">
      <c r="A86" t="str">
        <f>TRIM('Help Desk'!D86)</f>
        <v/>
      </c>
      <c r="B86" t="str">
        <f>TRIM('Account Creation'!B86)</f>
        <v/>
      </c>
      <c r="C86" t="str">
        <f>TRIM('Account Creation'!D86)</f>
        <v/>
      </c>
      <c r="D86" s="4" t="str">
        <f t="shared" si="3"/>
        <v/>
      </c>
      <c r="E86" t="b">
        <f>IF('Account Creation'!AG86="",FALSE,'Account Creation'!AG86)</f>
        <v>0</v>
      </c>
      <c r="F86" t="b">
        <f>IF('Account Creation'!AH86="",FALSE,'Account Creation'!AH86)</f>
        <v>0</v>
      </c>
      <c r="G86" s="5" t="s">
        <v>544</v>
      </c>
      <c r="H86" t="str">
        <f t="shared" si="2"/>
        <v/>
      </c>
      <c r="I86">
        <f>'VCC_Stores ONLY'!B86</f>
        <v>0</v>
      </c>
      <c r="J86" s="4">
        <f>('Account Creation'!G86 - 25569) * 86400</f>
        <v>-2209161600</v>
      </c>
    </row>
    <row r="87" spans="1:10" x14ac:dyDescent="0.25">
      <c r="A87" t="str">
        <f>TRIM('Help Desk'!D87)</f>
        <v/>
      </c>
      <c r="B87" t="str">
        <f>TRIM('Account Creation'!B87)</f>
        <v/>
      </c>
      <c r="C87" t="str">
        <f>TRIM('Account Creation'!D87)</f>
        <v/>
      </c>
      <c r="D87" s="4" t="str">
        <f t="shared" si="3"/>
        <v/>
      </c>
      <c r="E87" t="b">
        <f>IF('Account Creation'!AG87="",FALSE,'Account Creation'!AG87)</f>
        <v>0</v>
      </c>
      <c r="F87" t="b">
        <f>IF('Account Creation'!AH87="",FALSE,'Account Creation'!AH87)</f>
        <v>0</v>
      </c>
      <c r="G87" s="5" t="s">
        <v>544</v>
      </c>
      <c r="H87" t="str">
        <f t="shared" si="2"/>
        <v/>
      </c>
      <c r="I87">
        <f>'VCC_Stores ONLY'!B87</f>
        <v>0</v>
      </c>
      <c r="J87" s="4">
        <f>('Account Creation'!G87 - 25569) * 86400</f>
        <v>-2209161600</v>
      </c>
    </row>
    <row r="88" spans="1:10" x14ac:dyDescent="0.25">
      <c r="A88" t="str">
        <f>TRIM('Help Desk'!D88)</f>
        <v/>
      </c>
      <c r="B88" t="str">
        <f>TRIM('Account Creation'!B88)</f>
        <v/>
      </c>
      <c r="C88" t="str">
        <f>TRIM('Account Creation'!D88)</f>
        <v/>
      </c>
      <c r="D88" s="4" t="str">
        <f t="shared" si="3"/>
        <v/>
      </c>
      <c r="E88" t="b">
        <f>IF('Account Creation'!AG88="",FALSE,'Account Creation'!AG88)</f>
        <v>0</v>
      </c>
      <c r="F88" t="b">
        <f>IF('Account Creation'!AH88="",FALSE,'Account Creation'!AH88)</f>
        <v>0</v>
      </c>
      <c r="G88" s="5" t="s">
        <v>544</v>
      </c>
      <c r="H88" t="str">
        <f t="shared" si="2"/>
        <v/>
      </c>
      <c r="I88">
        <f>'VCC_Stores ONLY'!B88</f>
        <v>0</v>
      </c>
      <c r="J88" s="4">
        <f>('Account Creation'!G88 - 25569) * 86400</f>
        <v>-2209161600</v>
      </c>
    </row>
    <row r="89" spans="1:10" x14ac:dyDescent="0.25">
      <c r="A89" t="str">
        <f>TRIM('Help Desk'!D89)</f>
        <v/>
      </c>
      <c r="B89" t="str">
        <f>TRIM('Account Creation'!B89)</f>
        <v/>
      </c>
      <c r="C89" t="str">
        <f>TRIM('Account Creation'!D89)</f>
        <v/>
      </c>
      <c r="D89" s="4" t="str">
        <f t="shared" si="3"/>
        <v/>
      </c>
      <c r="E89" t="b">
        <f>IF('Account Creation'!AG89="",FALSE,'Account Creation'!AG89)</f>
        <v>0</v>
      </c>
      <c r="F89" t="b">
        <f>IF('Account Creation'!AH89="",FALSE,'Account Creation'!AH89)</f>
        <v>0</v>
      </c>
      <c r="G89" s="5" t="s">
        <v>544</v>
      </c>
      <c r="H89" t="str">
        <f t="shared" si="2"/>
        <v/>
      </c>
      <c r="I89">
        <f>'VCC_Stores ONLY'!B89</f>
        <v>0</v>
      </c>
      <c r="J89" s="4">
        <f>('Account Creation'!G89 - 25569) * 86400</f>
        <v>-2209161600</v>
      </c>
    </row>
    <row r="90" spans="1:10" x14ac:dyDescent="0.25">
      <c r="A90" t="str">
        <f>TRIM('Help Desk'!D90)</f>
        <v/>
      </c>
      <c r="B90" t="str">
        <f>TRIM('Account Creation'!B90)</f>
        <v/>
      </c>
      <c r="C90" t="str">
        <f>TRIM('Account Creation'!D90)</f>
        <v/>
      </c>
      <c r="D90" s="4" t="str">
        <f t="shared" si="3"/>
        <v/>
      </c>
      <c r="E90" t="b">
        <f>IF('Account Creation'!AG90="",FALSE,'Account Creation'!AG90)</f>
        <v>0</v>
      </c>
      <c r="F90" t="b">
        <f>IF('Account Creation'!AH90="",FALSE,'Account Creation'!AH90)</f>
        <v>0</v>
      </c>
      <c r="G90" s="5" t="s">
        <v>544</v>
      </c>
      <c r="H90" t="str">
        <f t="shared" si="2"/>
        <v/>
      </c>
      <c r="I90">
        <f>'VCC_Stores ONLY'!B90</f>
        <v>0</v>
      </c>
      <c r="J90" s="4">
        <f>('Account Creation'!G90 - 25569) * 86400</f>
        <v>-2209161600</v>
      </c>
    </row>
    <row r="91" spans="1:10" x14ac:dyDescent="0.25">
      <c r="A91" t="str">
        <f>TRIM('Help Desk'!D91)</f>
        <v/>
      </c>
      <c r="B91" t="str">
        <f>TRIM('Account Creation'!B91)</f>
        <v/>
      </c>
      <c r="C91" t="str">
        <f>TRIM('Account Creation'!D91)</f>
        <v/>
      </c>
      <c r="D91" s="4" t="str">
        <f t="shared" si="3"/>
        <v/>
      </c>
      <c r="E91" t="b">
        <f>IF('Account Creation'!AG91="",FALSE,'Account Creation'!AG91)</f>
        <v>0</v>
      </c>
      <c r="F91" t="b">
        <f>IF('Account Creation'!AH91="",FALSE,'Account Creation'!AH91)</f>
        <v>0</v>
      </c>
      <c r="G91" s="5" t="s">
        <v>544</v>
      </c>
      <c r="H91" t="str">
        <f t="shared" si="2"/>
        <v/>
      </c>
      <c r="I91">
        <f>'VCC_Stores ONLY'!B91</f>
        <v>0</v>
      </c>
      <c r="J91" s="4">
        <f>('Account Creation'!G91 - 25569) * 86400</f>
        <v>-2209161600</v>
      </c>
    </row>
    <row r="92" spans="1:10" x14ac:dyDescent="0.25">
      <c r="A92" t="str">
        <f>TRIM('Help Desk'!D92)</f>
        <v/>
      </c>
      <c r="B92" t="str">
        <f>TRIM('Account Creation'!B92)</f>
        <v/>
      </c>
      <c r="C92" t="str">
        <f>TRIM('Account Creation'!D92)</f>
        <v/>
      </c>
      <c r="D92" s="4" t="str">
        <f t="shared" si="3"/>
        <v/>
      </c>
      <c r="E92" t="b">
        <f>IF('Account Creation'!AG92="",FALSE,'Account Creation'!AG92)</f>
        <v>0</v>
      </c>
      <c r="F92" t="b">
        <f>IF('Account Creation'!AH92="",FALSE,'Account Creation'!AH92)</f>
        <v>0</v>
      </c>
      <c r="G92" s="5" t="s">
        <v>544</v>
      </c>
      <c r="H92" t="str">
        <f t="shared" si="2"/>
        <v/>
      </c>
      <c r="I92">
        <f>'VCC_Stores ONLY'!B92</f>
        <v>0</v>
      </c>
      <c r="J92" s="4">
        <f>('Account Creation'!G92 - 25569) * 86400</f>
        <v>-2209161600</v>
      </c>
    </row>
    <row r="93" spans="1:10" x14ac:dyDescent="0.25">
      <c r="A93" t="str">
        <f>TRIM('Help Desk'!D93)</f>
        <v/>
      </c>
      <c r="B93" t="str">
        <f>TRIM('Account Creation'!B93)</f>
        <v/>
      </c>
      <c r="C93" t="str">
        <f>TRIM('Account Creation'!D93)</f>
        <v/>
      </c>
      <c r="D93" s="4" t="str">
        <f t="shared" si="3"/>
        <v/>
      </c>
      <c r="E93" t="b">
        <f>IF('Account Creation'!AG93="",FALSE,'Account Creation'!AG93)</f>
        <v>0</v>
      </c>
      <c r="F93" t="b">
        <f>IF('Account Creation'!AH93="",FALSE,'Account Creation'!AH93)</f>
        <v>0</v>
      </c>
      <c r="G93" s="5" t="s">
        <v>544</v>
      </c>
      <c r="H93" t="str">
        <f t="shared" si="2"/>
        <v/>
      </c>
      <c r="I93">
        <f>'VCC_Stores ONLY'!B93</f>
        <v>0</v>
      </c>
      <c r="J93" s="4">
        <f>('Account Creation'!G93 - 25569) * 86400</f>
        <v>-2209161600</v>
      </c>
    </row>
    <row r="94" spans="1:10" x14ac:dyDescent="0.25">
      <c r="A94" t="str">
        <f>TRIM('Help Desk'!D94)</f>
        <v/>
      </c>
      <c r="B94" t="str">
        <f>TRIM('Account Creation'!B94)</f>
        <v/>
      </c>
      <c r="C94" t="str">
        <f>TRIM('Account Creation'!D94)</f>
        <v/>
      </c>
      <c r="D94" s="4" t="str">
        <f t="shared" si="3"/>
        <v/>
      </c>
      <c r="E94" t="b">
        <f>IF('Account Creation'!AG94="",FALSE,'Account Creation'!AG94)</f>
        <v>0</v>
      </c>
      <c r="F94" t="b">
        <f>IF('Account Creation'!AH94="",FALSE,'Account Creation'!AH94)</f>
        <v>0</v>
      </c>
      <c r="G94" s="5" t="s">
        <v>544</v>
      </c>
      <c r="H94" t="str">
        <f t="shared" si="2"/>
        <v/>
      </c>
      <c r="I94">
        <f>'VCC_Stores ONLY'!B94</f>
        <v>0</v>
      </c>
      <c r="J94" s="4">
        <f>('Account Creation'!G94 - 25569) * 86400</f>
        <v>-2209161600</v>
      </c>
    </row>
    <row r="95" spans="1:10" x14ac:dyDescent="0.25">
      <c r="A95" t="str">
        <f>TRIM('Help Desk'!D95)</f>
        <v/>
      </c>
      <c r="B95" t="str">
        <f>TRIM('Account Creation'!B95)</f>
        <v/>
      </c>
      <c r="C95" t="str">
        <f>TRIM('Account Creation'!D95)</f>
        <v/>
      </c>
      <c r="D95" s="4" t="str">
        <f t="shared" si="3"/>
        <v/>
      </c>
      <c r="E95" t="b">
        <f>IF('Account Creation'!AG95="",FALSE,'Account Creation'!AG95)</f>
        <v>0</v>
      </c>
      <c r="F95" t="b">
        <f>IF('Account Creation'!AH95="",FALSE,'Account Creation'!AH95)</f>
        <v>0</v>
      </c>
      <c r="G95" s="5" t="s">
        <v>544</v>
      </c>
      <c r="H95" t="str">
        <f t="shared" si="2"/>
        <v/>
      </c>
      <c r="I95">
        <f>'VCC_Stores ONLY'!B95</f>
        <v>0</v>
      </c>
      <c r="J95" s="4">
        <f>('Account Creation'!G95 - 25569) * 86400</f>
        <v>-2209161600</v>
      </c>
    </row>
    <row r="96" spans="1:10" x14ac:dyDescent="0.25">
      <c r="A96" t="str">
        <f>TRIM('Help Desk'!D96)</f>
        <v/>
      </c>
      <c r="B96" t="str">
        <f>TRIM('Account Creation'!B96)</f>
        <v/>
      </c>
      <c r="C96" t="str">
        <f>TRIM('Account Creation'!D96)</f>
        <v/>
      </c>
      <c r="D96" s="4" t="str">
        <f t="shared" si="3"/>
        <v/>
      </c>
      <c r="E96" t="b">
        <f>IF('Account Creation'!AG96="",FALSE,'Account Creation'!AG96)</f>
        <v>0</v>
      </c>
      <c r="F96" t="b">
        <f>IF('Account Creation'!AH96="",FALSE,'Account Creation'!AH96)</f>
        <v>0</v>
      </c>
      <c r="G96" s="5" t="s">
        <v>544</v>
      </c>
      <c r="H96" t="str">
        <f t="shared" si="2"/>
        <v/>
      </c>
      <c r="I96">
        <f>'VCC_Stores ONLY'!B96</f>
        <v>0</v>
      </c>
      <c r="J96" s="4">
        <f>('Account Creation'!G96 - 25569) * 86400</f>
        <v>-2209161600</v>
      </c>
    </row>
    <row r="97" spans="1:10" x14ac:dyDescent="0.25">
      <c r="A97" t="str">
        <f>TRIM('Help Desk'!D97)</f>
        <v/>
      </c>
      <c r="B97" t="str">
        <f>TRIM('Account Creation'!B97)</f>
        <v/>
      </c>
      <c r="C97" t="str">
        <f>TRIM('Account Creation'!D97)</f>
        <v/>
      </c>
      <c r="D97" s="4" t="str">
        <f t="shared" si="3"/>
        <v/>
      </c>
      <c r="E97" t="b">
        <f>IF('Account Creation'!AG97="",FALSE,'Account Creation'!AG97)</f>
        <v>0</v>
      </c>
      <c r="F97" t="b">
        <f>IF('Account Creation'!AH97="",FALSE,'Account Creation'!AH97)</f>
        <v>0</v>
      </c>
      <c r="G97" s="5" t="s">
        <v>544</v>
      </c>
      <c r="H97" t="str">
        <f t="shared" si="2"/>
        <v/>
      </c>
      <c r="I97">
        <f>'VCC_Stores ONLY'!B97</f>
        <v>0</v>
      </c>
      <c r="J97" s="4">
        <f>('Account Creation'!G97 - 25569) * 86400</f>
        <v>-2209161600</v>
      </c>
    </row>
    <row r="98" spans="1:10" x14ac:dyDescent="0.25">
      <c r="A98" t="str">
        <f>TRIM('Help Desk'!D98)</f>
        <v/>
      </c>
      <c r="B98" t="str">
        <f>TRIM('Account Creation'!B98)</f>
        <v/>
      </c>
      <c r="C98" t="str">
        <f>TRIM('Account Creation'!D98)</f>
        <v/>
      </c>
      <c r="D98" s="4" t="str">
        <f t="shared" si="3"/>
        <v/>
      </c>
      <c r="E98" t="b">
        <f>IF('Account Creation'!AG98="",FALSE,'Account Creation'!AG98)</f>
        <v>0</v>
      </c>
      <c r="F98" t="b">
        <f>IF('Account Creation'!AH98="",FALSE,'Account Creation'!AH98)</f>
        <v>0</v>
      </c>
      <c r="G98" s="5" t="s">
        <v>544</v>
      </c>
      <c r="H98" t="str">
        <f t="shared" si="2"/>
        <v/>
      </c>
      <c r="I98">
        <f>'VCC_Stores ONLY'!B98</f>
        <v>0</v>
      </c>
      <c r="J98" s="4">
        <f>('Account Creation'!G98 - 25569) * 86400</f>
        <v>-2209161600</v>
      </c>
    </row>
    <row r="99" spans="1:10" x14ac:dyDescent="0.25">
      <c r="A99" t="str">
        <f>TRIM('Help Desk'!D99)</f>
        <v/>
      </c>
      <c r="B99" t="str">
        <f>TRIM('Account Creation'!B99)</f>
        <v/>
      </c>
      <c r="C99" t="str">
        <f>TRIM('Account Creation'!D99)</f>
        <v/>
      </c>
      <c r="D99" s="4" t="str">
        <f t="shared" si="3"/>
        <v/>
      </c>
      <c r="E99" t="b">
        <f>IF('Account Creation'!AG99="",FALSE,'Account Creation'!AG99)</f>
        <v>0</v>
      </c>
      <c r="F99" t="b">
        <f>IF('Account Creation'!AH99="",FALSE,'Account Creation'!AH99)</f>
        <v>0</v>
      </c>
      <c r="G99" s="5" t="s">
        <v>544</v>
      </c>
      <c r="H99" t="str">
        <f t="shared" si="2"/>
        <v/>
      </c>
      <c r="I99">
        <f>'VCC_Stores ONLY'!B99</f>
        <v>0</v>
      </c>
      <c r="J99" s="4">
        <f>('Account Creation'!G99 - 25569) * 86400</f>
        <v>-2209161600</v>
      </c>
    </row>
    <row r="100" spans="1:10" x14ac:dyDescent="0.25">
      <c r="A100" t="str">
        <f>TRIM('Help Desk'!D100)</f>
        <v/>
      </c>
      <c r="B100" t="str">
        <f>TRIM('Account Creation'!B100)</f>
        <v/>
      </c>
      <c r="C100" t="str">
        <f>TRIM('Account Creation'!D100)</f>
        <v/>
      </c>
      <c r="D100" s="4" t="str">
        <f t="shared" si="3"/>
        <v/>
      </c>
      <c r="E100" t="b">
        <f>IF('Account Creation'!AG100="",FALSE,'Account Creation'!AG100)</f>
        <v>0</v>
      </c>
      <c r="F100" t="b">
        <f>IF('Account Creation'!AH100="",FALSE,'Account Creation'!AH100)</f>
        <v>0</v>
      </c>
      <c r="G100" s="5" t="s">
        <v>544</v>
      </c>
      <c r="H100" t="str">
        <f t="shared" si="2"/>
        <v/>
      </c>
      <c r="I100">
        <f>'VCC_Stores ONLY'!B100</f>
        <v>0</v>
      </c>
      <c r="J100" s="4">
        <f>('Account Creation'!G100 - 25569) * 86400</f>
        <v>-2209161600</v>
      </c>
    </row>
    <row r="101" spans="1:10" x14ac:dyDescent="0.25">
      <c r="A101" t="str">
        <f>TRIM('Help Desk'!D101)</f>
        <v/>
      </c>
      <c r="B101" t="str">
        <f>TRIM('Account Creation'!B101)</f>
        <v/>
      </c>
      <c r="C101" t="str">
        <f>TRIM('Account Creation'!D101)</f>
        <v/>
      </c>
      <c r="D101" s="4" t="str">
        <f t="shared" si="3"/>
        <v/>
      </c>
      <c r="E101" t="b">
        <f>IF('Account Creation'!AG101="",FALSE,'Account Creation'!AG101)</f>
        <v>0</v>
      </c>
      <c r="F101" t="b">
        <f>IF('Account Creation'!AH101="",FALSE,'Account Creation'!AH101)</f>
        <v>0</v>
      </c>
      <c r="G101" s="5" t="s">
        <v>544</v>
      </c>
      <c r="H101" t="str">
        <f t="shared" si="2"/>
        <v/>
      </c>
      <c r="I101">
        <f>'VCC_Stores ONLY'!B101</f>
        <v>0</v>
      </c>
      <c r="J101" s="4">
        <f>('Account Creation'!G101 - 25569) * 86400</f>
        <v>-2209161600</v>
      </c>
    </row>
    <row r="102" spans="1:10" x14ac:dyDescent="0.25">
      <c r="A102" t="str">
        <f>TRIM('Help Desk'!D102)</f>
        <v/>
      </c>
      <c r="B102" t="str">
        <f>TRIM('Account Creation'!B102)</f>
        <v/>
      </c>
      <c r="C102" t="str">
        <f>TRIM('Account Creation'!D102)</f>
        <v/>
      </c>
      <c r="D102" s="4" t="str">
        <f t="shared" si="3"/>
        <v/>
      </c>
      <c r="E102" t="b">
        <f>IF('Account Creation'!AG102="",FALSE,'Account Creation'!AG102)</f>
        <v>0</v>
      </c>
      <c r="F102" t="b">
        <f>IF('Account Creation'!AH102="",FALSE,'Account Creation'!AH102)</f>
        <v>0</v>
      </c>
      <c r="G102" s="5" t="s">
        <v>544</v>
      </c>
      <c r="H102" t="str">
        <f t="shared" si="2"/>
        <v/>
      </c>
      <c r="I102">
        <f>'VCC_Stores ONLY'!B102</f>
        <v>0</v>
      </c>
      <c r="J102" s="4">
        <f>('Account Creation'!G102 - 25569) * 86400</f>
        <v>-2209161600</v>
      </c>
    </row>
    <row r="103" spans="1:10" x14ac:dyDescent="0.25">
      <c r="A103" t="str">
        <f>TRIM('Help Desk'!D103)</f>
        <v/>
      </c>
      <c r="B103" t="str">
        <f>TRIM('Account Creation'!B103)</f>
        <v/>
      </c>
      <c r="C103" t="str">
        <f>TRIM('Account Creation'!D103)</f>
        <v/>
      </c>
      <c r="D103" s="4" t="str">
        <f t="shared" si="3"/>
        <v/>
      </c>
      <c r="E103" t="b">
        <f>IF('Account Creation'!AG103="",FALSE,'Account Creation'!AG103)</f>
        <v>0</v>
      </c>
      <c r="F103" t="b">
        <f>IF('Account Creation'!AH103="",FALSE,'Account Creation'!AH103)</f>
        <v>0</v>
      </c>
      <c r="G103" s="5" t="s">
        <v>544</v>
      </c>
      <c r="H103" t="str">
        <f t="shared" si="2"/>
        <v/>
      </c>
      <c r="I103">
        <f>'VCC_Stores ONLY'!B103</f>
        <v>0</v>
      </c>
      <c r="J103" s="4">
        <f>('Account Creation'!G103 - 25569) * 86400</f>
        <v>-2209161600</v>
      </c>
    </row>
    <row r="104" spans="1:10" x14ac:dyDescent="0.25">
      <c r="A104" t="str">
        <f>TRIM('Help Desk'!D104)</f>
        <v/>
      </c>
      <c r="B104" t="str">
        <f>TRIM('Account Creation'!B104)</f>
        <v/>
      </c>
      <c r="C104" t="str">
        <f>TRIM('Account Creation'!D104)</f>
        <v/>
      </c>
      <c r="D104" s="4" t="str">
        <f t="shared" si="3"/>
        <v/>
      </c>
      <c r="E104" t="b">
        <f>IF('Account Creation'!AG104="",FALSE,'Account Creation'!AG104)</f>
        <v>0</v>
      </c>
      <c r="F104" t="b">
        <f>IF('Account Creation'!AH104="",FALSE,'Account Creation'!AH104)</f>
        <v>0</v>
      </c>
      <c r="G104" s="5" t="s">
        <v>544</v>
      </c>
      <c r="H104" t="str">
        <f t="shared" si="2"/>
        <v/>
      </c>
      <c r="I104">
        <f>'VCC_Stores ONLY'!B104</f>
        <v>0</v>
      </c>
      <c r="J104" s="4">
        <f>('Account Creation'!G104 - 25569) * 86400</f>
        <v>-2209161600</v>
      </c>
    </row>
    <row r="105" spans="1:10" x14ac:dyDescent="0.25">
      <c r="A105" t="str">
        <f>TRIM('Help Desk'!D105)</f>
        <v/>
      </c>
      <c r="B105" t="str">
        <f>TRIM('Account Creation'!B105)</f>
        <v/>
      </c>
      <c r="C105" t="str">
        <f>TRIM('Account Creation'!D105)</f>
        <v/>
      </c>
      <c r="D105" s="4" t="str">
        <f t="shared" si="3"/>
        <v/>
      </c>
      <c r="E105" t="b">
        <f>IF('Account Creation'!AG105="",FALSE,'Account Creation'!AG105)</f>
        <v>0</v>
      </c>
      <c r="F105" t="b">
        <f>IF('Account Creation'!AH105="",FALSE,'Account Creation'!AH105)</f>
        <v>0</v>
      </c>
      <c r="G105" s="5" t="s">
        <v>544</v>
      </c>
      <c r="H105" t="str">
        <f t="shared" si="2"/>
        <v/>
      </c>
      <c r="I105">
        <f>'VCC_Stores ONLY'!B105</f>
        <v>0</v>
      </c>
      <c r="J105" s="4">
        <f>('Account Creation'!G105 - 25569) * 86400</f>
        <v>-2209161600</v>
      </c>
    </row>
    <row r="106" spans="1:10" x14ac:dyDescent="0.25">
      <c r="A106" t="str">
        <f>TRIM('Help Desk'!D106)</f>
        <v/>
      </c>
      <c r="B106" t="str">
        <f>TRIM('Account Creation'!B106)</f>
        <v/>
      </c>
      <c r="C106" t="str">
        <f>TRIM('Account Creation'!D106)</f>
        <v/>
      </c>
      <c r="D106" s="4" t="str">
        <f t="shared" si="3"/>
        <v/>
      </c>
      <c r="E106" t="b">
        <f>IF('Account Creation'!AG106="",FALSE,'Account Creation'!AG106)</f>
        <v>0</v>
      </c>
      <c r="F106" t="b">
        <f>IF('Account Creation'!AH106="",FALSE,'Account Creation'!AH106)</f>
        <v>0</v>
      </c>
      <c r="G106" s="5" t="s">
        <v>544</v>
      </c>
      <c r="H106" t="str">
        <f t="shared" si="2"/>
        <v/>
      </c>
      <c r="I106">
        <f>'VCC_Stores ONLY'!B106</f>
        <v>0</v>
      </c>
      <c r="J106" s="4">
        <f>('Account Creation'!G106 - 25569) * 86400</f>
        <v>-2209161600</v>
      </c>
    </row>
    <row r="107" spans="1:10" x14ac:dyDescent="0.25">
      <c r="A107" t="str">
        <f>TRIM('Help Desk'!D107)</f>
        <v/>
      </c>
      <c r="B107" t="str">
        <f>TRIM('Account Creation'!B107)</f>
        <v/>
      </c>
      <c r="C107" t="str">
        <f>TRIM('Account Creation'!D107)</f>
        <v/>
      </c>
      <c r="D107" s="4" t="str">
        <f t="shared" si="3"/>
        <v/>
      </c>
      <c r="E107" t="b">
        <f>IF('Account Creation'!AG107="",FALSE,'Account Creation'!AG107)</f>
        <v>0</v>
      </c>
      <c r="F107" t="b">
        <f>IF('Account Creation'!AH107="",FALSE,'Account Creation'!AH107)</f>
        <v>0</v>
      </c>
      <c r="G107" s="5" t="s">
        <v>544</v>
      </c>
      <c r="H107" t="str">
        <f t="shared" si="2"/>
        <v/>
      </c>
      <c r="I107">
        <f>'VCC_Stores ONLY'!B107</f>
        <v>0</v>
      </c>
      <c r="J107" s="4">
        <f>('Account Creation'!G107 - 25569) * 86400</f>
        <v>-2209161600</v>
      </c>
    </row>
    <row r="108" spans="1:10" x14ac:dyDescent="0.25">
      <c r="A108" t="str">
        <f>TRIM('Help Desk'!D108)</f>
        <v/>
      </c>
      <c r="B108" t="str">
        <f>TRIM('Account Creation'!B108)</f>
        <v/>
      </c>
      <c r="C108" t="str">
        <f>TRIM('Account Creation'!D108)</f>
        <v/>
      </c>
      <c r="D108" s="4" t="str">
        <f t="shared" si="3"/>
        <v/>
      </c>
      <c r="E108" t="b">
        <f>IF('Account Creation'!AG108="",FALSE,'Account Creation'!AG108)</f>
        <v>0</v>
      </c>
      <c r="F108" t="b">
        <f>IF('Account Creation'!AH108="",FALSE,'Account Creation'!AH108)</f>
        <v>0</v>
      </c>
      <c r="G108" s="5" t="s">
        <v>544</v>
      </c>
      <c r="H108" t="str">
        <f t="shared" si="2"/>
        <v/>
      </c>
      <c r="I108">
        <f>'VCC_Stores ONLY'!B108</f>
        <v>0</v>
      </c>
      <c r="J108" s="4">
        <f>('Account Creation'!G108 - 25569) * 86400</f>
        <v>-2209161600</v>
      </c>
    </row>
    <row r="109" spans="1:10" x14ac:dyDescent="0.25">
      <c r="A109" t="str">
        <f>TRIM('Help Desk'!D109)</f>
        <v/>
      </c>
      <c r="B109" t="str">
        <f>TRIM('Account Creation'!B109)</f>
        <v/>
      </c>
      <c r="C109" t="str">
        <f>TRIM('Account Creation'!D109)</f>
        <v/>
      </c>
      <c r="D109" s="4" t="str">
        <f t="shared" si="3"/>
        <v/>
      </c>
      <c r="E109" t="b">
        <f>IF('Account Creation'!AG109="",FALSE,'Account Creation'!AG109)</f>
        <v>0</v>
      </c>
      <c r="F109" t="b">
        <f>IF('Account Creation'!AH109="",FALSE,'Account Creation'!AH109)</f>
        <v>0</v>
      </c>
      <c r="G109" s="5" t="s">
        <v>544</v>
      </c>
      <c r="H109" t="str">
        <f t="shared" si="2"/>
        <v/>
      </c>
      <c r="I109">
        <f>'VCC_Stores ONLY'!B109</f>
        <v>0</v>
      </c>
      <c r="J109" s="4">
        <f>('Account Creation'!G109 - 25569) * 86400</f>
        <v>-2209161600</v>
      </c>
    </row>
    <row r="110" spans="1:10" x14ac:dyDescent="0.25">
      <c r="A110" t="str">
        <f>TRIM('Help Desk'!D110)</f>
        <v/>
      </c>
      <c r="B110" t="str">
        <f>TRIM('Account Creation'!B110)</f>
        <v/>
      </c>
      <c r="C110" t="str">
        <f>TRIM('Account Creation'!D110)</f>
        <v/>
      </c>
      <c r="D110" s="4" t="str">
        <f t="shared" si="3"/>
        <v/>
      </c>
      <c r="E110" t="b">
        <f>IF('Account Creation'!AG110="",FALSE,'Account Creation'!AG110)</f>
        <v>0</v>
      </c>
      <c r="F110" t="b">
        <f>IF('Account Creation'!AH110="",FALSE,'Account Creation'!AH110)</f>
        <v>0</v>
      </c>
      <c r="G110" s="5" t="s">
        <v>544</v>
      </c>
      <c r="H110" t="str">
        <f t="shared" si="2"/>
        <v/>
      </c>
      <c r="I110">
        <f>'VCC_Stores ONLY'!B110</f>
        <v>0</v>
      </c>
      <c r="J110" s="4">
        <f>('Account Creation'!G110 - 25569) * 86400</f>
        <v>-2209161600</v>
      </c>
    </row>
    <row r="111" spans="1:10" x14ac:dyDescent="0.25">
      <c r="A111" t="str">
        <f>TRIM('Help Desk'!D111)</f>
        <v/>
      </c>
      <c r="B111" t="str">
        <f>TRIM('Account Creation'!B111)</f>
        <v/>
      </c>
      <c r="C111" t="str">
        <f>TRIM('Account Creation'!D111)</f>
        <v/>
      </c>
      <c r="D111" s="4" t="str">
        <f t="shared" si="3"/>
        <v/>
      </c>
      <c r="E111" t="b">
        <f>IF('Account Creation'!AG111="",FALSE,'Account Creation'!AG111)</f>
        <v>0</v>
      </c>
      <c r="F111" t="b">
        <f>IF('Account Creation'!AH111="",FALSE,'Account Creation'!AH111)</f>
        <v>0</v>
      </c>
      <c r="G111" s="5" t="s">
        <v>544</v>
      </c>
      <c r="H111" t="str">
        <f t="shared" si="2"/>
        <v/>
      </c>
      <c r="I111">
        <f>'VCC_Stores ONLY'!B111</f>
        <v>0</v>
      </c>
      <c r="J111" s="4">
        <f>('Account Creation'!G111 - 25569) * 86400</f>
        <v>-2209161600</v>
      </c>
    </row>
    <row r="112" spans="1:10" x14ac:dyDescent="0.25">
      <c r="A112" t="str">
        <f>TRIM('Help Desk'!D112)</f>
        <v/>
      </c>
      <c r="B112" t="str">
        <f>TRIM('Account Creation'!B112)</f>
        <v/>
      </c>
      <c r="C112" t="str">
        <f>TRIM('Account Creation'!D112)</f>
        <v/>
      </c>
      <c r="D112" s="4" t="str">
        <f t="shared" si="3"/>
        <v/>
      </c>
      <c r="E112" t="b">
        <f>IF('Account Creation'!AG112="",FALSE,'Account Creation'!AG112)</f>
        <v>0</v>
      </c>
      <c r="F112" t="b">
        <f>IF('Account Creation'!AH112="",FALSE,'Account Creation'!AH112)</f>
        <v>0</v>
      </c>
      <c r="G112" s="5" t="s">
        <v>544</v>
      </c>
      <c r="H112" t="str">
        <f t="shared" si="2"/>
        <v/>
      </c>
      <c r="I112">
        <f>'VCC_Stores ONLY'!B112</f>
        <v>0</v>
      </c>
      <c r="J112" s="4">
        <f>('Account Creation'!G112 - 25569) * 86400</f>
        <v>-2209161600</v>
      </c>
    </row>
    <row r="113" spans="1:10" x14ac:dyDescent="0.25">
      <c r="A113" t="str">
        <f>TRIM('Help Desk'!D113)</f>
        <v/>
      </c>
      <c r="B113" t="str">
        <f>TRIM('Account Creation'!B113)</f>
        <v/>
      </c>
      <c r="C113" t="str">
        <f>TRIM('Account Creation'!D113)</f>
        <v/>
      </c>
      <c r="D113" s="4" t="str">
        <f t="shared" si="3"/>
        <v/>
      </c>
      <c r="E113" t="b">
        <f>IF('Account Creation'!AG113="",FALSE,'Account Creation'!AG113)</f>
        <v>0</v>
      </c>
      <c r="F113" t="b">
        <f>IF('Account Creation'!AH113="",FALSE,'Account Creation'!AH113)</f>
        <v>0</v>
      </c>
      <c r="G113" s="5" t="s">
        <v>544</v>
      </c>
      <c r="H113" t="str">
        <f t="shared" si="2"/>
        <v/>
      </c>
      <c r="I113">
        <f>'VCC_Stores ONLY'!B113</f>
        <v>0</v>
      </c>
      <c r="J113" s="4">
        <f>('Account Creation'!G113 - 25569) * 86400</f>
        <v>-2209161600</v>
      </c>
    </row>
    <row r="114" spans="1:10" x14ac:dyDescent="0.25">
      <c r="A114" t="str">
        <f>TRIM('Help Desk'!D114)</f>
        <v/>
      </c>
      <c r="B114" t="str">
        <f>TRIM('Account Creation'!B114)</f>
        <v/>
      </c>
      <c r="C114" t="str">
        <f>TRIM('Account Creation'!D114)</f>
        <v/>
      </c>
      <c r="D114" s="4" t="str">
        <f t="shared" si="3"/>
        <v/>
      </c>
      <c r="E114" t="b">
        <f>IF('Account Creation'!AG114="",FALSE,'Account Creation'!AG114)</f>
        <v>0</v>
      </c>
      <c r="F114" t="b">
        <f>IF('Account Creation'!AH114="",FALSE,'Account Creation'!AH114)</f>
        <v>0</v>
      </c>
      <c r="G114" s="5" t="s">
        <v>544</v>
      </c>
      <c r="H114" t="str">
        <f t="shared" si="2"/>
        <v/>
      </c>
      <c r="I114">
        <f>'VCC_Stores ONLY'!B114</f>
        <v>0</v>
      </c>
      <c r="J114" s="4">
        <f>('Account Creation'!G114 - 25569) * 86400</f>
        <v>-2209161600</v>
      </c>
    </row>
    <row r="115" spans="1:10" x14ac:dyDescent="0.25">
      <c r="A115" t="str">
        <f>TRIM('Help Desk'!D115)</f>
        <v/>
      </c>
      <c r="B115" t="str">
        <f>TRIM('Account Creation'!B115)</f>
        <v/>
      </c>
      <c r="C115" t="str">
        <f>TRIM('Account Creation'!D115)</f>
        <v/>
      </c>
      <c r="D115" s="4" t="str">
        <f t="shared" si="3"/>
        <v/>
      </c>
      <c r="E115" t="b">
        <f>IF('Account Creation'!AG115="",FALSE,'Account Creation'!AG115)</f>
        <v>0</v>
      </c>
      <c r="F115" t="b">
        <f>IF('Account Creation'!AH115="",FALSE,'Account Creation'!AH115)</f>
        <v>0</v>
      </c>
      <c r="G115" s="5" t="s">
        <v>544</v>
      </c>
      <c r="H115" t="str">
        <f t="shared" si="2"/>
        <v/>
      </c>
      <c r="I115">
        <f>'VCC_Stores ONLY'!B115</f>
        <v>0</v>
      </c>
      <c r="J115" s="4">
        <f>('Account Creation'!G115 - 25569) * 86400</f>
        <v>-2209161600</v>
      </c>
    </row>
    <row r="116" spans="1:10" x14ac:dyDescent="0.25">
      <c r="A116" t="str">
        <f>TRIM('Help Desk'!D116)</f>
        <v/>
      </c>
      <c r="B116" t="str">
        <f>TRIM('Account Creation'!B116)</f>
        <v/>
      </c>
      <c r="C116" t="str">
        <f>TRIM('Account Creation'!D116)</f>
        <v/>
      </c>
      <c r="D116" s="4" t="str">
        <f t="shared" si="3"/>
        <v/>
      </c>
      <c r="E116" t="b">
        <f>IF('Account Creation'!AG116="",FALSE,'Account Creation'!AG116)</f>
        <v>0</v>
      </c>
      <c r="F116" t="b">
        <f>IF('Account Creation'!AH116="",FALSE,'Account Creation'!AH116)</f>
        <v>0</v>
      </c>
      <c r="G116" s="5" t="s">
        <v>544</v>
      </c>
      <c r="H116" t="str">
        <f t="shared" si="2"/>
        <v/>
      </c>
      <c r="I116">
        <f>'VCC_Stores ONLY'!B116</f>
        <v>0</v>
      </c>
      <c r="J116" s="4">
        <f>('Account Creation'!G116 - 25569) * 86400</f>
        <v>-2209161600</v>
      </c>
    </row>
    <row r="117" spans="1:10" x14ac:dyDescent="0.25">
      <c r="A117" t="str">
        <f>TRIM('Help Desk'!D117)</f>
        <v/>
      </c>
      <c r="B117" t="str">
        <f>TRIM('Account Creation'!B117)</f>
        <v/>
      </c>
      <c r="C117" t="str">
        <f>TRIM('Account Creation'!D117)</f>
        <v/>
      </c>
      <c r="D117" s="4" t="str">
        <f t="shared" si="3"/>
        <v/>
      </c>
      <c r="E117" t="b">
        <f>IF('Account Creation'!AG117="",FALSE,'Account Creation'!AG117)</f>
        <v>0</v>
      </c>
      <c r="F117" t="b">
        <f>IF('Account Creation'!AH117="",FALSE,'Account Creation'!AH117)</f>
        <v>0</v>
      </c>
      <c r="G117" s="5" t="s">
        <v>544</v>
      </c>
      <c r="H117" t="str">
        <f t="shared" si="2"/>
        <v/>
      </c>
      <c r="I117">
        <f>'VCC_Stores ONLY'!B117</f>
        <v>0</v>
      </c>
      <c r="J117" s="4">
        <f>('Account Creation'!G117 - 25569) * 86400</f>
        <v>-2209161600</v>
      </c>
    </row>
    <row r="118" spans="1:10" x14ac:dyDescent="0.25">
      <c r="A118" t="str">
        <f>TRIM('Help Desk'!D118)</f>
        <v/>
      </c>
      <c r="B118" t="str">
        <f>TRIM('Account Creation'!B118)</f>
        <v/>
      </c>
      <c r="C118" t="str">
        <f>TRIM('Account Creation'!D118)</f>
        <v/>
      </c>
      <c r="D118" s="4" t="str">
        <f t="shared" si="3"/>
        <v/>
      </c>
      <c r="E118" t="b">
        <f>IF('Account Creation'!AG118="",FALSE,'Account Creation'!AG118)</f>
        <v>0</v>
      </c>
      <c r="F118" t="b">
        <f>IF('Account Creation'!AH118="",FALSE,'Account Creation'!AH118)</f>
        <v>0</v>
      </c>
      <c r="G118" s="5" t="s">
        <v>544</v>
      </c>
      <c r="H118" t="str">
        <f t="shared" si="2"/>
        <v/>
      </c>
      <c r="I118">
        <f>'VCC_Stores ONLY'!B118</f>
        <v>0</v>
      </c>
      <c r="J118" s="4">
        <f>('Account Creation'!G118 - 25569) * 86400</f>
        <v>-2209161600</v>
      </c>
    </row>
    <row r="119" spans="1:10" x14ac:dyDescent="0.25">
      <c r="A119" t="str">
        <f>TRIM('Help Desk'!D119)</f>
        <v/>
      </c>
      <c r="B119" t="str">
        <f>TRIM('Account Creation'!B119)</f>
        <v/>
      </c>
      <c r="C119" t="str">
        <f>TRIM('Account Creation'!D119)</f>
        <v/>
      </c>
      <c r="D119" s="4" t="str">
        <f t="shared" si="3"/>
        <v/>
      </c>
      <c r="E119" t="b">
        <f>IF('Account Creation'!AG119="",FALSE,'Account Creation'!AG119)</f>
        <v>0</v>
      </c>
      <c r="F119" t="b">
        <f>IF('Account Creation'!AH119="",FALSE,'Account Creation'!AH119)</f>
        <v>0</v>
      </c>
      <c r="G119" s="5" t="s">
        <v>544</v>
      </c>
      <c r="H119" t="str">
        <f t="shared" si="2"/>
        <v/>
      </c>
      <c r="I119">
        <f>'VCC_Stores ONLY'!B119</f>
        <v>0</v>
      </c>
      <c r="J119" s="4">
        <f>('Account Creation'!G119 - 25569) * 86400</f>
        <v>-2209161600</v>
      </c>
    </row>
    <row r="120" spans="1:10" x14ac:dyDescent="0.25">
      <c r="A120" t="str">
        <f>TRIM('Help Desk'!D120)</f>
        <v/>
      </c>
      <c r="B120" t="str">
        <f>TRIM('Account Creation'!B120)</f>
        <v/>
      </c>
      <c r="C120" t="str">
        <f>TRIM('Account Creation'!D120)</f>
        <v/>
      </c>
      <c r="D120" s="4" t="str">
        <f t="shared" si="3"/>
        <v/>
      </c>
      <c r="E120" t="b">
        <f>IF('Account Creation'!AG120="",FALSE,'Account Creation'!AG120)</f>
        <v>0</v>
      </c>
      <c r="F120" t="b">
        <f>IF('Account Creation'!AH120="",FALSE,'Account Creation'!AH120)</f>
        <v>0</v>
      </c>
      <c r="G120" s="5" t="s">
        <v>544</v>
      </c>
      <c r="H120" t="str">
        <f t="shared" si="2"/>
        <v/>
      </c>
      <c r="I120">
        <f>'VCC_Stores ONLY'!B120</f>
        <v>0</v>
      </c>
      <c r="J120" s="4">
        <f>('Account Creation'!G120 - 25569) * 86400</f>
        <v>-2209161600</v>
      </c>
    </row>
    <row r="121" spans="1:10" x14ac:dyDescent="0.25">
      <c r="A121" t="str">
        <f>TRIM('Help Desk'!D121)</f>
        <v/>
      </c>
      <c r="B121" t="str">
        <f>TRIM('Account Creation'!B121)</f>
        <v/>
      </c>
      <c r="C121" t="str">
        <f>TRIM('Account Creation'!D121)</f>
        <v/>
      </c>
      <c r="D121" s="4" t="str">
        <f t="shared" si="3"/>
        <v/>
      </c>
      <c r="E121" t="b">
        <f>IF('Account Creation'!AG121="",FALSE,'Account Creation'!AG121)</f>
        <v>0</v>
      </c>
      <c r="F121" t="b">
        <f>IF('Account Creation'!AH121="",FALSE,'Account Creation'!AH121)</f>
        <v>0</v>
      </c>
      <c r="G121" s="5" t="s">
        <v>544</v>
      </c>
      <c r="H121" t="str">
        <f t="shared" si="2"/>
        <v/>
      </c>
      <c r="I121">
        <f>'VCC_Stores ONLY'!B121</f>
        <v>0</v>
      </c>
      <c r="J121" s="4">
        <f>('Account Creation'!G121 - 25569) * 86400</f>
        <v>-2209161600</v>
      </c>
    </row>
    <row r="122" spans="1:10" x14ac:dyDescent="0.25">
      <c r="A122" t="str">
        <f>TRIM('Help Desk'!D122)</f>
        <v/>
      </c>
      <c r="B122" t="str">
        <f>TRIM('Account Creation'!B122)</f>
        <v/>
      </c>
      <c r="C122" t="str">
        <f>TRIM('Account Creation'!D122)</f>
        <v/>
      </c>
      <c r="D122" s="4" t="str">
        <f t="shared" si="3"/>
        <v/>
      </c>
      <c r="E122" t="b">
        <f>IF('Account Creation'!AG122="",FALSE,'Account Creation'!AG122)</f>
        <v>0</v>
      </c>
      <c r="F122" t="b">
        <f>IF('Account Creation'!AH122="",FALSE,'Account Creation'!AH122)</f>
        <v>0</v>
      </c>
      <c r="G122" s="5" t="s">
        <v>544</v>
      </c>
      <c r="H122" t="str">
        <f t="shared" si="2"/>
        <v/>
      </c>
      <c r="I122">
        <f>'VCC_Stores ONLY'!B122</f>
        <v>0</v>
      </c>
      <c r="J122" s="4">
        <f>('Account Creation'!G122 - 25569) * 86400</f>
        <v>-2209161600</v>
      </c>
    </row>
    <row r="123" spans="1:10" x14ac:dyDescent="0.25">
      <c r="A123" t="str">
        <f>TRIM('Help Desk'!D123)</f>
        <v/>
      </c>
      <c r="B123" t="str">
        <f>TRIM('Account Creation'!B123)</f>
        <v/>
      </c>
      <c r="C123" t="str">
        <f>TRIM('Account Creation'!D123)</f>
        <v/>
      </c>
      <c r="D123" s="4" t="str">
        <f t="shared" si="3"/>
        <v/>
      </c>
      <c r="E123" t="b">
        <f>IF('Account Creation'!AG123="",FALSE,'Account Creation'!AG123)</f>
        <v>0</v>
      </c>
      <c r="F123" t="b">
        <f>IF('Account Creation'!AH123="",FALSE,'Account Creation'!AH123)</f>
        <v>0</v>
      </c>
      <c r="G123" s="5" t="s">
        <v>544</v>
      </c>
      <c r="H123" t="str">
        <f t="shared" si="2"/>
        <v/>
      </c>
      <c r="I123">
        <f>'VCC_Stores ONLY'!B123</f>
        <v>0</v>
      </c>
      <c r="J123" s="4">
        <f>('Account Creation'!G123 - 25569) * 86400</f>
        <v>-2209161600</v>
      </c>
    </row>
    <row r="124" spans="1:10" x14ac:dyDescent="0.25">
      <c r="A124" t="str">
        <f>TRIM('Help Desk'!D124)</f>
        <v/>
      </c>
      <c r="B124" t="str">
        <f>TRIM('Account Creation'!B124)</f>
        <v/>
      </c>
      <c r="C124" t="str">
        <f>TRIM('Account Creation'!D124)</f>
        <v/>
      </c>
      <c r="D124" s="4" t="str">
        <f t="shared" si="3"/>
        <v/>
      </c>
      <c r="E124" t="b">
        <f>IF('Account Creation'!AG124="",FALSE,'Account Creation'!AG124)</f>
        <v>0</v>
      </c>
      <c r="F124" t="b">
        <f>IF('Account Creation'!AH124="",FALSE,'Account Creation'!AH124)</f>
        <v>0</v>
      </c>
      <c r="G124" s="5" t="s">
        <v>544</v>
      </c>
      <c r="H124" t="str">
        <f t="shared" si="2"/>
        <v/>
      </c>
      <c r="I124">
        <f>'VCC_Stores ONLY'!B124</f>
        <v>0</v>
      </c>
      <c r="J124" s="4">
        <f>('Account Creation'!G124 - 25569) * 86400</f>
        <v>-2209161600</v>
      </c>
    </row>
    <row r="125" spans="1:10" x14ac:dyDescent="0.25">
      <c r="A125" t="str">
        <f>TRIM('Help Desk'!D125)</f>
        <v/>
      </c>
      <c r="B125" t="str">
        <f>TRIM('Account Creation'!B125)</f>
        <v/>
      </c>
      <c r="C125" t="str">
        <f>TRIM('Account Creation'!D125)</f>
        <v/>
      </c>
      <c r="D125" s="4" t="str">
        <f t="shared" si="3"/>
        <v/>
      </c>
      <c r="E125" t="b">
        <f>IF('Account Creation'!AG125="",FALSE,'Account Creation'!AG125)</f>
        <v>0</v>
      </c>
      <c r="F125" t="b">
        <f>IF('Account Creation'!AH125="",FALSE,'Account Creation'!AH125)</f>
        <v>0</v>
      </c>
      <c r="G125" s="5" t="s">
        <v>544</v>
      </c>
      <c r="H125" t="str">
        <f t="shared" si="2"/>
        <v/>
      </c>
      <c r="I125">
        <f>'VCC_Stores ONLY'!B125</f>
        <v>0</v>
      </c>
      <c r="J125" s="4">
        <f>('Account Creation'!G125 - 25569) * 86400</f>
        <v>-2209161600</v>
      </c>
    </row>
    <row r="126" spans="1:10" x14ac:dyDescent="0.25">
      <c r="A126" t="str">
        <f>TRIM('Help Desk'!D126)</f>
        <v/>
      </c>
      <c r="B126" t="str">
        <f>TRIM('Account Creation'!B126)</f>
        <v/>
      </c>
      <c r="C126" t="str">
        <f>TRIM('Account Creation'!D126)</f>
        <v/>
      </c>
      <c r="D126" s="4" t="str">
        <f t="shared" si="3"/>
        <v/>
      </c>
      <c r="E126" t="b">
        <f>IF('Account Creation'!AG126="",FALSE,'Account Creation'!AG126)</f>
        <v>0</v>
      </c>
      <c r="F126" t="b">
        <f>IF('Account Creation'!AH126="",FALSE,'Account Creation'!AH126)</f>
        <v>0</v>
      </c>
      <c r="G126" s="5" t="s">
        <v>544</v>
      </c>
      <c r="H126" t="str">
        <f t="shared" si="2"/>
        <v/>
      </c>
      <c r="I126">
        <f>'VCC_Stores ONLY'!B126</f>
        <v>0</v>
      </c>
      <c r="J126" s="4">
        <f>('Account Creation'!G126 - 25569) * 86400</f>
        <v>-2209161600</v>
      </c>
    </row>
    <row r="127" spans="1:10" x14ac:dyDescent="0.25">
      <c r="A127" t="str">
        <f>TRIM('Help Desk'!D127)</f>
        <v/>
      </c>
      <c r="B127" t="str">
        <f>TRIM('Account Creation'!B127)</f>
        <v/>
      </c>
      <c r="C127" t="str">
        <f>TRIM('Account Creation'!D127)</f>
        <v/>
      </c>
      <c r="D127" s="4" t="str">
        <f t="shared" si="3"/>
        <v/>
      </c>
      <c r="E127" t="b">
        <f>IF('Account Creation'!AG127="",FALSE,'Account Creation'!AG127)</f>
        <v>0</v>
      </c>
      <c r="F127" t="b">
        <f>IF('Account Creation'!AH127="",FALSE,'Account Creation'!AH127)</f>
        <v>0</v>
      </c>
      <c r="G127" s="5" t="s">
        <v>544</v>
      </c>
      <c r="H127" t="str">
        <f t="shared" si="2"/>
        <v/>
      </c>
      <c r="I127">
        <f>'VCC_Stores ONLY'!B127</f>
        <v>0</v>
      </c>
      <c r="J127" s="4">
        <f>('Account Creation'!G127 - 25569) * 86400</f>
        <v>-2209161600</v>
      </c>
    </row>
    <row r="128" spans="1:10" x14ac:dyDescent="0.25">
      <c r="A128" t="str">
        <f>TRIM('Help Desk'!D128)</f>
        <v/>
      </c>
      <c r="B128" t="str">
        <f>TRIM('Account Creation'!B128)</f>
        <v/>
      </c>
      <c r="C128" t="str">
        <f>TRIM('Account Creation'!D128)</f>
        <v/>
      </c>
      <c r="D128" s="4" t="str">
        <f t="shared" si="3"/>
        <v/>
      </c>
      <c r="E128" t="b">
        <f>IF('Account Creation'!AG128="",FALSE,'Account Creation'!AG128)</f>
        <v>0</v>
      </c>
      <c r="F128" t="b">
        <f>IF('Account Creation'!AH128="",FALSE,'Account Creation'!AH128)</f>
        <v>0</v>
      </c>
      <c r="G128" s="5" t="s">
        <v>544</v>
      </c>
      <c r="H128" t="str">
        <f t="shared" si="2"/>
        <v/>
      </c>
      <c r="I128">
        <f>'VCC_Stores ONLY'!B128</f>
        <v>0</v>
      </c>
      <c r="J128" s="4">
        <f>('Account Creation'!G128 - 25569) * 86400</f>
        <v>-2209161600</v>
      </c>
    </row>
    <row r="129" spans="1:10" x14ac:dyDescent="0.25">
      <c r="A129" t="str">
        <f>TRIM('Help Desk'!D129)</f>
        <v/>
      </c>
      <c r="B129" t="str">
        <f>TRIM('Account Creation'!B129)</f>
        <v/>
      </c>
      <c r="C129" t="str">
        <f>TRIM('Account Creation'!D129)</f>
        <v/>
      </c>
      <c r="D129" s="4" t="str">
        <f t="shared" si="3"/>
        <v/>
      </c>
      <c r="E129" t="b">
        <f>IF('Account Creation'!AG129="",FALSE,'Account Creation'!AG129)</f>
        <v>0</v>
      </c>
      <c r="F129" t="b">
        <f>IF('Account Creation'!AH129="",FALSE,'Account Creation'!AH129)</f>
        <v>0</v>
      </c>
      <c r="G129" s="5" t="s">
        <v>544</v>
      </c>
      <c r="H129" t="str">
        <f t="shared" si="2"/>
        <v/>
      </c>
      <c r="I129">
        <f>'VCC_Stores ONLY'!B129</f>
        <v>0</v>
      </c>
      <c r="J129" s="4">
        <f>('Account Creation'!G129 - 25569) * 86400</f>
        <v>-2209161600</v>
      </c>
    </row>
    <row r="130" spans="1:10" x14ac:dyDescent="0.25">
      <c r="A130" t="str">
        <f>TRIM('Help Desk'!D130)</f>
        <v/>
      </c>
      <c r="B130" t="str">
        <f>TRIM('Account Creation'!B130)</f>
        <v/>
      </c>
      <c r="C130" t="str">
        <f>TRIM('Account Creation'!D130)</f>
        <v/>
      </c>
      <c r="D130" s="4" t="str">
        <f t="shared" si="3"/>
        <v/>
      </c>
      <c r="E130" t="b">
        <f>IF('Account Creation'!AG130="",FALSE,'Account Creation'!AG130)</f>
        <v>0</v>
      </c>
      <c r="F130" t="b">
        <f>IF('Account Creation'!AH130="",FALSE,'Account Creation'!AH130)</f>
        <v>0</v>
      </c>
      <c r="G130" s="5" t="s">
        <v>544</v>
      </c>
      <c r="H130" t="str">
        <f t="shared" ref="H130:H193" si="4">A130</f>
        <v/>
      </c>
      <c r="I130">
        <f>'VCC_Stores ONLY'!B130</f>
        <v>0</v>
      </c>
      <c r="J130" s="4">
        <f>('Account Creation'!G130 - 25569) * 86400</f>
        <v>-2209161600</v>
      </c>
    </row>
    <row r="131" spans="1:10" x14ac:dyDescent="0.25">
      <c r="A131" t="str">
        <f>TRIM('Help Desk'!D131)</f>
        <v/>
      </c>
      <c r="B131" t="str">
        <f>TRIM('Account Creation'!B131)</f>
        <v/>
      </c>
      <c r="C131" t="str">
        <f>TRIM('Account Creation'!D131)</f>
        <v/>
      </c>
      <c r="D131" s="4" t="str">
        <f t="shared" ref="D131:D194" si="5">B131</f>
        <v/>
      </c>
      <c r="E131" t="b">
        <f>IF('Account Creation'!AG131="",FALSE,'Account Creation'!AG131)</f>
        <v>0</v>
      </c>
      <c r="F131" t="b">
        <f>IF('Account Creation'!AH131="",FALSE,'Account Creation'!AH131)</f>
        <v>0</v>
      </c>
      <c r="G131" s="5" t="s">
        <v>544</v>
      </c>
      <c r="H131" t="str">
        <f t="shared" si="4"/>
        <v/>
      </c>
      <c r="I131">
        <f>'VCC_Stores ONLY'!B131</f>
        <v>0</v>
      </c>
      <c r="J131" s="4">
        <f>('Account Creation'!G131 - 25569) * 86400</f>
        <v>-2209161600</v>
      </c>
    </row>
    <row r="132" spans="1:10" x14ac:dyDescent="0.25">
      <c r="A132" t="str">
        <f>TRIM('Help Desk'!D132)</f>
        <v/>
      </c>
      <c r="B132" t="str">
        <f>TRIM('Account Creation'!B132)</f>
        <v/>
      </c>
      <c r="C132" t="str">
        <f>TRIM('Account Creation'!D132)</f>
        <v/>
      </c>
      <c r="D132" s="4" t="str">
        <f t="shared" si="5"/>
        <v/>
      </c>
      <c r="E132" t="b">
        <f>IF('Account Creation'!AG132="",FALSE,'Account Creation'!AG132)</f>
        <v>0</v>
      </c>
      <c r="F132" t="b">
        <f>IF('Account Creation'!AH132="",FALSE,'Account Creation'!AH132)</f>
        <v>0</v>
      </c>
      <c r="G132" s="5" t="s">
        <v>544</v>
      </c>
      <c r="H132" t="str">
        <f t="shared" si="4"/>
        <v/>
      </c>
      <c r="I132">
        <f>'VCC_Stores ONLY'!B132</f>
        <v>0</v>
      </c>
      <c r="J132" s="4">
        <f>('Account Creation'!G132 - 25569) * 86400</f>
        <v>-2209161600</v>
      </c>
    </row>
    <row r="133" spans="1:10" x14ac:dyDescent="0.25">
      <c r="A133" t="str">
        <f>TRIM('Help Desk'!D133)</f>
        <v/>
      </c>
      <c r="B133" t="str">
        <f>TRIM('Account Creation'!B133)</f>
        <v/>
      </c>
      <c r="C133" t="str">
        <f>TRIM('Account Creation'!D133)</f>
        <v/>
      </c>
      <c r="D133" s="4" t="str">
        <f t="shared" si="5"/>
        <v/>
      </c>
      <c r="E133" t="b">
        <f>IF('Account Creation'!AG133="",FALSE,'Account Creation'!AG133)</f>
        <v>0</v>
      </c>
      <c r="F133" t="b">
        <f>IF('Account Creation'!AH133="",FALSE,'Account Creation'!AH133)</f>
        <v>0</v>
      </c>
      <c r="G133" s="5" t="s">
        <v>544</v>
      </c>
      <c r="H133" t="str">
        <f t="shared" si="4"/>
        <v/>
      </c>
      <c r="I133">
        <f>'VCC_Stores ONLY'!B133</f>
        <v>0</v>
      </c>
      <c r="J133" s="4">
        <f>('Account Creation'!G133 - 25569) * 86400</f>
        <v>-2209161600</v>
      </c>
    </row>
    <row r="134" spans="1:10" x14ac:dyDescent="0.25">
      <c r="A134" t="str">
        <f>TRIM('Help Desk'!D134)</f>
        <v/>
      </c>
      <c r="B134" t="str">
        <f>TRIM('Account Creation'!B134)</f>
        <v/>
      </c>
      <c r="C134" t="str">
        <f>TRIM('Account Creation'!D134)</f>
        <v/>
      </c>
      <c r="D134" s="4" t="str">
        <f t="shared" si="5"/>
        <v/>
      </c>
      <c r="E134" t="b">
        <f>IF('Account Creation'!AG134="",FALSE,'Account Creation'!AG134)</f>
        <v>0</v>
      </c>
      <c r="F134" t="b">
        <f>IF('Account Creation'!AH134="",FALSE,'Account Creation'!AH134)</f>
        <v>0</v>
      </c>
      <c r="G134" s="5" t="s">
        <v>544</v>
      </c>
      <c r="H134" t="str">
        <f t="shared" si="4"/>
        <v/>
      </c>
      <c r="I134">
        <f>'VCC_Stores ONLY'!B134</f>
        <v>0</v>
      </c>
      <c r="J134" s="4">
        <f>('Account Creation'!G134 - 25569) * 86400</f>
        <v>-2209161600</v>
      </c>
    </row>
    <row r="135" spans="1:10" x14ac:dyDescent="0.25">
      <c r="A135" t="str">
        <f>TRIM('Help Desk'!D135)</f>
        <v/>
      </c>
      <c r="B135" t="str">
        <f>TRIM('Account Creation'!B135)</f>
        <v/>
      </c>
      <c r="C135" t="str">
        <f>TRIM('Account Creation'!D135)</f>
        <v/>
      </c>
      <c r="D135" s="4" t="str">
        <f t="shared" si="5"/>
        <v/>
      </c>
      <c r="E135" t="b">
        <f>IF('Account Creation'!AG135="",FALSE,'Account Creation'!AG135)</f>
        <v>0</v>
      </c>
      <c r="F135" t="b">
        <f>IF('Account Creation'!AH135="",FALSE,'Account Creation'!AH135)</f>
        <v>0</v>
      </c>
      <c r="G135" s="5" t="s">
        <v>544</v>
      </c>
      <c r="H135" t="str">
        <f t="shared" si="4"/>
        <v/>
      </c>
      <c r="I135">
        <f>'VCC_Stores ONLY'!B135</f>
        <v>0</v>
      </c>
      <c r="J135" s="4">
        <f>('Account Creation'!G135 - 25569) * 86400</f>
        <v>-2209161600</v>
      </c>
    </row>
    <row r="136" spans="1:10" x14ac:dyDescent="0.25">
      <c r="A136" t="str">
        <f>TRIM('Help Desk'!D136)</f>
        <v/>
      </c>
      <c r="B136" t="str">
        <f>TRIM('Account Creation'!B136)</f>
        <v/>
      </c>
      <c r="C136" t="str">
        <f>TRIM('Account Creation'!D136)</f>
        <v/>
      </c>
      <c r="D136" s="4" t="str">
        <f t="shared" si="5"/>
        <v/>
      </c>
      <c r="E136" t="b">
        <f>IF('Account Creation'!AG136="",FALSE,'Account Creation'!AG136)</f>
        <v>0</v>
      </c>
      <c r="F136" t="b">
        <f>IF('Account Creation'!AH136="",FALSE,'Account Creation'!AH136)</f>
        <v>0</v>
      </c>
      <c r="G136" s="5" t="s">
        <v>544</v>
      </c>
      <c r="H136" t="str">
        <f t="shared" si="4"/>
        <v/>
      </c>
      <c r="I136">
        <f>'VCC_Stores ONLY'!B136</f>
        <v>0</v>
      </c>
      <c r="J136" s="4">
        <f>('Account Creation'!G136 - 25569) * 86400</f>
        <v>-2209161600</v>
      </c>
    </row>
    <row r="137" spans="1:10" x14ac:dyDescent="0.25">
      <c r="A137" t="str">
        <f>TRIM('Help Desk'!D137)</f>
        <v/>
      </c>
      <c r="B137" t="str">
        <f>TRIM('Account Creation'!B137)</f>
        <v/>
      </c>
      <c r="C137" t="str">
        <f>TRIM('Account Creation'!D137)</f>
        <v/>
      </c>
      <c r="D137" s="4" t="str">
        <f t="shared" si="5"/>
        <v/>
      </c>
      <c r="E137" t="b">
        <f>IF('Account Creation'!AG137="",FALSE,'Account Creation'!AG137)</f>
        <v>0</v>
      </c>
      <c r="F137" t="b">
        <f>IF('Account Creation'!AH137="",FALSE,'Account Creation'!AH137)</f>
        <v>0</v>
      </c>
      <c r="G137" s="5" t="s">
        <v>544</v>
      </c>
      <c r="H137" t="str">
        <f t="shared" si="4"/>
        <v/>
      </c>
      <c r="I137">
        <f>'VCC_Stores ONLY'!B137</f>
        <v>0</v>
      </c>
      <c r="J137" s="4">
        <f>('Account Creation'!G137 - 25569) * 86400</f>
        <v>-2209161600</v>
      </c>
    </row>
    <row r="138" spans="1:10" x14ac:dyDescent="0.25">
      <c r="A138" t="str">
        <f>TRIM('Help Desk'!D138)</f>
        <v/>
      </c>
      <c r="B138" t="str">
        <f>TRIM('Account Creation'!B138)</f>
        <v/>
      </c>
      <c r="C138" t="str">
        <f>TRIM('Account Creation'!D138)</f>
        <v/>
      </c>
      <c r="D138" s="4" t="str">
        <f t="shared" si="5"/>
        <v/>
      </c>
      <c r="E138" t="b">
        <f>IF('Account Creation'!AG138="",FALSE,'Account Creation'!AG138)</f>
        <v>0</v>
      </c>
      <c r="F138" t="b">
        <f>IF('Account Creation'!AH138="",FALSE,'Account Creation'!AH138)</f>
        <v>0</v>
      </c>
      <c r="G138" s="5" t="s">
        <v>544</v>
      </c>
      <c r="H138" t="str">
        <f t="shared" si="4"/>
        <v/>
      </c>
      <c r="I138">
        <f>'VCC_Stores ONLY'!B138</f>
        <v>0</v>
      </c>
      <c r="J138" s="4">
        <f>('Account Creation'!G138 - 25569) * 86400</f>
        <v>-2209161600</v>
      </c>
    </row>
    <row r="139" spans="1:10" x14ac:dyDescent="0.25">
      <c r="A139" t="str">
        <f>TRIM('Help Desk'!D139)</f>
        <v/>
      </c>
      <c r="B139" t="str">
        <f>TRIM('Account Creation'!B139)</f>
        <v/>
      </c>
      <c r="C139" t="str">
        <f>TRIM('Account Creation'!D139)</f>
        <v/>
      </c>
      <c r="D139" s="4" t="str">
        <f t="shared" si="5"/>
        <v/>
      </c>
      <c r="E139" t="b">
        <f>IF('Account Creation'!AG139="",FALSE,'Account Creation'!AG139)</f>
        <v>0</v>
      </c>
      <c r="F139" t="b">
        <f>IF('Account Creation'!AH139="",FALSE,'Account Creation'!AH139)</f>
        <v>0</v>
      </c>
      <c r="G139" s="5" t="s">
        <v>544</v>
      </c>
      <c r="H139" t="str">
        <f t="shared" si="4"/>
        <v/>
      </c>
      <c r="I139">
        <f>'VCC_Stores ONLY'!B139</f>
        <v>0</v>
      </c>
      <c r="J139" s="4">
        <f>('Account Creation'!G139 - 25569) * 86400</f>
        <v>-2209161600</v>
      </c>
    </row>
    <row r="140" spans="1:10" x14ac:dyDescent="0.25">
      <c r="A140" t="str">
        <f>TRIM('Help Desk'!D140)</f>
        <v/>
      </c>
      <c r="B140" t="str">
        <f>TRIM('Account Creation'!B140)</f>
        <v/>
      </c>
      <c r="C140" t="str">
        <f>TRIM('Account Creation'!D140)</f>
        <v/>
      </c>
      <c r="D140" s="4" t="str">
        <f t="shared" si="5"/>
        <v/>
      </c>
      <c r="E140" t="b">
        <f>IF('Account Creation'!AG140="",FALSE,'Account Creation'!AG140)</f>
        <v>0</v>
      </c>
      <c r="F140" t="b">
        <f>IF('Account Creation'!AH140="",FALSE,'Account Creation'!AH140)</f>
        <v>0</v>
      </c>
      <c r="G140" s="5" t="s">
        <v>544</v>
      </c>
      <c r="H140" t="str">
        <f t="shared" si="4"/>
        <v/>
      </c>
      <c r="I140">
        <f>'VCC_Stores ONLY'!B140</f>
        <v>0</v>
      </c>
      <c r="J140" s="4">
        <f>('Account Creation'!G140 - 25569) * 86400</f>
        <v>-2209161600</v>
      </c>
    </row>
    <row r="141" spans="1:10" x14ac:dyDescent="0.25">
      <c r="A141" t="str">
        <f>TRIM('Help Desk'!D141)</f>
        <v/>
      </c>
      <c r="B141" t="str">
        <f>TRIM('Account Creation'!B141)</f>
        <v/>
      </c>
      <c r="C141" t="str">
        <f>TRIM('Account Creation'!D141)</f>
        <v/>
      </c>
      <c r="D141" s="4" t="str">
        <f t="shared" si="5"/>
        <v/>
      </c>
      <c r="E141" t="b">
        <f>IF('Account Creation'!AG141="",FALSE,'Account Creation'!AG141)</f>
        <v>0</v>
      </c>
      <c r="F141" t="b">
        <f>IF('Account Creation'!AH141="",FALSE,'Account Creation'!AH141)</f>
        <v>0</v>
      </c>
      <c r="G141" s="5" t="s">
        <v>544</v>
      </c>
      <c r="H141" t="str">
        <f t="shared" si="4"/>
        <v/>
      </c>
      <c r="I141">
        <f>'VCC_Stores ONLY'!B141</f>
        <v>0</v>
      </c>
      <c r="J141" s="4">
        <f>('Account Creation'!G141 - 25569) * 86400</f>
        <v>-2209161600</v>
      </c>
    </row>
    <row r="142" spans="1:10" x14ac:dyDescent="0.25">
      <c r="A142" t="str">
        <f>TRIM('Help Desk'!D142)</f>
        <v/>
      </c>
      <c r="B142" t="str">
        <f>TRIM('Account Creation'!B142)</f>
        <v/>
      </c>
      <c r="C142" t="str">
        <f>TRIM('Account Creation'!D142)</f>
        <v/>
      </c>
      <c r="D142" s="4" t="str">
        <f t="shared" si="5"/>
        <v/>
      </c>
      <c r="E142" t="b">
        <f>IF('Account Creation'!AG142="",FALSE,'Account Creation'!AG142)</f>
        <v>0</v>
      </c>
      <c r="F142" t="b">
        <f>IF('Account Creation'!AH142="",FALSE,'Account Creation'!AH142)</f>
        <v>0</v>
      </c>
      <c r="G142" s="5" t="s">
        <v>544</v>
      </c>
      <c r="H142" t="str">
        <f t="shared" si="4"/>
        <v/>
      </c>
      <c r="I142">
        <f>'VCC_Stores ONLY'!B142</f>
        <v>0</v>
      </c>
      <c r="J142" s="4">
        <f>('Account Creation'!G142 - 25569) * 86400</f>
        <v>-2209161600</v>
      </c>
    </row>
    <row r="143" spans="1:10" x14ac:dyDescent="0.25">
      <c r="A143" t="str">
        <f>TRIM('Help Desk'!D143)</f>
        <v/>
      </c>
      <c r="B143" t="str">
        <f>TRIM('Account Creation'!B143)</f>
        <v/>
      </c>
      <c r="C143" t="str">
        <f>TRIM('Account Creation'!D143)</f>
        <v/>
      </c>
      <c r="D143" s="4" t="str">
        <f t="shared" si="5"/>
        <v/>
      </c>
      <c r="E143" t="b">
        <f>IF('Account Creation'!AG143="",FALSE,'Account Creation'!AG143)</f>
        <v>0</v>
      </c>
      <c r="F143" t="b">
        <f>IF('Account Creation'!AH143="",FALSE,'Account Creation'!AH143)</f>
        <v>0</v>
      </c>
      <c r="G143" s="5" t="s">
        <v>544</v>
      </c>
      <c r="H143" t="str">
        <f t="shared" si="4"/>
        <v/>
      </c>
      <c r="I143">
        <f>'VCC_Stores ONLY'!B143</f>
        <v>0</v>
      </c>
      <c r="J143" s="4">
        <f>('Account Creation'!G143 - 25569) * 86400</f>
        <v>-2209161600</v>
      </c>
    </row>
    <row r="144" spans="1:10" x14ac:dyDescent="0.25">
      <c r="A144" t="str">
        <f>TRIM('Help Desk'!D144)</f>
        <v/>
      </c>
      <c r="B144" t="str">
        <f>TRIM('Account Creation'!B144)</f>
        <v/>
      </c>
      <c r="C144" t="str">
        <f>TRIM('Account Creation'!D144)</f>
        <v/>
      </c>
      <c r="D144" s="4" t="str">
        <f t="shared" si="5"/>
        <v/>
      </c>
      <c r="E144" t="b">
        <f>IF('Account Creation'!AG144="",FALSE,'Account Creation'!AG144)</f>
        <v>0</v>
      </c>
      <c r="F144" t="b">
        <f>IF('Account Creation'!AH144="",FALSE,'Account Creation'!AH144)</f>
        <v>0</v>
      </c>
      <c r="G144" s="5" t="s">
        <v>544</v>
      </c>
      <c r="H144" t="str">
        <f t="shared" si="4"/>
        <v/>
      </c>
      <c r="I144">
        <f>'VCC_Stores ONLY'!B144</f>
        <v>0</v>
      </c>
      <c r="J144" s="4">
        <f>('Account Creation'!G144 - 25569) * 86400</f>
        <v>-2209161600</v>
      </c>
    </row>
    <row r="145" spans="1:10" x14ac:dyDescent="0.25">
      <c r="A145" t="str">
        <f>TRIM('Help Desk'!D145)</f>
        <v/>
      </c>
      <c r="B145" t="str">
        <f>TRIM('Account Creation'!B145)</f>
        <v/>
      </c>
      <c r="C145" t="str">
        <f>TRIM('Account Creation'!D145)</f>
        <v/>
      </c>
      <c r="D145" s="4" t="str">
        <f t="shared" si="5"/>
        <v/>
      </c>
      <c r="E145" t="b">
        <f>IF('Account Creation'!AG145="",FALSE,'Account Creation'!AG145)</f>
        <v>0</v>
      </c>
      <c r="F145" t="b">
        <f>IF('Account Creation'!AH145="",FALSE,'Account Creation'!AH145)</f>
        <v>0</v>
      </c>
      <c r="G145" s="5" t="s">
        <v>544</v>
      </c>
      <c r="H145" t="str">
        <f t="shared" si="4"/>
        <v/>
      </c>
      <c r="I145">
        <f>'VCC_Stores ONLY'!B145</f>
        <v>0</v>
      </c>
      <c r="J145" s="4">
        <f>('Account Creation'!G145 - 25569) * 86400</f>
        <v>-2209161600</v>
      </c>
    </row>
    <row r="146" spans="1:10" x14ac:dyDescent="0.25">
      <c r="A146" t="str">
        <f>TRIM('Help Desk'!D146)</f>
        <v/>
      </c>
      <c r="B146" t="str">
        <f>TRIM('Account Creation'!B146)</f>
        <v/>
      </c>
      <c r="C146" t="str">
        <f>TRIM('Account Creation'!D146)</f>
        <v/>
      </c>
      <c r="D146" s="4" t="str">
        <f t="shared" si="5"/>
        <v/>
      </c>
      <c r="E146" t="b">
        <f>IF('Account Creation'!AG146="",FALSE,'Account Creation'!AG146)</f>
        <v>0</v>
      </c>
      <c r="F146" t="b">
        <f>IF('Account Creation'!AH146="",FALSE,'Account Creation'!AH146)</f>
        <v>0</v>
      </c>
      <c r="G146" s="5" t="s">
        <v>544</v>
      </c>
      <c r="H146" t="str">
        <f t="shared" si="4"/>
        <v/>
      </c>
      <c r="I146">
        <f>'VCC_Stores ONLY'!B146</f>
        <v>0</v>
      </c>
      <c r="J146" s="4">
        <f>('Account Creation'!G146 - 25569) * 86400</f>
        <v>-2209161600</v>
      </c>
    </row>
    <row r="147" spans="1:10" x14ac:dyDescent="0.25">
      <c r="A147" t="str">
        <f>TRIM('Help Desk'!D147)</f>
        <v/>
      </c>
      <c r="B147" t="str">
        <f>TRIM('Account Creation'!B147)</f>
        <v/>
      </c>
      <c r="C147" t="str">
        <f>TRIM('Account Creation'!D147)</f>
        <v/>
      </c>
      <c r="D147" s="4" t="str">
        <f t="shared" si="5"/>
        <v/>
      </c>
      <c r="E147" t="b">
        <f>IF('Account Creation'!AG147="",FALSE,'Account Creation'!AG147)</f>
        <v>0</v>
      </c>
      <c r="F147" t="b">
        <f>IF('Account Creation'!AH147="",FALSE,'Account Creation'!AH147)</f>
        <v>0</v>
      </c>
      <c r="G147" s="5" t="s">
        <v>544</v>
      </c>
      <c r="H147" t="str">
        <f t="shared" si="4"/>
        <v/>
      </c>
      <c r="I147">
        <f>'VCC_Stores ONLY'!B147</f>
        <v>0</v>
      </c>
      <c r="J147" s="4">
        <f>('Account Creation'!G147 - 25569) * 86400</f>
        <v>-2209161600</v>
      </c>
    </row>
    <row r="148" spans="1:10" x14ac:dyDescent="0.25">
      <c r="A148" t="str">
        <f>TRIM('Help Desk'!D148)</f>
        <v/>
      </c>
      <c r="B148" t="str">
        <f>TRIM('Account Creation'!B148)</f>
        <v/>
      </c>
      <c r="C148" t="str">
        <f>TRIM('Account Creation'!D148)</f>
        <v/>
      </c>
      <c r="D148" s="4" t="str">
        <f t="shared" si="5"/>
        <v/>
      </c>
      <c r="E148" t="b">
        <f>IF('Account Creation'!AG148="",FALSE,'Account Creation'!AG148)</f>
        <v>0</v>
      </c>
      <c r="F148" t="b">
        <f>IF('Account Creation'!AH148="",FALSE,'Account Creation'!AH148)</f>
        <v>0</v>
      </c>
      <c r="G148" s="5" t="s">
        <v>544</v>
      </c>
      <c r="H148" t="str">
        <f t="shared" si="4"/>
        <v/>
      </c>
      <c r="I148">
        <f>'VCC_Stores ONLY'!B148</f>
        <v>0</v>
      </c>
      <c r="J148" s="4">
        <f>('Account Creation'!G148 - 25569) * 86400</f>
        <v>-2209161600</v>
      </c>
    </row>
    <row r="149" spans="1:10" x14ac:dyDescent="0.25">
      <c r="A149" t="str">
        <f>TRIM('Help Desk'!D149)</f>
        <v/>
      </c>
      <c r="B149" t="str">
        <f>TRIM('Account Creation'!B149)</f>
        <v/>
      </c>
      <c r="C149" t="str">
        <f>TRIM('Account Creation'!D149)</f>
        <v/>
      </c>
      <c r="D149" s="4" t="str">
        <f t="shared" si="5"/>
        <v/>
      </c>
      <c r="E149" t="b">
        <f>IF('Account Creation'!AG149="",FALSE,'Account Creation'!AG149)</f>
        <v>0</v>
      </c>
      <c r="F149" t="b">
        <f>IF('Account Creation'!AH149="",FALSE,'Account Creation'!AH149)</f>
        <v>0</v>
      </c>
      <c r="G149" s="5" t="s">
        <v>544</v>
      </c>
      <c r="H149" t="str">
        <f t="shared" si="4"/>
        <v/>
      </c>
      <c r="I149">
        <f>'VCC_Stores ONLY'!B149</f>
        <v>0</v>
      </c>
      <c r="J149" s="4">
        <f>('Account Creation'!G149 - 25569) * 86400</f>
        <v>-2209161600</v>
      </c>
    </row>
    <row r="150" spans="1:10" x14ac:dyDescent="0.25">
      <c r="A150" t="str">
        <f>TRIM('Help Desk'!D150)</f>
        <v/>
      </c>
      <c r="B150" t="str">
        <f>TRIM('Account Creation'!B150)</f>
        <v/>
      </c>
      <c r="C150" t="str">
        <f>TRIM('Account Creation'!D150)</f>
        <v/>
      </c>
      <c r="D150" s="4" t="str">
        <f t="shared" si="5"/>
        <v/>
      </c>
      <c r="E150" t="b">
        <f>IF('Account Creation'!AG150="",FALSE,'Account Creation'!AG150)</f>
        <v>0</v>
      </c>
      <c r="F150" t="b">
        <f>IF('Account Creation'!AH150="",FALSE,'Account Creation'!AH150)</f>
        <v>0</v>
      </c>
      <c r="G150" s="5" t="s">
        <v>544</v>
      </c>
      <c r="H150" t="str">
        <f t="shared" si="4"/>
        <v/>
      </c>
      <c r="I150">
        <f>'VCC_Stores ONLY'!B150</f>
        <v>0</v>
      </c>
      <c r="J150" s="4">
        <f>('Account Creation'!G150 - 25569) * 86400</f>
        <v>-2209161600</v>
      </c>
    </row>
    <row r="151" spans="1:10" x14ac:dyDescent="0.25">
      <c r="A151" t="str">
        <f>TRIM('Help Desk'!D151)</f>
        <v/>
      </c>
      <c r="B151" t="str">
        <f>TRIM('Account Creation'!B151)</f>
        <v/>
      </c>
      <c r="C151" t="str">
        <f>TRIM('Account Creation'!D151)</f>
        <v/>
      </c>
      <c r="D151" s="4" t="str">
        <f t="shared" si="5"/>
        <v/>
      </c>
      <c r="E151" t="b">
        <f>IF('Account Creation'!AG151="",FALSE,'Account Creation'!AG151)</f>
        <v>0</v>
      </c>
      <c r="F151" t="b">
        <f>IF('Account Creation'!AH151="",FALSE,'Account Creation'!AH151)</f>
        <v>0</v>
      </c>
      <c r="G151" s="5" t="s">
        <v>544</v>
      </c>
      <c r="H151" t="str">
        <f t="shared" si="4"/>
        <v/>
      </c>
      <c r="I151">
        <f>'VCC_Stores ONLY'!B151</f>
        <v>0</v>
      </c>
      <c r="J151" s="4">
        <f>('Account Creation'!G151 - 25569) * 86400</f>
        <v>-2209161600</v>
      </c>
    </row>
    <row r="152" spans="1:10" x14ac:dyDescent="0.25">
      <c r="A152" t="str">
        <f>TRIM('Help Desk'!D152)</f>
        <v/>
      </c>
      <c r="B152" t="str">
        <f>TRIM('Account Creation'!B152)</f>
        <v/>
      </c>
      <c r="C152" t="str">
        <f>TRIM('Account Creation'!D152)</f>
        <v/>
      </c>
      <c r="D152" s="4" t="str">
        <f t="shared" si="5"/>
        <v/>
      </c>
      <c r="E152" t="b">
        <f>IF('Account Creation'!AG152="",FALSE,'Account Creation'!AG152)</f>
        <v>0</v>
      </c>
      <c r="F152" t="b">
        <f>IF('Account Creation'!AH152="",FALSE,'Account Creation'!AH152)</f>
        <v>0</v>
      </c>
      <c r="G152" s="5" t="s">
        <v>544</v>
      </c>
      <c r="H152" t="str">
        <f t="shared" si="4"/>
        <v/>
      </c>
      <c r="I152">
        <f>'VCC_Stores ONLY'!B152</f>
        <v>0</v>
      </c>
      <c r="J152" s="4">
        <f>('Account Creation'!G152 - 25569) * 86400</f>
        <v>-2209161600</v>
      </c>
    </row>
    <row r="153" spans="1:10" x14ac:dyDescent="0.25">
      <c r="A153" t="str">
        <f>TRIM('Help Desk'!D153)</f>
        <v/>
      </c>
      <c r="B153" t="str">
        <f>TRIM('Account Creation'!B153)</f>
        <v/>
      </c>
      <c r="C153" t="str">
        <f>TRIM('Account Creation'!D153)</f>
        <v/>
      </c>
      <c r="D153" s="4" t="str">
        <f t="shared" si="5"/>
        <v/>
      </c>
      <c r="E153" t="b">
        <f>IF('Account Creation'!AG153="",FALSE,'Account Creation'!AG153)</f>
        <v>0</v>
      </c>
      <c r="F153" t="b">
        <f>IF('Account Creation'!AH153="",FALSE,'Account Creation'!AH153)</f>
        <v>0</v>
      </c>
      <c r="G153" s="5" t="s">
        <v>544</v>
      </c>
      <c r="H153" t="str">
        <f t="shared" si="4"/>
        <v/>
      </c>
      <c r="I153">
        <f>'VCC_Stores ONLY'!B153</f>
        <v>0</v>
      </c>
      <c r="J153" s="4">
        <f>('Account Creation'!G153 - 25569) * 86400</f>
        <v>-2209161600</v>
      </c>
    </row>
    <row r="154" spans="1:10" x14ac:dyDescent="0.25">
      <c r="A154" t="str">
        <f>TRIM('Help Desk'!D154)</f>
        <v/>
      </c>
      <c r="B154" t="str">
        <f>TRIM('Account Creation'!B154)</f>
        <v/>
      </c>
      <c r="C154" t="str">
        <f>TRIM('Account Creation'!D154)</f>
        <v/>
      </c>
      <c r="D154" s="4" t="str">
        <f t="shared" si="5"/>
        <v/>
      </c>
      <c r="E154" t="b">
        <f>IF('Account Creation'!AG154="",FALSE,'Account Creation'!AG154)</f>
        <v>0</v>
      </c>
      <c r="F154" t="b">
        <f>IF('Account Creation'!AH154="",FALSE,'Account Creation'!AH154)</f>
        <v>0</v>
      </c>
      <c r="G154" s="5" t="s">
        <v>544</v>
      </c>
      <c r="H154" t="str">
        <f t="shared" si="4"/>
        <v/>
      </c>
      <c r="I154">
        <f>'VCC_Stores ONLY'!B154</f>
        <v>0</v>
      </c>
      <c r="J154" s="4">
        <f>('Account Creation'!G154 - 25569) * 86400</f>
        <v>-2209161600</v>
      </c>
    </row>
    <row r="155" spans="1:10" x14ac:dyDescent="0.25">
      <c r="A155" t="str">
        <f>TRIM('Help Desk'!D155)</f>
        <v/>
      </c>
      <c r="B155" t="str">
        <f>TRIM('Account Creation'!B155)</f>
        <v/>
      </c>
      <c r="C155" t="str">
        <f>TRIM('Account Creation'!D155)</f>
        <v/>
      </c>
      <c r="D155" s="4" t="str">
        <f t="shared" si="5"/>
        <v/>
      </c>
      <c r="E155" t="b">
        <f>IF('Account Creation'!AG155="",FALSE,'Account Creation'!AG155)</f>
        <v>0</v>
      </c>
      <c r="F155" t="b">
        <f>IF('Account Creation'!AH155="",FALSE,'Account Creation'!AH155)</f>
        <v>0</v>
      </c>
      <c r="G155" s="5" t="s">
        <v>544</v>
      </c>
      <c r="H155" t="str">
        <f t="shared" si="4"/>
        <v/>
      </c>
      <c r="I155">
        <f>'VCC_Stores ONLY'!B155</f>
        <v>0</v>
      </c>
      <c r="J155" s="4">
        <f>('Account Creation'!G155 - 25569) * 86400</f>
        <v>-2209161600</v>
      </c>
    </row>
    <row r="156" spans="1:10" x14ac:dyDescent="0.25">
      <c r="A156" t="str">
        <f>TRIM('Help Desk'!D156)</f>
        <v/>
      </c>
      <c r="B156" t="str">
        <f>TRIM('Account Creation'!B156)</f>
        <v/>
      </c>
      <c r="C156" t="str">
        <f>TRIM('Account Creation'!D156)</f>
        <v/>
      </c>
      <c r="D156" s="4" t="str">
        <f t="shared" si="5"/>
        <v/>
      </c>
      <c r="E156" t="b">
        <f>IF('Account Creation'!AG156="",FALSE,'Account Creation'!AG156)</f>
        <v>0</v>
      </c>
      <c r="F156" t="b">
        <f>IF('Account Creation'!AH156="",FALSE,'Account Creation'!AH156)</f>
        <v>0</v>
      </c>
      <c r="G156" s="5" t="s">
        <v>544</v>
      </c>
      <c r="H156" t="str">
        <f t="shared" si="4"/>
        <v/>
      </c>
      <c r="I156">
        <f>'VCC_Stores ONLY'!B156</f>
        <v>0</v>
      </c>
      <c r="J156" s="4">
        <f>('Account Creation'!G156 - 25569) * 86400</f>
        <v>-2209161600</v>
      </c>
    </row>
    <row r="157" spans="1:10" x14ac:dyDescent="0.25">
      <c r="A157" t="str">
        <f>TRIM('Help Desk'!D157)</f>
        <v/>
      </c>
      <c r="B157" t="str">
        <f>TRIM('Account Creation'!B157)</f>
        <v/>
      </c>
      <c r="C157" t="str">
        <f>TRIM('Account Creation'!D157)</f>
        <v/>
      </c>
      <c r="D157" s="4" t="str">
        <f t="shared" si="5"/>
        <v/>
      </c>
      <c r="E157" t="b">
        <f>IF('Account Creation'!AG157="",FALSE,'Account Creation'!AG157)</f>
        <v>0</v>
      </c>
      <c r="F157" t="b">
        <f>IF('Account Creation'!AH157="",FALSE,'Account Creation'!AH157)</f>
        <v>0</v>
      </c>
      <c r="G157" s="5" t="s">
        <v>544</v>
      </c>
      <c r="H157" t="str">
        <f t="shared" si="4"/>
        <v/>
      </c>
      <c r="I157">
        <f>'VCC_Stores ONLY'!B157</f>
        <v>0</v>
      </c>
      <c r="J157" s="4">
        <f>('Account Creation'!G157 - 25569) * 86400</f>
        <v>-2209161600</v>
      </c>
    </row>
    <row r="158" spans="1:10" x14ac:dyDescent="0.25">
      <c r="A158" t="str">
        <f>TRIM('Help Desk'!D158)</f>
        <v/>
      </c>
      <c r="B158" t="str">
        <f>TRIM('Account Creation'!B158)</f>
        <v/>
      </c>
      <c r="C158" t="str">
        <f>TRIM('Account Creation'!D158)</f>
        <v/>
      </c>
      <c r="D158" s="4" t="str">
        <f t="shared" si="5"/>
        <v/>
      </c>
      <c r="E158" t="b">
        <f>IF('Account Creation'!AG158="",FALSE,'Account Creation'!AG158)</f>
        <v>0</v>
      </c>
      <c r="F158" t="b">
        <f>IF('Account Creation'!AH158="",FALSE,'Account Creation'!AH158)</f>
        <v>0</v>
      </c>
      <c r="G158" s="5" t="s">
        <v>544</v>
      </c>
      <c r="H158" t="str">
        <f t="shared" si="4"/>
        <v/>
      </c>
      <c r="I158">
        <f>'VCC_Stores ONLY'!B158</f>
        <v>0</v>
      </c>
      <c r="J158" s="4">
        <f>('Account Creation'!G158 - 25569) * 86400</f>
        <v>-2209161600</v>
      </c>
    </row>
    <row r="159" spans="1:10" x14ac:dyDescent="0.25">
      <c r="A159" t="str">
        <f>TRIM('Help Desk'!D159)</f>
        <v/>
      </c>
      <c r="B159" t="str">
        <f>TRIM('Account Creation'!B159)</f>
        <v/>
      </c>
      <c r="C159" t="str">
        <f>TRIM('Account Creation'!D159)</f>
        <v/>
      </c>
      <c r="D159" s="4" t="str">
        <f t="shared" si="5"/>
        <v/>
      </c>
      <c r="E159" t="b">
        <f>IF('Account Creation'!AG159="",FALSE,'Account Creation'!AG159)</f>
        <v>0</v>
      </c>
      <c r="F159" t="b">
        <f>IF('Account Creation'!AH159="",FALSE,'Account Creation'!AH159)</f>
        <v>0</v>
      </c>
      <c r="G159" s="5" t="s">
        <v>544</v>
      </c>
      <c r="H159" t="str">
        <f t="shared" si="4"/>
        <v/>
      </c>
      <c r="I159">
        <f>'VCC_Stores ONLY'!B159</f>
        <v>0</v>
      </c>
      <c r="J159" s="4">
        <f>('Account Creation'!G159 - 25569) * 86400</f>
        <v>-2209161600</v>
      </c>
    </row>
    <row r="160" spans="1:10" x14ac:dyDescent="0.25">
      <c r="A160" t="str">
        <f>TRIM('Help Desk'!D160)</f>
        <v/>
      </c>
      <c r="B160" t="str">
        <f>TRIM('Account Creation'!B160)</f>
        <v/>
      </c>
      <c r="C160" t="str">
        <f>TRIM('Account Creation'!D160)</f>
        <v/>
      </c>
      <c r="D160" s="4" t="str">
        <f t="shared" si="5"/>
        <v/>
      </c>
      <c r="E160" t="b">
        <f>IF('Account Creation'!AG160="",FALSE,'Account Creation'!AG160)</f>
        <v>0</v>
      </c>
      <c r="F160" t="b">
        <f>IF('Account Creation'!AH160="",FALSE,'Account Creation'!AH160)</f>
        <v>0</v>
      </c>
      <c r="G160" s="5" t="s">
        <v>544</v>
      </c>
      <c r="H160" t="str">
        <f t="shared" si="4"/>
        <v/>
      </c>
      <c r="I160">
        <f>'VCC_Stores ONLY'!B160</f>
        <v>0</v>
      </c>
      <c r="J160" s="4">
        <f>('Account Creation'!G160 - 25569) * 86400</f>
        <v>-2209161600</v>
      </c>
    </row>
    <row r="161" spans="1:10" x14ac:dyDescent="0.25">
      <c r="A161" t="str">
        <f>TRIM('Help Desk'!D161)</f>
        <v/>
      </c>
      <c r="B161" t="str">
        <f>TRIM('Account Creation'!B161)</f>
        <v/>
      </c>
      <c r="C161" t="str">
        <f>TRIM('Account Creation'!D161)</f>
        <v/>
      </c>
      <c r="D161" s="4" t="str">
        <f t="shared" si="5"/>
        <v/>
      </c>
      <c r="E161" t="b">
        <f>IF('Account Creation'!AG161="",FALSE,'Account Creation'!AG161)</f>
        <v>0</v>
      </c>
      <c r="F161" t="b">
        <f>IF('Account Creation'!AH161="",FALSE,'Account Creation'!AH161)</f>
        <v>0</v>
      </c>
      <c r="G161" s="5" t="s">
        <v>544</v>
      </c>
      <c r="H161" t="str">
        <f t="shared" si="4"/>
        <v/>
      </c>
      <c r="I161">
        <f>'VCC_Stores ONLY'!B161</f>
        <v>0</v>
      </c>
      <c r="J161" s="4">
        <f>('Account Creation'!G161 - 25569) * 86400</f>
        <v>-2209161600</v>
      </c>
    </row>
    <row r="162" spans="1:10" x14ac:dyDescent="0.25">
      <c r="A162" t="str">
        <f>TRIM('Help Desk'!D162)</f>
        <v/>
      </c>
      <c r="B162" t="str">
        <f>TRIM('Account Creation'!B162)</f>
        <v/>
      </c>
      <c r="C162" t="str">
        <f>TRIM('Account Creation'!D162)</f>
        <v/>
      </c>
      <c r="D162" s="4" t="str">
        <f t="shared" si="5"/>
        <v/>
      </c>
      <c r="E162" t="b">
        <f>IF('Account Creation'!AG162="",FALSE,'Account Creation'!AG162)</f>
        <v>0</v>
      </c>
      <c r="F162" t="b">
        <f>IF('Account Creation'!AH162="",FALSE,'Account Creation'!AH162)</f>
        <v>0</v>
      </c>
      <c r="G162" s="5" t="s">
        <v>544</v>
      </c>
      <c r="H162" t="str">
        <f t="shared" si="4"/>
        <v/>
      </c>
      <c r="I162">
        <f>'VCC_Stores ONLY'!B162</f>
        <v>0</v>
      </c>
      <c r="J162" s="4">
        <f>('Account Creation'!G162 - 25569) * 86400</f>
        <v>-2209161600</v>
      </c>
    </row>
    <row r="163" spans="1:10" x14ac:dyDescent="0.25">
      <c r="A163" t="str">
        <f>TRIM('Help Desk'!D163)</f>
        <v/>
      </c>
      <c r="B163" t="str">
        <f>TRIM('Account Creation'!B163)</f>
        <v/>
      </c>
      <c r="C163" t="str">
        <f>TRIM('Account Creation'!D163)</f>
        <v/>
      </c>
      <c r="D163" s="4" t="str">
        <f t="shared" si="5"/>
        <v/>
      </c>
      <c r="E163" t="b">
        <f>IF('Account Creation'!AG163="",FALSE,'Account Creation'!AG163)</f>
        <v>0</v>
      </c>
      <c r="F163" t="b">
        <f>IF('Account Creation'!AH163="",FALSE,'Account Creation'!AH163)</f>
        <v>0</v>
      </c>
      <c r="G163" s="5" t="s">
        <v>544</v>
      </c>
      <c r="H163" t="str">
        <f t="shared" si="4"/>
        <v/>
      </c>
      <c r="I163">
        <f>'VCC_Stores ONLY'!B163</f>
        <v>0</v>
      </c>
      <c r="J163" s="4">
        <f>('Account Creation'!G163 - 25569) * 86400</f>
        <v>-2209161600</v>
      </c>
    </row>
    <row r="164" spans="1:10" x14ac:dyDescent="0.25">
      <c r="A164" t="str">
        <f>TRIM('Help Desk'!D164)</f>
        <v/>
      </c>
      <c r="B164" t="str">
        <f>TRIM('Account Creation'!B164)</f>
        <v/>
      </c>
      <c r="C164" t="str">
        <f>TRIM('Account Creation'!D164)</f>
        <v/>
      </c>
      <c r="D164" s="4" t="str">
        <f t="shared" si="5"/>
        <v/>
      </c>
      <c r="E164" t="b">
        <f>IF('Account Creation'!AG164="",FALSE,'Account Creation'!AG164)</f>
        <v>0</v>
      </c>
      <c r="F164" t="b">
        <f>IF('Account Creation'!AH164="",FALSE,'Account Creation'!AH164)</f>
        <v>0</v>
      </c>
      <c r="G164" s="5" t="s">
        <v>544</v>
      </c>
      <c r="H164" t="str">
        <f t="shared" si="4"/>
        <v/>
      </c>
      <c r="I164">
        <f>'VCC_Stores ONLY'!B164</f>
        <v>0</v>
      </c>
      <c r="J164" s="4">
        <f>('Account Creation'!G164 - 25569) * 86400</f>
        <v>-2209161600</v>
      </c>
    </row>
    <row r="165" spans="1:10" x14ac:dyDescent="0.25">
      <c r="A165" t="str">
        <f>TRIM('Help Desk'!D165)</f>
        <v/>
      </c>
      <c r="B165" t="str">
        <f>TRIM('Account Creation'!B165)</f>
        <v/>
      </c>
      <c r="C165" t="str">
        <f>TRIM('Account Creation'!D165)</f>
        <v/>
      </c>
      <c r="D165" s="4" t="str">
        <f t="shared" si="5"/>
        <v/>
      </c>
      <c r="E165" t="b">
        <f>IF('Account Creation'!AG165="",FALSE,'Account Creation'!AG165)</f>
        <v>0</v>
      </c>
      <c r="F165" t="b">
        <f>IF('Account Creation'!AH165="",FALSE,'Account Creation'!AH165)</f>
        <v>0</v>
      </c>
      <c r="G165" s="5" t="s">
        <v>544</v>
      </c>
      <c r="H165" t="str">
        <f t="shared" si="4"/>
        <v/>
      </c>
      <c r="I165">
        <f>'VCC_Stores ONLY'!B165</f>
        <v>0</v>
      </c>
      <c r="J165" s="4">
        <f>('Account Creation'!G165 - 25569) * 86400</f>
        <v>-2209161600</v>
      </c>
    </row>
    <row r="166" spans="1:10" x14ac:dyDescent="0.25">
      <c r="A166" t="str">
        <f>TRIM('Help Desk'!D166)</f>
        <v/>
      </c>
      <c r="B166" t="str">
        <f>TRIM('Account Creation'!B166)</f>
        <v/>
      </c>
      <c r="C166" t="str">
        <f>TRIM('Account Creation'!D166)</f>
        <v/>
      </c>
      <c r="D166" s="4" t="str">
        <f t="shared" si="5"/>
        <v/>
      </c>
      <c r="E166" t="b">
        <f>IF('Account Creation'!AG166="",FALSE,'Account Creation'!AG166)</f>
        <v>0</v>
      </c>
      <c r="F166" t="b">
        <f>IF('Account Creation'!AH166="",FALSE,'Account Creation'!AH166)</f>
        <v>0</v>
      </c>
      <c r="G166" s="5" t="s">
        <v>544</v>
      </c>
      <c r="H166" t="str">
        <f t="shared" si="4"/>
        <v/>
      </c>
      <c r="I166">
        <f>'VCC_Stores ONLY'!B166</f>
        <v>0</v>
      </c>
      <c r="J166" s="4">
        <f>('Account Creation'!G166 - 25569) * 86400</f>
        <v>-2209161600</v>
      </c>
    </row>
    <row r="167" spans="1:10" x14ac:dyDescent="0.25">
      <c r="A167" t="str">
        <f>TRIM('Help Desk'!D167)</f>
        <v/>
      </c>
      <c r="B167" t="str">
        <f>TRIM('Account Creation'!B167)</f>
        <v/>
      </c>
      <c r="C167" t="str">
        <f>TRIM('Account Creation'!D167)</f>
        <v/>
      </c>
      <c r="D167" s="4" t="str">
        <f t="shared" si="5"/>
        <v/>
      </c>
      <c r="E167" t="b">
        <f>IF('Account Creation'!AG167="",FALSE,'Account Creation'!AG167)</f>
        <v>0</v>
      </c>
      <c r="F167" t="b">
        <f>IF('Account Creation'!AH167="",FALSE,'Account Creation'!AH167)</f>
        <v>0</v>
      </c>
      <c r="G167" s="5" t="s">
        <v>544</v>
      </c>
      <c r="H167" t="str">
        <f t="shared" si="4"/>
        <v/>
      </c>
      <c r="I167">
        <f>'VCC_Stores ONLY'!B167</f>
        <v>0</v>
      </c>
      <c r="J167" s="4">
        <f>('Account Creation'!G167 - 25569) * 86400</f>
        <v>-2209161600</v>
      </c>
    </row>
    <row r="168" spans="1:10" x14ac:dyDescent="0.25">
      <c r="A168" t="str">
        <f>TRIM('Help Desk'!D168)</f>
        <v/>
      </c>
      <c r="B168" t="str">
        <f>TRIM('Account Creation'!B168)</f>
        <v/>
      </c>
      <c r="C168" t="str">
        <f>TRIM('Account Creation'!D168)</f>
        <v/>
      </c>
      <c r="D168" s="4" t="str">
        <f t="shared" si="5"/>
        <v/>
      </c>
      <c r="E168" t="b">
        <f>IF('Account Creation'!AG168="",FALSE,'Account Creation'!AG168)</f>
        <v>0</v>
      </c>
      <c r="F168" t="b">
        <f>IF('Account Creation'!AH168="",FALSE,'Account Creation'!AH168)</f>
        <v>0</v>
      </c>
      <c r="G168" s="5" t="s">
        <v>544</v>
      </c>
      <c r="H168" t="str">
        <f t="shared" si="4"/>
        <v/>
      </c>
      <c r="I168">
        <f>'VCC_Stores ONLY'!B168</f>
        <v>0</v>
      </c>
      <c r="J168" s="4">
        <f>('Account Creation'!G168 - 25569) * 86400</f>
        <v>-2209161600</v>
      </c>
    </row>
    <row r="169" spans="1:10" x14ac:dyDescent="0.25">
      <c r="A169" t="str">
        <f>TRIM('Help Desk'!D169)</f>
        <v/>
      </c>
      <c r="B169" t="str">
        <f>TRIM('Account Creation'!B169)</f>
        <v/>
      </c>
      <c r="C169" t="str">
        <f>TRIM('Account Creation'!D169)</f>
        <v/>
      </c>
      <c r="D169" s="4" t="str">
        <f t="shared" si="5"/>
        <v/>
      </c>
      <c r="E169" t="b">
        <f>IF('Account Creation'!AG169="",FALSE,'Account Creation'!AG169)</f>
        <v>0</v>
      </c>
      <c r="F169" t="b">
        <f>IF('Account Creation'!AH169="",FALSE,'Account Creation'!AH169)</f>
        <v>0</v>
      </c>
      <c r="G169" s="5" t="s">
        <v>544</v>
      </c>
      <c r="H169" t="str">
        <f t="shared" si="4"/>
        <v/>
      </c>
      <c r="I169">
        <f>'VCC_Stores ONLY'!B169</f>
        <v>0</v>
      </c>
      <c r="J169" s="4">
        <f>('Account Creation'!G169 - 25569) * 86400</f>
        <v>-2209161600</v>
      </c>
    </row>
    <row r="170" spans="1:10" x14ac:dyDescent="0.25">
      <c r="A170" t="str">
        <f>TRIM('Help Desk'!D170)</f>
        <v/>
      </c>
      <c r="B170" t="str">
        <f>TRIM('Account Creation'!B170)</f>
        <v/>
      </c>
      <c r="C170" t="str">
        <f>TRIM('Account Creation'!D170)</f>
        <v/>
      </c>
      <c r="D170" s="4" t="str">
        <f t="shared" si="5"/>
        <v/>
      </c>
      <c r="E170" t="b">
        <f>IF('Account Creation'!AG170="",FALSE,'Account Creation'!AG170)</f>
        <v>0</v>
      </c>
      <c r="F170" t="b">
        <f>IF('Account Creation'!AH170="",FALSE,'Account Creation'!AH170)</f>
        <v>0</v>
      </c>
      <c r="G170" s="5" t="s">
        <v>544</v>
      </c>
      <c r="H170" t="str">
        <f t="shared" si="4"/>
        <v/>
      </c>
      <c r="I170">
        <f>'VCC_Stores ONLY'!B170</f>
        <v>0</v>
      </c>
      <c r="J170" s="4">
        <f>('Account Creation'!G170 - 25569) * 86400</f>
        <v>-2209161600</v>
      </c>
    </row>
    <row r="171" spans="1:10" x14ac:dyDescent="0.25">
      <c r="A171" t="str">
        <f>TRIM('Help Desk'!D171)</f>
        <v/>
      </c>
      <c r="B171" t="str">
        <f>TRIM('Account Creation'!B171)</f>
        <v/>
      </c>
      <c r="C171" t="str">
        <f>TRIM('Account Creation'!D171)</f>
        <v/>
      </c>
      <c r="D171" s="4" t="str">
        <f t="shared" si="5"/>
        <v/>
      </c>
      <c r="E171" t="b">
        <f>IF('Account Creation'!AG171="",FALSE,'Account Creation'!AG171)</f>
        <v>0</v>
      </c>
      <c r="F171" t="b">
        <f>IF('Account Creation'!AH171="",FALSE,'Account Creation'!AH171)</f>
        <v>0</v>
      </c>
      <c r="G171" s="5" t="s">
        <v>544</v>
      </c>
      <c r="H171" t="str">
        <f t="shared" si="4"/>
        <v/>
      </c>
      <c r="I171">
        <f>'VCC_Stores ONLY'!B171</f>
        <v>0</v>
      </c>
      <c r="J171" s="4">
        <f>('Account Creation'!G171 - 25569) * 86400</f>
        <v>-2209161600</v>
      </c>
    </row>
    <row r="172" spans="1:10" x14ac:dyDescent="0.25">
      <c r="A172" t="str">
        <f>TRIM('Help Desk'!D172)</f>
        <v/>
      </c>
      <c r="B172" t="str">
        <f>TRIM('Account Creation'!B172)</f>
        <v/>
      </c>
      <c r="C172" t="str">
        <f>TRIM('Account Creation'!D172)</f>
        <v/>
      </c>
      <c r="D172" s="4" t="str">
        <f t="shared" si="5"/>
        <v/>
      </c>
      <c r="E172" t="b">
        <f>IF('Account Creation'!AG172="",FALSE,'Account Creation'!AG172)</f>
        <v>0</v>
      </c>
      <c r="F172" t="b">
        <f>IF('Account Creation'!AH172="",FALSE,'Account Creation'!AH172)</f>
        <v>0</v>
      </c>
      <c r="G172" s="5" t="s">
        <v>544</v>
      </c>
      <c r="H172" t="str">
        <f t="shared" si="4"/>
        <v/>
      </c>
      <c r="I172">
        <f>'VCC_Stores ONLY'!B172</f>
        <v>0</v>
      </c>
      <c r="J172" s="4">
        <f>('Account Creation'!G172 - 25569) * 86400</f>
        <v>-2209161600</v>
      </c>
    </row>
    <row r="173" spans="1:10" x14ac:dyDescent="0.25">
      <c r="A173" t="str">
        <f>TRIM('Help Desk'!D173)</f>
        <v/>
      </c>
      <c r="B173" t="str">
        <f>TRIM('Account Creation'!B173)</f>
        <v/>
      </c>
      <c r="C173" t="str">
        <f>TRIM('Account Creation'!D173)</f>
        <v/>
      </c>
      <c r="D173" s="4" t="str">
        <f t="shared" si="5"/>
        <v/>
      </c>
      <c r="E173" t="b">
        <f>IF('Account Creation'!AG173="",FALSE,'Account Creation'!AG173)</f>
        <v>0</v>
      </c>
      <c r="F173" t="b">
        <f>IF('Account Creation'!AH173="",FALSE,'Account Creation'!AH173)</f>
        <v>0</v>
      </c>
      <c r="G173" s="5" t="s">
        <v>544</v>
      </c>
      <c r="H173" t="str">
        <f t="shared" si="4"/>
        <v/>
      </c>
      <c r="I173">
        <f>'VCC_Stores ONLY'!B173</f>
        <v>0</v>
      </c>
      <c r="J173" s="4">
        <f>('Account Creation'!G173 - 25569) * 86400</f>
        <v>-2209161600</v>
      </c>
    </row>
    <row r="174" spans="1:10" x14ac:dyDescent="0.25">
      <c r="A174" t="str">
        <f>TRIM('Help Desk'!D174)</f>
        <v/>
      </c>
      <c r="B174" t="str">
        <f>TRIM('Account Creation'!B174)</f>
        <v/>
      </c>
      <c r="C174" t="str">
        <f>TRIM('Account Creation'!D174)</f>
        <v/>
      </c>
      <c r="D174" s="4" t="str">
        <f t="shared" si="5"/>
        <v/>
      </c>
      <c r="E174" t="b">
        <f>IF('Account Creation'!AG174="",FALSE,'Account Creation'!AG174)</f>
        <v>0</v>
      </c>
      <c r="F174" t="b">
        <f>IF('Account Creation'!AH174="",FALSE,'Account Creation'!AH174)</f>
        <v>0</v>
      </c>
      <c r="G174" s="5" t="s">
        <v>544</v>
      </c>
      <c r="H174" t="str">
        <f t="shared" si="4"/>
        <v/>
      </c>
      <c r="I174">
        <f>'VCC_Stores ONLY'!B174</f>
        <v>0</v>
      </c>
      <c r="J174" s="4">
        <f>('Account Creation'!G174 - 25569) * 86400</f>
        <v>-2209161600</v>
      </c>
    </row>
    <row r="175" spans="1:10" x14ac:dyDescent="0.25">
      <c r="A175" t="str">
        <f>TRIM('Help Desk'!D175)</f>
        <v/>
      </c>
      <c r="B175" t="str">
        <f>TRIM('Account Creation'!B175)</f>
        <v/>
      </c>
      <c r="C175" t="str">
        <f>TRIM('Account Creation'!D175)</f>
        <v/>
      </c>
      <c r="D175" s="4" t="str">
        <f t="shared" si="5"/>
        <v/>
      </c>
      <c r="E175" t="b">
        <f>IF('Account Creation'!AG175="",FALSE,'Account Creation'!AG175)</f>
        <v>0</v>
      </c>
      <c r="F175" t="b">
        <f>IF('Account Creation'!AH175="",FALSE,'Account Creation'!AH175)</f>
        <v>0</v>
      </c>
      <c r="G175" s="5" t="s">
        <v>544</v>
      </c>
      <c r="H175" t="str">
        <f t="shared" si="4"/>
        <v/>
      </c>
      <c r="I175">
        <f>'VCC_Stores ONLY'!B175</f>
        <v>0</v>
      </c>
      <c r="J175" s="4">
        <f>('Account Creation'!G175 - 25569) * 86400</f>
        <v>-2209161600</v>
      </c>
    </row>
    <row r="176" spans="1:10" x14ac:dyDescent="0.25">
      <c r="A176" t="str">
        <f>TRIM('Help Desk'!D176)</f>
        <v/>
      </c>
      <c r="B176" t="str">
        <f>TRIM('Account Creation'!B176)</f>
        <v/>
      </c>
      <c r="C176" t="str">
        <f>TRIM('Account Creation'!D176)</f>
        <v/>
      </c>
      <c r="D176" s="4" t="str">
        <f t="shared" si="5"/>
        <v/>
      </c>
      <c r="E176" t="b">
        <f>IF('Account Creation'!AG176="",FALSE,'Account Creation'!AG176)</f>
        <v>0</v>
      </c>
      <c r="F176" t="b">
        <f>IF('Account Creation'!AH176="",FALSE,'Account Creation'!AH176)</f>
        <v>0</v>
      </c>
      <c r="G176" s="5" t="s">
        <v>544</v>
      </c>
      <c r="H176" t="str">
        <f t="shared" si="4"/>
        <v/>
      </c>
      <c r="I176">
        <f>'VCC_Stores ONLY'!B176</f>
        <v>0</v>
      </c>
      <c r="J176" s="4">
        <f>('Account Creation'!G176 - 25569) * 86400</f>
        <v>-2209161600</v>
      </c>
    </row>
    <row r="177" spans="1:10" x14ac:dyDescent="0.25">
      <c r="A177" t="str">
        <f>TRIM('Help Desk'!D177)</f>
        <v/>
      </c>
      <c r="B177" t="str">
        <f>TRIM('Account Creation'!B177)</f>
        <v/>
      </c>
      <c r="C177" t="str">
        <f>TRIM('Account Creation'!D177)</f>
        <v/>
      </c>
      <c r="D177" s="4" t="str">
        <f t="shared" si="5"/>
        <v/>
      </c>
      <c r="E177" t="b">
        <f>IF('Account Creation'!AG177="",FALSE,'Account Creation'!AG177)</f>
        <v>0</v>
      </c>
      <c r="F177" t="b">
        <f>IF('Account Creation'!AH177="",FALSE,'Account Creation'!AH177)</f>
        <v>0</v>
      </c>
      <c r="G177" s="5" t="s">
        <v>544</v>
      </c>
      <c r="H177" t="str">
        <f t="shared" si="4"/>
        <v/>
      </c>
      <c r="I177">
        <f>'VCC_Stores ONLY'!B177</f>
        <v>0</v>
      </c>
      <c r="J177" s="4">
        <f>('Account Creation'!G177 - 25569) * 86400</f>
        <v>-2209161600</v>
      </c>
    </row>
    <row r="178" spans="1:10" x14ac:dyDescent="0.25">
      <c r="A178" t="str">
        <f>TRIM('Help Desk'!D178)</f>
        <v/>
      </c>
      <c r="B178" t="str">
        <f>TRIM('Account Creation'!B178)</f>
        <v/>
      </c>
      <c r="C178" t="str">
        <f>TRIM('Account Creation'!D178)</f>
        <v/>
      </c>
      <c r="D178" s="4" t="str">
        <f t="shared" si="5"/>
        <v/>
      </c>
      <c r="E178" t="b">
        <f>IF('Account Creation'!AG178="",FALSE,'Account Creation'!AG178)</f>
        <v>0</v>
      </c>
      <c r="F178" t="b">
        <f>IF('Account Creation'!AH178="",FALSE,'Account Creation'!AH178)</f>
        <v>0</v>
      </c>
      <c r="G178" s="5" t="s">
        <v>544</v>
      </c>
      <c r="H178" t="str">
        <f t="shared" si="4"/>
        <v/>
      </c>
      <c r="I178">
        <f>'VCC_Stores ONLY'!B178</f>
        <v>0</v>
      </c>
      <c r="J178" s="4">
        <f>('Account Creation'!G178 - 25569) * 86400</f>
        <v>-2209161600</v>
      </c>
    </row>
    <row r="179" spans="1:10" x14ac:dyDescent="0.25">
      <c r="A179" t="str">
        <f>TRIM('Help Desk'!D179)</f>
        <v/>
      </c>
      <c r="B179" t="str">
        <f>TRIM('Account Creation'!B179)</f>
        <v/>
      </c>
      <c r="C179" t="str">
        <f>TRIM('Account Creation'!D179)</f>
        <v/>
      </c>
      <c r="D179" s="4" t="str">
        <f t="shared" si="5"/>
        <v/>
      </c>
      <c r="E179" t="b">
        <f>IF('Account Creation'!AG179="",FALSE,'Account Creation'!AG179)</f>
        <v>0</v>
      </c>
      <c r="F179" t="b">
        <f>IF('Account Creation'!AH179="",FALSE,'Account Creation'!AH179)</f>
        <v>0</v>
      </c>
      <c r="G179" s="5" t="s">
        <v>544</v>
      </c>
      <c r="H179" t="str">
        <f t="shared" si="4"/>
        <v/>
      </c>
      <c r="I179">
        <f>'VCC_Stores ONLY'!B179</f>
        <v>0</v>
      </c>
      <c r="J179" s="4">
        <f>('Account Creation'!G179 - 25569) * 86400</f>
        <v>-2209161600</v>
      </c>
    </row>
    <row r="180" spans="1:10" x14ac:dyDescent="0.25">
      <c r="A180" t="str">
        <f>TRIM('Help Desk'!D180)</f>
        <v/>
      </c>
      <c r="B180" t="str">
        <f>TRIM('Account Creation'!B180)</f>
        <v/>
      </c>
      <c r="C180" t="str">
        <f>TRIM('Account Creation'!D180)</f>
        <v/>
      </c>
      <c r="D180" s="4" t="str">
        <f t="shared" si="5"/>
        <v/>
      </c>
      <c r="E180" t="b">
        <f>IF('Account Creation'!AG180="",FALSE,'Account Creation'!AG180)</f>
        <v>0</v>
      </c>
      <c r="F180" t="b">
        <f>IF('Account Creation'!AH180="",FALSE,'Account Creation'!AH180)</f>
        <v>0</v>
      </c>
      <c r="G180" s="5" t="s">
        <v>544</v>
      </c>
      <c r="H180" t="str">
        <f t="shared" si="4"/>
        <v/>
      </c>
      <c r="I180">
        <f>'VCC_Stores ONLY'!B180</f>
        <v>0</v>
      </c>
      <c r="J180" s="4">
        <f>('Account Creation'!G180 - 25569) * 86400</f>
        <v>-2209161600</v>
      </c>
    </row>
    <row r="181" spans="1:10" x14ac:dyDescent="0.25">
      <c r="A181" t="str">
        <f>TRIM('Help Desk'!D181)</f>
        <v/>
      </c>
      <c r="B181" t="str">
        <f>TRIM('Account Creation'!B181)</f>
        <v/>
      </c>
      <c r="C181" t="str">
        <f>TRIM('Account Creation'!D181)</f>
        <v/>
      </c>
      <c r="D181" s="4" t="str">
        <f t="shared" si="5"/>
        <v/>
      </c>
      <c r="E181" t="b">
        <f>IF('Account Creation'!AG181="",FALSE,'Account Creation'!AG181)</f>
        <v>0</v>
      </c>
      <c r="F181" t="b">
        <f>IF('Account Creation'!AH181="",FALSE,'Account Creation'!AH181)</f>
        <v>0</v>
      </c>
      <c r="G181" s="5" t="s">
        <v>544</v>
      </c>
      <c r="H181" t="str">
        <f t="shared" si="4"/>
        <v/>
      </c>
      <c r="I181">
        <f>'VCC_Stores ONLY'!B181</f>
        <v>0</v>
      </c>
      <c r="J181" s="4">
        <f>('Account Creation'!G181 - 25569) * 86400</f>
        <v>-2209161600</v>
      </c>
    </row>
    <row r="182" spans="1:10" x14ac:dyDescent="0.25">
      <c r="A182" t="str">
        <f>TRIM('Help Desk'!D182)</f>
        <v/>
      </c>
      <c r="B182" t="str">
        <f>TRIM('Account Creation'!B182)</f>
        <v/>
      </c>
      <c r="C182" t="str">
        <f>TRIM('Account Creation'!D182)</f>
        <v/>
      </c>
      <c r="D182" s="4" t="str">
        <f t="shared" si="5"/>
        <v/>
      </c>
      <c r="E182" t="b">
        <f>IF('Account Creation'!AG182="",FALSE,'Account Creation'!AG182)</f>
        <v>0</v>
      </c>
      <c r="F182" t="b">
        <f>IF('Account Creation'!AH182="",FALSE,'Account Creation'!AH182)</f>
        <v>0</v>
      </c>
      <c r="G182" s="5" t="s">
        <v>544</v>
      </c>
      <c r="H182" t="str">
        <f t="shared" si="4"/>
        <v/>
      </c>
      <c r="I182">
        <f>'VCC_Stores ONLY'!B182</f>
        <v>0</v>
      </c>
      <c r="J182" s="4">
        <f>('Account Creation'!G182 - 25569) * 86400</f>
        <v>-2209161600</v>
      </c>
    </row>
    <row r="183" spans="1:10" x14ac:dyDescent="0.25">
      <c r="A183" t="str">
        <f>TRIM('Help Desk'!D183)</f>
        <v/>
      </c>
      <c r="B183" t="str">
        <f>TRIM('Account Creation'!B183)</f>
        <v/>
      </c>
      <c r="C183" t="str">
        <f>TRIM('Account Creation'!D183)</f>
        <v/>
      </c>
      <c r="D183" s="4" t="str">
        <f t="shared" si="5"/>
        <v/>
      </c>
      <c r="E183" t="b">
        <f>IF('Account Creation'!AG183="",FALSE,'Account Creation'!AG183)</f>
        <v>0</v>
      </c>
      <c r="F183" t="b">
        <f>IF('Account Creation'!AH183="",FALSE,'Account Creation'!AH183)</f>
        <v>0</v>
      </c>
      <c r="G183" s="5" t="s">
        <v>544</v>
      </c>
      <c r="H183" t="str">
        <f t="shared" si="4"/>
        <v/>
      </c>
      <c r="I183">
        <f>'VCC_Stores ONLY'!B183</f>
        <v>0</v>
      </c>
      <c r="J183" s="4">
        <f>('Account Creation'!G183 - 25569) * 86400</f>
        <v>-2209161600</v>
      </c>
    </row>
    <row r="184" spans="1:10" x14ac:dyDescent="0.25">
      <c r="A184" t="str">
        <f>TRIM('Help Desk'!D184)</f>
        <v/>
      </c>
      <c r="B184" t="str">
        <f>TRIM('Account Creation'!B184)</f>
        <v/>
      </c>
      <c r="C184" t="str">
        <f>TRIM('Account Creation'!D184)</f>
        <v/>
      </c>
      <c r="D184" s="4" t="str">
        <f t="shared" si="5"/>
        <v/>
      </c>
      <c r="E184" t="b">
        <f>IF('Account Creation'!AG184="",FALSE,'Account Creation'!AG184)</f>
        <v>0</v>
      </c>
      <c r="F184" t="b">
        <f>IF('Account Creation'!AH184="",FALSE,'Account Creation'!AH184)</f>
        <v>0</v>
      </c>
      <c r="G184" s="5" t="s">
        <v>544</v>
      </c>
      <c r="H184" t="str">
        <f t="shared" si="4"/>
        <v/>
      </c>
      <c r="I184">
        <f>'VCC_Stores ONLY'!B184</f>
        <v>0</v>
      </c>
      <c r="J184" s="4">
        <f>('Account Creation'!G184 - 25569) * 86400</f>
        <v>-2209161600</v>
      </c>
    </row>
    <row r="185" spans="1:10" x14ac:dyDescent="0.25">
      <c r="A185" t="str">
        <f>TRIM('Help Desk'!D185)</f>
        <v/>
      </c>
      <c r="B185" t="str">
        <f>TRIM('Account Creation'!B185)</f>
        <v/>
      </c>
      <c r="C185" t="str">
        <f>TRIM('Account Creation'!D185)</f>
        <v/>
      </c>
      <c r="D185" s="4" t="str">
        <f t="shared" si="5"/>
        <v/>
      </c>
      <c r="E185" t="b">
        <f>IF('Account Creation'!AG185="",FALSE,'Account Creation'!AG185)</f>
        <v>0</v>
      </c>
      <c r="F185" t="b">
        <f>IF('Account Creation'!AH185="",FALSE,'Account Creation'!AH185)</f>
        <v>0</v>
      </c>
      <c r="G185" s="5" t="s">
        <v>544</v>
      </c>
      <c r="H185" t="str">
        <f t="shared" si="4"/>
        <v/>
      </c>
      <c r="I185">
        <f>'VCC_Stores ONLY'!B185</f>
        <v>0</v>
      </c>
      <c r="J185" s="4">
        <f>('Account Creation'!G185 - 25569) * 86400</f>
        <v>-2209161600</v>
      </c>
    </row>
    <row r="186" spans="1:10" x14ac:dyDescent="0.25">
      <c r="A186" t="str">
        <f>TRIM('Help Desk'!D186)</f>
        <v/>
      </c>
      <c r="B186" t="str">
        <f>TRIM('Account Creation'!B186)</f>
        <v/>
      </c>
      <c r="C186" t="str">
        <f>TRIM('Account Creation'!D186)</f>
        <v/>
      </c>
      <c r="D186" s="4" t="str">
        <f t="shared" si="5"/>
        <v/>
      </c>
      <c r="E186" t="b">
        <f>IF('Account Creation'!AG186="",FALSE,'Account Creation'!AG186)</f>
        <v>0</v>
      </c>
      <c r="F186" t="b">
        <f>IF('Account Creation'!AH186="",FALSE,'Account Creation'!AH186)</f>
        <v>0</v>
      </c>
      <c r="G186" s="5" t="s">
        <v>544</v>
      </c>
      <c r="H186" t="str">
        <f t="shared" si="4"/>
        <v/>
      </c>
      <c r="I186">
        <f>'VCC_Stores ONLY'!B186</f>
        <v>0</v>
      </c>
      <c r="J186" s="4">
        <f>('Account Creation'!G186 - 25569) * 86400</f>
        <v>-2209161600</v>
      </c>
    </row>
    <row r="187" spans="1:10" x14ac:dyDescent="0.25">
      <c r="A187" t="str">
        <f>TRIM('Help Desk'!D187)</f>
        <v/>
      </c>
      <c r="B187" t="str">
        <f>TRIM('Account Creation'!B187)</f>
        <v/>
      </c>
      <c r="C187" t="str">
        <f>TRIM('Account Creation'!D187)</f>
        <v/>
      </c>
      <c r="D187" s="4" t="str">
        <f t="shared" si="5"/>
        <v/>
      </c>
      <c r="E187" t="b">
        <f>IF('Account Creation'!AG187="",FALSE,'Account Creation'!AG187)</f>
        <v>0</v>
      </c>
      <c r="F187" t="b">
        <f>IF('Account Creation'!AH187="",FALSE,'Account Creation'!AH187)</f>
        <v>0</v>
      </c>
      <c r="G187" s="5" t="s">
        <v>544</v>
      </c>
      <c r="H187" t="str">
        <f t="shared" si="4"/>
        <v/>
      </c>
      <c r="I187">
        <f>'VCC_Stores ONLY'!B187</f>
        <v>0</v>
      </c>
      <c r="J187" s="4">
        <f>('Account Creation'!G187 - 25569) * 86400</f>
        <v>-2209161600</v>
      </c>
    </row>
    <row r="188" spans="1:10" x14ac:dyDescent="0.25">
      <c r="A188" t="str">
        <f>TRIM('Help Desk'!D188)</f>
        <v/>
      </c>
      <c r="B188" t="str">
        <f>TRIM('Account Creation'!B188)</f>
        <v/>
      </c>
      <c r="C188" t="str">
        <f>TRIM('Account Creation'!D188)</f>
        <v/>
      </c>
      <c r="D188" s="4" t="str">
        <f t="shared" si="5"/>
        <v/>
      </c>
      <c r="E188" t="b">
        <f>IF('Account Creation'!AG188="",FALSE,'Account Creation'!AG188)</f>
        <v>0</v>
      </c>
      <c r="F188" t="b">
        <f>IF('Account Creation'!AH188="",FALSE,'Account Creation'!AH188)</f>
        <v>0</v>
      </c>
      <c r="G188" s="5" t="s">
        <v>544</v>
      </c>
      <c r="H188" t="str">
        <f t="shared" si="4"/>
        <v/>
      </c>
      <c r="I188">
        <f>'VCC_Stores ONLY'!B188</f>
        <v>0</v>
      </c>
      <c r="J188" s="4">
        <f>('Account Creation'!G188 - 25569) * 86400</f>
        <v>-2209161600</v>
      </c>
    </row>
    <row r="189" spans="1:10" x14ac:dyDescent="0.25">
      <c r="A189" t="str">
        <f>TRIM('Help Desk'!D189)</f>
        <v/>
      </c>
      <c r="B189" t="str">
        <f>TRIM('Account Creation'!B189)</f>
        <v/>
      </c>
      <c r="C189" t="str">
        <f>TRIM('Account Creation'!D189)</f>
        <v/>
      </c>
      <c r="D189" s="4" t="str">
        <f t="shared" si="5"/>
        <v/>
      </c>
      <c r="E189" t="b">
        <f>IF('Account Creation'!AG189="",FALSE,'Account Creation'!AG189)</f>
        <v>0</v>
      </c>
      <c r="F189" t="b">
        <f>IF('Account Creation'!AH189="",FALSE,'Account Creation'!AH189)</f>
        <v>0</v>
      </c>
      <c r="G189" s="5" t="s">
        <v>544</v>
      </c>
      <c r="H189" t="str">
        <f t="shared" si="4"/>
        <v/>
      </c>
      <c r="I189">
        <f>'VCC_Stores ONLY'!B189</f>
        <v>0</v>
      </c>
      <c r="J189" s="4">
        <f>('Account Creation'!G189 - 25569) * 86400</f>
        <v>-2209161600</v>
      </c>
    </row>
    <row r="190" spans="1:10" x14ac:dyDescent="0.25">
      <c r="A190" t="str">
        <f>TRIM('Help Desk'!D190)</f>
        <v/>
      </c>
      <c r="B190" t="str">
        <f>TRIM('Account Creation'!B190)</f>
        <v/>
      </c>
      <c r="C190" t="str">
        <f>TRIM('Account Creation'!D190)</f>
        <v/>
      </c>
      <c r="D190" s="4" t="str">
        <f t="shared" si="5"/>
        <v/>
      </c>
      <c r="E190" t="b">
        <f>IF('Account Creation'!AG190="",FALSE,'Account Creation'!AG190)</f>
        <v>0</v>
      </c>
      <c r="F190" t="b">
        <f>IF('Account Creation'!AH190="",FALSE,'Account Creation'!AH190)</f>
        <v>0</v>
      </c>
      <c r="G190" s="5" t="s">
        <v>544</v>
      </c>
      <c r="H190" t="str">
        <f t="shared" si="4"/>
        <v/>
      </c>
      <c r="I190">
        <f>'VCC_Stores ONLY'!B190</f>
        <v>0</v>
      </c>
      <c r="J190" s="4">
        <f>('Account Creation'!G190 - 25569) * 86400</f>
        <v>-2209161600</v>
      </c>
    </row>
    <row r="191" spans="1:10" x14ac:dyDescent="0.25">
      <c r="A191" t="str">
        <f>TRIM('Help Desk'!D191)</f>
        <v/>
      </c>
      <c r="B191" t="str">
        <f>TRIM('Account Creation'!B191)</f>
        <v/>
      </c>
      <c r="C191" t="str">
        <f>TRIM('Account Creation'!D191)</f>
        <v/>
      </c>
      <c r="D191" s="4" t="str">
        <f t="shared" si="5"/>
        <v/>
      </c>
      <c r="E191" t="b">
        <f>IF('Account Creation'!AG191="",FALSE,'Account Creation'!AG191)</f>
        <v>0</v>
      </c>
      <c r="F191" t="b">
        <f>IF('Account Creation'!AH191="",FALSE,'Account Creation'!AH191)</f>
        <v>0</v>
      </c>
      <c r="G191" s="5" t="s">
        <v>544</v>
      </c>
      <c r="H191" t="str">
        <f t="shared" si="4"/>
        <v/>
      </c>
      <c r="I191">
        <f>'VCC_Stores ONLY'!B191</f>
        <v>0</v>
      </c>
      <c r="J191" s="4">
        <f>('Account Creation'!G191 - 25569) * 86400</f>
        <v>-2209161600</v>
      </c>
    </row>
    <row r="192" spans="1:10" x14ac:dyDescent="0.25">
      <c r="A192" t="str">
        <f>TRIM('Help Desk'!D192)</f>
        <v/>
      </c>
      <c r="B192" t="str">
        <f>TRIM('Account Creation'!B192)</f>
        <v/>
      </c>
      <c r="C192" t="str">
        <f>TRIM('Account Creation'!D192)</f>
        <v/>
      </c>
      <c r="D192" s="4" t="str">
        <f t="shared" si="5"/>
        <v/>
      </c>
      <c r="E192" t="b">
        <f>IF('Account Creation'!AG192="",FALSE,'Account Creation'!AG192)</f>
        <v>0</v>
      </c>
      <c r="F192" t="b">
        <f>IF('Account Creation'!AH192="",FALSE,'Account Creation'!AH192)</f>
        <v>0</v>
      </c>
      <c r="G192" s="5" t="s">
        <v>544</v>
      </c>
      <c r="H192" t="str">
        <f t="shared" si="4"/>
        <v/>
      </c>
      <c r="I192">
        <f>'VCC_Stores ONLY'!B192</f>
        <v>0</v>
      </c>
      <c r="J192" s="4">
        <f>('Account Creation'!G192 - 25569) * 86400</f>
        <v>-2209161600</v>
      </c>
    </row>
    <row r="193" spans="1:10" x14ac:dyDescent="0.25">
      <c r="A193" t="str">
        <f>TRIM('Help Desk'!D193)</f>
        <v/>
      </c>
      <c r="B193" t="str">
        <f>TRIM('Account Creation'!B193)</f>
        <v/>
      </c>
      <c r="C193" t="str">
        <f>TRIM('Account Creation'!D193)</f>
        <v/>
      </c>
      <c r="D193" s="4" t="str">
        <f t="shared" si="5"/>
        <v/>
      </c>
      <c r="E193" t="b">
        <f>IF('Account Creation'!AG193="",FALSE,'Account Creation'!AG193)</f>
        <v>0</v>
      </c>
      <c r="F193" t="b">
        <f>IF('Account Creation'!AH193="",FALSE,'Account Creation'!AH193)</f>
        <v>0</v>
      </c>
      <c r="G193" s="5" t="s">
        <v>544</v>
      </c>
      <c r="H193" t="str">
        <f t="shared" si="4"/>
        <v/>
      </c>
      <c r="I193">
        <f>'VCC_Stores ONLY'!B193</f>
        <v>0</v>
      </c>
      <c r="J193" s="4">
        <f>('Account Creation'!G193 - 25569) * 86400</f>
        <v>-2209161600</v>
      </c>
    </row>
    <row r="194" spans="1:10" x14ac:dyDescent="0.25">
      <c r="A194" t="str">
        <f>TRIM('Help Desk'!D194)</f>
        <v/>
      </c>
      <c r="B194" t="str">
        <f>TRIM('Account Creation'!B194)</f>
        <v/>
      </c>
      <c r="C194" t="str">
        <f>TRIM('Account Creation'!D194)</f>
        <v/>
      </c>
      <c r="D194" s="4" t="str">
        <f t="shared" si="5"/>
        <v/>
      </c>
      <c r="E194" t="b">
        <f>IF('Account Creation'!AG194="",FALSE,'Account Creation'!AG194)</f>
        <v>0</v>
      </c>
      <c r="F194" t="b">
        <f>IF('Account Creation'!AH194="",FALSE,'Account Creation'!AH194)</f>
        <v>0</v>
      </c>
      <c r="G194" s="5" t="s">
        <v>544</v>
      </c>
      <c r="H194" t="str">
        <f t="shared" ref="H194:H250" si="6">A194</f>
        <v/>
      </c>
      <c r="I194">
        <f>'VCC_Stores ONLY'!B194</f>
        <v>0</v>
      </c>
      <c r="J194" s="4">
        <f>('Account Creation'!G194 - 25569) * 86400</f>
        <v>-2209161600</v>
      </c>
    </row>
    <row r="195" spans="1:10" x14ac:dyDescent="0.25">
      <c r="A195" t="str">
        <f>TRIM('Help Desk'!D195)</f>
        <v/>
      </c>
      <c r="B195" t="str">
        <f>TRIM('Account Creation'!B195)</f>
        <v/>
      </c>
      <c r="C195" t="str">
        <f>TRIM('Account Creation'!D195)</f>
        <v/>
      </c>
      <c r="D195" s="4" t="str">
        <f t="shared" ref="D195:D250" si="7">B195</f>
        <v/>
      </c>
      <c r="E195" t="b">
        <f>IF('Account Creation'!AG195="",FALSE,'Account Creation'!AG195)</f>
        <v>0</v>
      </c>
      <c r="F195" t="b">
        <f>IF('Account Creation'!AH195="",FALSE,'Account Creation'!AH195)</f>
        <v>0</v>
      </c>
      <c r="G195" s="5" t="s">
        <v>544</v>
      </c>
      <c r="H195" t="str">
        <f t="shared" si="6"/>
        <v/>
      </c>
      <c r="I195">
        <f>'VCC_Stores ONLY'!B195</f>
        <v>0</v>
      </c>
      <c r="J195" s="4">
        <f>('Account Creation'!G195 - 25569) * 86400</f>
        <v>-2209161600</v>
      </c>
    </row>
    <row r="196" spans="1:10" x14ac:dyDescent="0.25">
      <c r="A196" t="str">
        <f>TRIM('Help Desk'!D196)</f>
        <v/>
      </c>
      <c r="B196" t="str">
        <f>TRIM('Account Creation'!B196)</f>
        <v/>
      </c>
      <c r="C196" t="str">
        <f>TRIM('Account Creation'!D196)</f>
        <v/>
      </c>
      <c r="D196" s="4" t="str">
        <f t="shared" si="7"/>
        <v/>
      </c>
      <c r="E196" t="b">
        <f>IF('Account Creation'!AG196="",FALSE,'Account Creation'!AG196)</f>
        <v>0</v>
      </c>
      <c r="F196" t="b">
        <f>IF('Account Creation'!AH196="",FALSE,'Account Creation'!AH196)</f>
        <v>0</v>
      </c>
      <c r="G196" s="5" t="s">
        <v>544</v>
      </c>
      <c r="H196" t="str">
        <f t="shared" si="6"/>
        <v/>
      </c>
      <c r="I196">
        <f>'VCC_Stores ONLY'!B196</f>
        <v>0</v>
      </c>
      <c r="J196" s="4">
        <f>('Account Creation'!G196 - 25569) * 86400</f>
        <v>-2209161600</v>
      </c>
    </row>
    <row r="197" spans="1:10" x14ac:dyDescent="0.25">
      <c r="A197" t="str">
        <f>TRIM('Help Desk'!D197)</f>
        <v/>
      </c>
      <c r="B197" t="str">
        <f>TRIM('Account Creation'!B197)</f>
        <v/>
      </c>
      <c r="C197" t="str">
        <f>TRIM('Account Creation'!D197)</f>
        <v/>
      </c>
      <c r="D197" s="4" t="str">
        <f t="shared" si="7"/>
        <v/>
      </c>
      <c r="E197" t="b">
        <f>IF('Account Creation'!AG197="",FALSE,'Account Creation'!AG197)</f>
        <v>0</v>
      </c>
      <c r="F197" t="b">
        <f>IF('Account Creation'!AH197="",FALSE,'Account Creation'!AH197)</f>
        <v>0</v>
      </c>
      <c r="G197" s="5" t="s">
        <v>544</v>
      </c>
      <c r="H197" t="str">
        <f t="shared" si="6"/>
        <v/>
      </c>
      <c r="I197">
        <f>'VCC_Stores ONLY'!B197</f>
        <v>0</v>
      </c>
      <c r="J197" s="4">
        <f>('Account Creation'!G197 - 25569) * 86400</f>
        <v>-2209161600</v>
      </c>
    </row>
    <row r="198" spans="1:10" x14ac:dyDescent="0.25">
      <c r="A198" t="str">
        <f>TRIM('Help Desk'!D198)</f>
        <v/>
      </c>
      <c r="B198" t="str">
        <f>TRIM('Account Creation'!B198)</f>
        <v/>
      </c>
      <c r="C198" t="str">
        <f>TRIM('Account Creation'!D198)</f>
        <v/>
      </c>
      <c r="D198" s="4" t="str">
        <f t="shared" si="7"/>
        <v/>
      </c>
      <c r="E198" t="b">
        <f>IF('Account Creation'!AG198="",FALSE,'Account Creation'!AG198)</f>
        <v>0</v>
      </c>
      <c r="F198" t="b">
        <f>IF('Account Creation'!AH198="",FALSE,'Account Creation'!AH198)</f>
        <v>0</v>
      </c>
      <c r="G198" s="5" t="s">
        <v>544</v>
      </c>
      <c r="H198" t="str">
        <f t="shared" si="6"/>
        <v/>
      </c>
      <c r="I198">
        <f>'VCC_Stores ONLY'!B198</f>
        <v>0</v>
      </c>
      <c r="J198" s="4">
        <f>('Account Creation'!G198 - 25569) * 86400</f>
        <v>-2209161600</v>
      </c>
    </row>
    <row r="199" spans="1:10" x14ac:dyDescent="0.25">
      <c r="A199" t="str">
        <f>TRIM('Help Desk'!D199)</f>
        <v/>
      </c>
      <c r="B199" t="str">
        <f>TRIM('Account Creation'!B199)</f>
        <v/>
      </c>
      <c r="C199" t="str">
        <f>TRIM('Account Creation'!D199)</f>
        <v/>
      </c>
      <c r="D199" s="4" t="str">
        <f t="shared" si="7"/>
        <v/>
      </c>
      <c r="E199" t="b">
        <f>IF('Account Creation'!AG199="",FALSE,'Account Creation'!AG199)</f>
        <v>0</v>
      </c>
      <c r="F199" t="b">
        <f>IF('Account Creation'!AH199="",FALSE,'Account Creation'!AH199)</f>
        <v>0</v>
      </c>
      <c r="G199" s="5" t="s">
        <v>544</v>
      </c>
      <c r="H199" t="str">
        <f t="shared" si="6"/>
        <v/>
      </c>
      <c r="I199">
        <f>'VCC_Stores ONLY'!B199</f>
        <v>0</v>
      </c>
      <c r="J199" s="4">
        <f>('Account Creation'!G199 - 25569) * 86400</f>
        <v>-2209161600</v>
      </c>
    </row>
    <row r="200" spans="1:10" x14ac:dyDescent="0.25">
      <c r="A200" t="str">
        <f>TRIM('Help Desk'!D200)</f>
        <v/>
      </c>
      <c r="B200" t="str">
        <f>TRIM('Account Creation'!B200)</f>
        <v/>
      </c>
      <c r="C200" t="str">
        <f>TRIM('Account Creation'!D200)</f>
        <v/>
      </c>
      <c r="D200" s="4" t="str">
        <f t="shared" si="7"/>
        <v/>
      </c>
      <c r="E200" t="b">
        <f>IF('Account Creation'!AG200="",FALSE,'Account Creation'!AG200)</f>
        <v>0</v>
      </c>
      <c r="F200" t="b">
        <f>IF('Account Creation'!AH200="",FALSE,'Account Creation'!AH200)</f>
        <v>0</v>
      </c>
      <c r="G200" s="5" t="s">
        <v>544</v>
      </c>
      <c r="H200" t="str">
        <f t="shared" si="6"/>
        <v/>
      </c>
      <c r="I200">
        <f>'VCC_Stores ONLY'!B200</f>
        <v>0</v>
      </c>
      <c r="J200" s="4">
        <f>('Account Creation'!G200 - 25569) * 86400</f>
        <v>-2209161600</v>
      </c>
    </row>
    <row r="201" spans="1:10" x14ac:dyDescent="0.25">
      <c r="A201" t="str">
        <f>TRIM('Help Desk'!D201)</f>
        <v/>
      </c>
      <c r="B201" t="str">
        <f>TRIM('Account Creation'!B201)</f>
        <v/>
      </c>
      <c r="C201" t="str">
        <f>TRIM('Account Creation'!D201)</f>
        <v/>
      </c>
      <c r="D201" s="4" t="str">
        <f t="shared" si="7"/>
        <v/>
      </c>
      <c r="E201" t="b">
        <f>IF('Account Creation'!AG201="",FALSE,'Account Creation'!AG201)</f>
        <v>0</v>
      </c>
      <c r="F201" t="b">
        <f>IF('Account Creation'!AH201="",FALSE,'Account Creation'!AH201)</f>
        <v>0</v>
      </c>
      <c r="G201" s="5" t="s">
        <v>544</v>
      </c>
      <c r="H201" t="str">
        <f t="shared" si="6"/>
        <v/>
      </c>
      <c r="I201">
        <f>'VCC_Stores ONLY'!B201</f>
        <v>0</v>
      </c>
      <c r="J201" s="4">
        <f>('Account Creation'!G201 - 25569) * 86400</f>
        <v>-2209161600</v>
      </c>
    </row>
    <row r="202" spans="1:10" x14ac:dyDescent="0.25">
      <c r="A202" t="str">
        <f>TRIM('Help Desk'!D202)</f>
        <v/>
      </c>
      <c r="B202" t="str">
        <f>TRIM('Account Creation'!B202)</f>
        <v/>
      </c>
      <c r="C202" t="str">
        <f>TRIM('Account Creation'!D202)</f>
        <v/>
      </c>
      <c r="D202" s="4" t="str">
        <f t="shared" si="7"/>
        <v/>
      </c>
      <c r="E202" t="b">
        <f>IF('Account Creation'!AG202="",FALSE,'Account Creation'!AG202)</f>
        <v>0</v>
      </c>
      <c r="F202" t="b">
        <f>IF('Account Creation'!AH202="",FALSE,'Account Creation'!AH202)</f>
        <v>0</v>
      </c>
      <c r="G202" s="5" t="s">
        <v>544</v>
      </c>
      <c r="H202" t="str">
        <f t="shared" si="6"/>
        <v/>
      </c>
      <c r="I202">
        <f>'VCC_Stores ONLY'!B202</f>
        <v>0</v>
      </c>
      <c r="J202" s="4">
        <f>('Account Creation'!G202 - 25569) * 86400</f>
        <v>-2209161600</v>
      </c>
    </row>
    <row r="203" spans="1:10" x14ac:dyDescent="0.25">
      <c r="A203" t="str">
        <f>TRIM('Help Desk'!D203)</f>
        <v/>
      </c>
      <c r="B203" t="str">
        <f>TRIM('Account Creation'!B203)</f>
        <v/>
      </c>
      <c r="C203" t="str">
        <f>TRIM('Account Creation'!D203)</f>
        <v/>
      </c>
      <c r="D203" s="4" t="str">
        <f t="shared" si="7"/>
        <v/>
      </c>
      <c r="E203" t="b">
        <f>IF('Account Creation'!AG203="",FALSE,'Account Creation'!AG203)</f>
        <v>0</v>
      </c>
      <c r="F203" t="b">
        <f>IF('Account Creation'!AH203="",FALSE,'Account Creation'!AH203)</f>
        <v>0</v>
      </c>
      <c r="G203" s="5" t="s">
        <v>544</v>
      </c>
      <c r="H203" t="str">
        <f t="shared" si="6"/>
        <v/>
      </c>
      <c r="I203">
        <f>'VCC_Stores ONLY'!B203</f>
        <v>0</v>
      </c>
      <c r="J203" s="4">
        <f>('Account Creation'!G203 - 25569) * 86400</f>
        <v>-2209161600</v>
      </c>
    </row>
    <row r="204" spans="1:10" x14ac:dyDescent="0.25">
      <c r="A204" t="str">
        <f>TRIM('Help Desk'!D204)</f>
        <v/>
      </c>
      <c r="B204" t="str">
        <f>TRIM('Account Creation'!B204)</f>
        <v/>
      </c>
      <c r="C204" t="str">
        <f>TRIM('Account Creation'!D204)</f>
        <v/>
      </c>
      <c r="D204" s="4" t="str">
        <f t="shared" si="7"/>
        <v/>
      </c>
      <c r="E204" t="b">
        <f>IF('Account Creation'!AG204="",FALSE,'Account Creation'!AG204)</f>
        <v>0</v>
      </c>
      <c r="F204" t="b">
        <f>IF('Account Creation'!AH204="",FALSE,'Account Creation'!AH204)</f>
        <v>0</v>
      </c>
      <c r="G204" s="5" t="s">
        <v>544</v>
      </c>
      <c r="H204" t="str">
        <f t="shared" si="6"/>
        <v/>
      </c>
      <c r="I204">
        <f>'VCC_Stores ONLY'!B204</f>
        <v>0</v>
      </c>
      <c r="J204" s="4">
        <f>('Account Creation'!G204 - 25569) * 86400</f>
        <v>-2209161600</v>
      </c>
    </row>
    <row r="205" spans="1:10" x14ac:dyDescent="0.25">
      <c r="A205" t="str">
        <f>TRIM('Help Desk'!D205)</f>
        <v/>
      </c>
      <c r="B205" t="str">
        <f>TRIM('Account Creation'!B205)</f>
        <v/>
      </c>
      <c r="C205" t="str">
        <f>TRIM('Account Creation'!D205)</f>
        <v/>
      </c>
      <c r="D205" s="4" t="str">
        <f t="shared" si="7"/>
        <v/>
      </c>
      <c r="E205" t="b">
        <f>IF('Account Creation'!AG205="",FALSE,'Account Creation'!AG205)</f>
        <v>0</v>
      </c>
      <c r="F205" t="b">
        <f>IF('Account Creation'!AH205="",FALSE,'Account Creation'!AH205)</f>
        <v>0</v>
      </c>
      <c r="G205" s="5" t="s">
        <v>544</v>
      </c>
      <c r="H205" t="str">
        <f t="shared" si="6"/>
        <v/>
      </c>
      <c r="I205">
        <f>'VCC_Stores ONLY'!B205</f>
        <v>0</v>
      </c>
      <c r="J205" s="4">
        <f>('Account Creation'!G205 - 25569) * 86400</f>
        <v>-2209161600</v>
      </c>
    </row>
    <row r="206" spans="1:10" x14ac:dyDescent="0.25">
      <c r="A206" t="str">
        <f>TRIM('Help Desk'!D206)</f>
        <v/>
      </c>
      <c r="B206" t="str">
        <f>TRIM('Account Creation'!B206)</f>
        <v/>
      </c>
      <c r="C206" t="str">
        <f>TRIM('Account Creation'!D206)</f>
        <v/>
      </c>
      <c r="D206" s="4" t="str">
        <f t="shared" si="7"/>
        <v/>
      </c>
      <c r="E206" t="b">
        <f>IF('Account Creation'!AG206="",FALSE,'Account Creation'!AG206)</f>
        <v>0</v>
      </c>
      <c r="F206" t="b">
        <f>IF('Account Creation'!AH206="",FALSE,'Account Creation'!AH206)</f>
        <v>0</v>
      </c>
      <c r="G206" s="5" t="s">
        <v>544</v>
      </c>
      <c r="H206" t="str">
        <f t="shared" si="6"/>
        <v/>
      </c>
      <c r="I206">
        <f>'VCC_Stores ONLY'!B206</f>
        <v>0</v>
      </c>
      <c r="J206" s="4">
        <f>('Account Creation'!G206 - 25569) * 86400</f>
        <v>-2209161600</v>
      </c>
    </row>
    <row r="207" spans="1:10" x14ac:dyDescent="0.25">
      <c r="A207" t="str">
        <f>TRIM('Help Desk'!D207)</f>
        <v/>
      </c>
      <c r="B207" t="str">
        <f>TRIM('Account Creation'!B207)</f>
        <v/>
      </c>
      <c r="C207" t="str">
        <f>TRIM('Account Creation'!D207)</f>
        <v/>
      </c>
      <c r="D207" s="4" t="str">
        <f t="shared" si="7"/>
        <v/>
      </c>
      <c r="E207" t="b">
        <f>IF('Account Creation'!AG207="",FALSE,'Account Creation'!AG207)</f>
        <v>0</v>
      </c>
      <c r="F207" t="b">
        <f>IF('Account Creation'!AH207="",FALSE,'Account Creation'!AH207)</f>
        <v>0</v>
      </c>
      <c r="G207" s="5" t="s">
        <v>544</v>
      </c>
      <c r="H207" t="str">
        <f t="shared" si="6"/>
        <v/>
      </c>
      <c r="I207">
        <f>'VCC_Stores ONLY'!B207</f>
        <v>0</v>
      </c>
      <c r="J207" s="4">
        <f>('Account Creation'!G207 - 25569) * 86400</f>
        <v>-2209161600</v>
      </c>
    </row>
    <row r="208" spans="1:10" x14ac:dyDescent="0.25">
      <c r="A208" t="str">
        <f>TRIM('Help Desk'!D208)</f>
        <v/>
      </c>
      <c r="B208" t="str">
        <f>TRIM('Account Creation'!B208)</f>
        <v/>
      </c>
      <c r="C208" t="str">
        <f>TRIM('Account Creation'!D208)</f>
        <v/>
      </c>
      <c r="D208" s="4" t="str">
        <f t="shared" si="7"/>
        <v/>
      </c>
      <c r="E208" t="b">
        <f>IF('Account Creation'!AG208="",FALSE,'Account Creation'!AG208)</f>
        <v>0</v>
      </c>
      <c r="F208" t="b">
        <f>IF('Account Creation'!AH208="",FALSE,'Account Creation'!AH208)</f>
        <v>0</v>
      </c>
      <c r="G208" s="5" t="s">
        <v>544</v>
      </c>
      <c r="H208" t="str">
        <f t="shared" si="6"/>
        <v/>
      </c>
      <c r="I208">
        <f>'VCC_Stores ONLY'!B208</f>
        <v>0</v>
      </c>
      <c r="J208" s="4">
        <f>('Account Creation'!G208 - 25569) * 86400</f>
        <v>-2209161600</v>
      </c>
    </row>
    <row r="209" spans="1:10" x14ac:dyDescent="0.25">
      <c r="A209" t="str">
        <f>TRIM('Help Desk'!D209)</f>
        <v/>
      </c>
      <c r="B209" t="str">
        <f>TRIM('Account Creation'!B209)</f>
        <v/>
      </c>
      <c r="C209" t="str">
        <f>TRIM('Account Creation'!D209)</f>
        <v/>
      </c>
      <c r="D209" s="4" t="str">
        <f t="shared" si="7"/>
        <v/>
      </c>
      <c r="E209" t="b">
        <f>IF('Account Creation'!AG209="",FALSE,'Account Creation'!AG209)</f>
        <v>0</v>
      </c>
      <c r="F209" t="b">
        <f>IF('Account Creation'!AH209="",FALSE,'Account Creation'!AH209)</f>
        <v>0</v>
      </c>
      <c r="G209" s="5" t="s">
        <v>544</v>
      </c>
      <c r="H209" t="str">
        <f t="shared" si="6"/>
        <v/>
      </c>
      <c r="I209">
        <f>'VCC_Stores ONLY'!B209</f>
        <v>0</v>
      </c>
      <c r="J209" s="4">
        <f>('Account Creation'!G209 - 25569) * 86400</f>
        <v>-2209161600</v>
      </c>
    </row>
    <row r="210" spans="1:10" x14ac:dyDescent="0.25">
      <c r="A210" t="str">
        <f>TRIM('Help Desk'!D210)</f>
        <v/>
      </c>
      <c r="B210" t="str">
        <f>TRIM('Account Creation'!B210)</f>
        <v/>
      </c>
      <c r="C210" t="str">
        <f>TRIM('Account Creation'!D210)</f>
        <v/>
      </c>
      <c r="D210" s="4" t="str">
        <f t="shared" si="7"/>
        <v/>
      </c>
      <c r="E210" t="b">
        <f>IF('Account Creation'!AG210="",FALSE,'Account Creation'!AG210)</f>
        <v>0</v>
      </c>
      <c r="F210" t="b">
        <f>IF('Account Creation'!AH210="",FALSE,'Account Creation'!AH210)</f>
        <v>0</v>
      </c>
      <c r="G210" s="5" t="s">
        <v>544</v>
      </c>
      <c r="H210" t="str">
        <f t="shared" si="6"/>
        <v/>
      </c>
      <c r="I210">
        <f>'VCC_Stores ONLY'!B210</f>
        <v>0</v>
      </c>
      <c r="J210" s="4">
        <f>('Account Creation'!G210 - 25569) * 86400</f>
        <v>-2209161600</v>
      </c>
    </row>
    <row r="211" spans="1:10" x14ac:dyDescent="0.25">
      <c r="A211" t="str">
        <f>TRIM('Help Desk'!D211)</f>
        <v/>
      </c>
      <c r="B211" t="str">
        <f>TRIM('Account Creation'!B211)</f>
        <v/>
      </c>
      <c r="C211" t="str">
        <f>TRIM('Account Creation'!D211)</f>
        <v/>
      </c>
      <c r="D211" s="4" t="str">
        <f t="shared" si="7"/>
        <v/>
      </c>
      <c r="E211" t="b">
        <f>IF('Account Creation'!AG211="",FALSE,'Account Creation'!AG211)</f>
        <v>0</v>
      </c>
      <c r="F211" t="b">
        <f>IF('Account Creation'!AH211="",FALSE,'Account Creation'!AH211)</f>
        <v>0</v>
      </c>
      <c r="G211" s="5" t="s">
        <v>544</v>
      </c>
      <c r="H211" t="str">
        <f t="shared" si="6"/>
        <v/>
      </c>
      <c r="I211">
        <f>'VCC_Stores ONLY'!B211</f>
        <v>0</v>
      </c>
      <c r="J211" s="4">
        <f>('Account Creation'!G211 - 25569) * 86400</f>
        <v>-2209161600</v>
      </c>
    </row>
    <row r="212" spans="1:10" x14ac:dyDescent="0.25">
      <c r="A212" t="str">
        <f>TRIM('Help Desk'!D212)</f>
        <v/>
      </c>
      <c r="B212" t="str">
        <f>TRIM('Account Creation'!B212)</f>
        <v/>
      </c>
      <c r="C212" t="str">
        <f>TRIM('Account Creation'!D212)</f>
        <v/>
      </c>
      <c r="D212" s="4" t="str">
        <f t="shared" si="7"/>
        <v/>
      </c>
      <c r="E212" t="b">
        <f>IF('Account Creation'!AG212="",FALSE,'Account Creation'!AG212)</f>
        <v>0</v>
      </c>
      <c r="F212" t="b">
        <f>IF('Account Creation'!AH212="",FALSE,'Account Creation'!AH212)</f>
        <v>0</v>
      </c>
      <c r="G212" s="5" t="s">
        <v>544</v>
      </c>
      <c r="H212" t="str">
        <f t="shared" si="6"/>
        <v/>
      </c>
      <c r="I212">
        <f>'VCC_Stores ONLY'!B212</f>
        <v>0</v>
      </c>
      <c r="J212" s="4">
        <f>('Account Creation'!G212 - 25569) * 86400</f>
        <v>-2209161600</v>
      </c>
    </row>
    <row r="213" spans="1:10" x14ac:dyDescent="0.25">
      <c r="A213" t="str">
        <f>TRIM('Help Desk'!D213)</f>
        <v/>
      </c>
      <c r="B213" t="str">
        <f>TRIM('Account Creation'!B213)</f>
        <v/>
      </c>
      <c r="C213" t="str">
        <f>TRIM('Account Creation'!D213)</f>
        <v/>
      </c>
      <c r="D213" s="4" t="str">
        <f t="shared" si="7"/>
        <v/>
      </c>
      <c r="E213" t="b">
        <f>IF('Account Creation'!AG213="",FALSE,'Account Creation'!AG213)</f>
        <v>0</v>
      </c>
      <c r="F213" t="b">
        <f>IF('Account Creation'!AH213="",FALSE,'Account Creation'!AH213)</f>
        <v>0</v>
      </c>
      <c r="G213" s="5" t="s">
        <v>544</v>
      </c>
      <c r="H213" t="str">
        <f t="shared" si="6"/>
        <v/>
      </c>
      <c r="I213">
        <f>'VCC_Stores ONLY'!B213</f>
        <v>0</v>
      </c>
      <c r="J213" s="4">
        <f>('Account Creation'!G213 - 25569) * 86400</f>
        <v>-2209161600</v>
      </c>
    </row>
    <row r="214" spans="1:10" x14ac:dyDescent="0.25">
      <c r="A214" t="str">
        <f>TRIM('Help Desk'!D214)</f>
        <v/>
      </c>
      <c r="B214" t="str">
        <f>TRIM('Account Creation'!B214)</f>
        <v/>
      </c>
      <c r="C214" t="str">
        <f>TRIM('Account Creation'!D214)</f>
        <v/>
      </c>
      <c r="D214" s="4" t="str">
        <f t="shared" si="7"/>
        <v/>
      </c>
      <c r="E214" t="b">
        <f>IF('Account Creation'!AG214="",FALSE,'Account Creation'!AG214)</f>
        <v>0</v>
      </c>
      <c r="F214" t="b">
        <f>IF('Account Creation'!AH214="",FALSE,'Account Creation'!AH214)</f>
        <v>0</v>
      </c>
      <c r="G214" s="5" t="s">
        <v>544</v>
      </c>
      <c r="H214" t="str">
        <f t="shared" si="6"/>
        <v/>
      </c>
      <c r="I214">
        <f>'VCC_Stores ONLY'!B214</f>
        <v>0</v>
      </c>
      <c r="J214" s="4">
        <f>('Account Creation'!G214 - 25569) * 86400</f>
        <v>-2209161600</v>
      </c>
    </row>
    <row r="215" spans="1:10" x14ac:dyDescent="0.25">
      <c r="A215" t="str">
        <f>TRIM('Help Desk'!D215)</f>
        <v/>
      </c>
      <c r="B215" t="str">
        <f>TRIM('Account Creation'!B215)</f>
        <v/>
      </c>
      <c r="C215" t="str">
        <f>TRIM('Account Creation'!D215)</f>
        <v/>
      </c>
      <c r="D215" s="4" t="str">
        <f t="shared" si="7"/>
        <v/>
      </c>
      <c r="E215" t="b">
        <f>IF('Account Creation'!AG215="",FALSE,'Account Creation'!AG215)</f>
        <v>0</v>
      </c>
      <c r="F215" t="b">
        <f>IF('Account Creation'!AH215="",FALSE,'Account Creation'!AH215)</f>
        <v>0</v>
      </c>
      <c r="G215" s="5" t="s">
        <v>544</v>
      </c>
      <c r="H215" t="str">
        <f t="shared" si="6"/>
        <v/>
      </c>
      <c r="I215">
        <f>'VCC_Stores ONLY'!B215</f>
        <v>0</v>
      </c>
      <c r="J215" s="4">
        <f>('Account Creation'!G215 - 25569) * 86400</f>
        <v>-2209161600</v>
      </c>
    </row>
    <row r="216" spans="1:10" x14ac:dyDescent="0.25">
      <c r="A216" t="str">
        <f>TRIM('Help Desk'!D216)</f>
        <v/>
      </c>
      <c r="B216" t="str">
        <f>TRIM('Account Creation'!B216)</f>
        <v/>
      </c>
      <c r="C216" t="str">
        <f>TRIM('Account Creation'!D216)</f>
        <v/>
      </c>
      <c r="D216" s="4" t="str">
        <f t="shared" si="7"/>
        <v/>
      </c>
      <c r="E216" t="b">
        <f>IF('Account Creation'!AG216="",FALSE,'Account Creation'!AG216)</f>
        <v>0</v>
      </c>
      <c r="F216" t="b">
        <f>IF('Account Creation'!AH216="",FALSE,'Account Creation'!AH216)</f>
        <v>0</v>
      </c>
      <c r="G216" s="5" t="s">
        <v>544</v>
      </c>
      <c r="H216" t="str">
        <f t="shared" si="6"/>
        <v/>
      </c>
      <c r="I216">
        <f>'VCC_Stores ONLY'!B216</f>
        <v>0</v>
      </c>
      <c r="J216" s="4">
        <f>('Account Creation'!G216 - 25569) * 86400</f>
        <v>-2209161600</v>
      </c>
    </row>
    <row r="217" spans="1:10" x14ac:dyDescent="0.25">
      <c r="A217" t="str">
        <f>TRIM('Help Desk'!D217)</f>
        <v/>
      </c>
      <c r="B217" t="str">
        <f>TRIM('Account Creation'!B217)</f>
        <v/>
      </c>
      <c r="C217" t="str">
        <f>TRIM('Account Creation'!D217)</f>
        <v/>
      </c>
      <c r="D217" s="4" t="str">
        <f t="shared" si="7"/>
        <v/>
      </c>
      <c r="E217" t="b">
        <f>IF('Account Creation'!AG217="",FALSE,'Account Creation'!AG217)</f>
        <v>0</v>
      </c>
      <c r="F217" t="b">
        <f>IF('Account Creation'!AH217="",FALSE,'Account Creation'!AH217)</f>
        <v>0</v>
      </c>
      <c r="G217" s="5" t="s">
        <v>544</v>
      </c>
      <c r="H217" t="str">
        <f t="shared" si="6"/>
        <v/>
      </c>
      <c r="I217">
        <f>'VCC_Stores ONLY'!B217</f>
        <v>0</v>
      </c>
      <c r="J217" s="4">
        <f>('Account Creation'!G217 - 25569) * 86400</f>
        <v>-2209161600</v>
      </c>
    </row>
    <row r="218" spans="1:10" x14ac:dyDescent="0.25">
      <c r="A218" t="str">
        <f>TRIM('Help Desk'!D218)</f>
        <v/>
      </c>
      <c r="B218" t="str">
        <f>TRIM('Account Creation'!B218)</f>
        <v/>
      </c>
      <c r="C218" t="str">
        <f>TRIM('Account Creation'!D218)</f>
        <v/>
      </c>
      <c r="D218" s="4" t="str">
        <f t="shared" si="7"/>
        <v/>
      </c>
      <c r="E218" t="b">
        <f>IF('Account Creation'!AG218="",FALSE,'Account Creation'!AG218)</f>
        <v>0</v>
      </c>
      <c r="F218" t="b">
        <f>IF('Account Creation'!AH218="",FALSE,'Account Creation'!AH218)</f>
        <v>0</v>
      </c>
      <c r="G218" s="5" t="s">
        <v>544</v>
      </c>
      <c r="H218" t="str">
        <f t="shared" si="6"/>
        <v/>
      </c>
      <c r="I218">
        <f>'VCC_Stores ONLY'!B218</f>
        <v>0</v>
      </c>
      <c r="J218" s="4">
        <f>('Account Creation'!G218 - 25569) * 86400</f>
        <v>-2209161600</v>
      </c>
    </row>
    <row r="219" spans="1:10" x14ac:dyDescent="0.25">
      <c r="A219" t="str">
        <f>TRIM('Help Desk'!D219)</f>
        <v/>
      </c>
      <c r="B219" t="str">
        <f>TRIM('Account Creation'!B219)</f>
        <v/>
      </c>
      <c r="C219" t="str">
        <f>TRIM('Account Creation'!D219)</f>
        <v/>
      </c>
      <c r="D219" s="4" t="str">
        <f t="shared" si="7"/>
        <v/>
      </c>
      <c r="E219" t="b">
        <f>IF('Account Creation'!AG219="",FALSE,'Account Creation'!AG219)</f>
        <v>0</v>
      </c>
      <c r="F219" t="b">
        <f>IF('Account Creation'!AH219="",FALSE,'Account Creation'!AH219)</f>
        <v>0</v>
      </c>
      <c r="G219" s="5" t="s">
        <v>544</v>
      </c>
      <c r="H219" t="str">
        <f t="shared" si="6"/>
        <v/>
      </c>
      <c r="I219">
        <f>'VCC_Stores ONLY'!B219</f>
        <v>0</v>
      </c>
      <c r="J219" s="4">
        <f>('Account Creation'!G219 - 25569) * 86400</f>
        <v>-2209161600</v>
      </c>
    </row>
    <row r="220" spans="1:10" x14ac:dyDescent="0.25">
      <c r="A220" t="str">
        <f>TRIM('Help Desk'!D220)</f>
        <v/>
      </c>
      <c r="B220" t="str">
        <f>TRIM('Account Creation'!B220)</f>
        <v/>
      </c>
      <c r="C220" t="str">
        <f>TRIM('Account Creation'!D220)</f>
        <v/>
      </c>
      <c r="D220" s="4" t="str">
        <f t="shared" si="7"/>
        <v/>
      </c>
      <c r="E220" t="b">
        <f>IF('Account Creation'!AG220="",FALSE,'Account Creation'!AG220)</f>
        <v>0</v>
      </c>
      <c r="F220" t="b">
        <f>IF('Account Creation'!AH220="",FALSE,'Account Creation'!AH220)</f>
        <v>0</v>
      </c>
      <c r="G220" s="5" t="s">
        <v>544</v>
      </c>
      <c r="H220" t="str">
        <f t="shared" si="6"/>
        <v/>
      </c>
      <c r="I220">
        <f>'VCC_Stores ONLY'!B220</f>
        <v>0</v>
      </c>
      <c r="J220" s="4">
        <f>('Account Creation'!G220 - 25569) * 86400</f>
        <v>-2209161600</v>
      </c>
    </row>
    <row r="221" spans="1:10" x14ac:dyDescent="0.25">
      <c r="A221" t="str">
        <f>TRIM('Help Desk'!D221)</f>
        <v/>
      </c>
      <c r="B221" t="str">
        <f>TRIM('Account Creation'!B221)</f>
        <v/>
      </c>
      <c r="C221" t="str">
        <f>TRIM('Account Creation'!D221)</f>
        <v/>
      </c>
      <c r="D221" s="4" t="str">
        <f t="shared" si="7"/>
        <v/>
      </c>
      <c r="E221" t="b">
        <f>IF('Account Creation'!AG221="",FALSE,'Account Creation'!AG221)</f>
        <v>0</v>
      </c>
      <c r="F221" t="b">
        <f>IF('Account Creation'!AH221="",FALSE,'Account Creation'!AH221)</f>
        <v>0</v>
      </c>
      <c r="G221" s="5" t="s">
        <v>544</v>
      </c>
      <c r="H221" t="str">
        <f t="shared" si="6"/>
        <v/>
      </c>
      <c r="I221">
        <f>'VCC_Stores ONLY'!B221</f>
        <v>0</v>
      </c>
      <c r="J221" s="4">
        <f>('Account Creation'!G221 - 25569) * 86400</f>
        <v>-2209161600</v>
      </c>
    </row>
    <row r="222" spans="1:10" x14ac:dyDescent="0.25">
      <c r="A222" t="str">
        <f>TRIM('Help Desk'!D222)</f>
        <v/>
      </c>
      <c r="B222" t="str">
        <f>TRIM('Account Creation'!B222)</f>
        <v/>
      </c>
      <c r="C222" t="str">
        <f>TRIM('Account Creation'!D222)</f>
        <v/>
      </c>
      <c r="D222" s="4" t="str">
        <f t="shared" si="7"/>
        <v/>
      </c>
      <c r="E222" t="b">
        <f>IF('Account Creation'!AG222="",FALSE,'Account Creation'!AG222)</f>
        <v>0</v>
      </c>
      <c r="F222" t="b">
        <f>IF('Account Creation'!AH222="",FALSE,'Account Creation'!AH222)</f>
        <v>0</v>
      </c>
      <c r="G222" s="5" t="s">
        <v>544</v>
      </c>
      <c r="H222" t="str">
        <f t="shared" si="6"/>
        <v/>
      </c>
      <c r="I222">
        <f>'VCC_Stores ONLY'!B222</f>
        <v>0</v>
      </c>
      <c r="J222" s="4">
        <f>('Account Creation'!G222 - 25569) * 86400</f>
        <v>-2209161600</v>
      </c>
    </row>
    <row r="223" spans="1:10" x14ac:dyDescent="0.25">
      <c r="A223" t="str">
        <f>TRIM('Help Desk'!D223)</f>
        <v/>
      </c>
      <c r="B223" t="str">
        <f>TRIM('Account Creation'!B223)</f>
        <v/>
      </c>
      <c r="C223" t="str">
        <f>TRIM('Account Creation'!D223)</f>
        <v/>
      </c>
      <c r="D223" s="4" t="str">
        <f t="shared" si="7"/>
        <v/>
      </c>
      <c r="E223" t="b">
        <f>IF('Account Creation'!AG223="",FALSE,'Account Creation'!AG223)</f>
        <v>0</v>
      </c>
      <c r="F223" t="b">
        <f>IF('Account Creation'!AH223="",FALSE,'Account Creation'!AH223)</f>
        <v>0</v>
      </c>
      <c r="G223" s="5" t="s">
        <v>544</v>
      </c>
      <c r="H223" t="str">
        <f t="shared" si="6"/>
        <v/>
      </c>
      <c r="I223">
        <f>'VCC_Stores ONLY'!B223</f>
        <v>0</v>
      </c>
      <c r="J223" s="4">
        <f>('Account Creation'!G223 - 25569) * 86400</f>
        <v>-2209161600</v>
      </c>
    </row>
    <row r="224" spans="1:10" x14ac:dyDescent="0.25">
      <c r="A224" t="str">
        <f>TRIM('Help Desk'!D224)</f>
        <v/>
      </c>
      <c r="B224" t="str">
        <f>TRIM('Account Creation'!B224)</f>
        <v/>
      </c>
      <c r="C224" t="str">
        <f>TRIM('Account Creation'!D224)</f>
        <v/>
      </c>
      <c r="D224" s="4" t="str">
        <f t="shared" si="7"/>
        <v/>
      </c>
      <c r="E224" t="b">
        <f>IF('Account Creation'!AG224="",FALSE,'Account Creation'!AG224)</f>
        <v>0</v>
      </c>
      <c r="F224" t="b">
        <f>IF('Account Creation'!AH224="",FALSE,'Account Creation'!AH224)</f>
        <v>0</v>
      </c>
      <c r="G224" s="5" t="s">
        <v>544</v>
      </c>
      <c r="H224" t="str">
        <f t="shared" si="6"/>
        <v/>
      </c>
      <c r="I224">
        <f>'VCC_Stores ONLY'!B224</f>
        <v>0</v>
      </c>
      <c r="J224" s="4">
        <f>('Account Creation'!G224 - 25569) * 86400</f>
        <v>-2209161600</v>
      </c>
    </row>
    <row r="225" spans="1:10" x14ac:dyDescent="0.25">
      <c r="A225" t="str">
        <f>TRIM('Help Desk'!D225)</f>
        <v/>
      </c>
      <c r="B225" t="str">
        <f>TRIM('Account Creation'!B225)</f>
        <v/>
      </c>
      <c r="C225" t="str">
        <f>TRIM('Account Creation'!D225)</f>
        <v/>
      </c>
      <c r="D225" s="4" t="str">
        <f t="shared" si="7"/>
        <v/>
      </c>
      <c r="E225" t="b">
        <f>IF('Account Creation'!AG225="",FALSE,'Account Creation'!AG225)</f>
        <v>0</v>
      </c>
      <c r="F225" t="b">
        <f>IF('Account Creation'!AH225="",FALSE,'Account Creation'!AH225)</f>
        <v>0</v>
      </c>
      <c r="G225" s="5" t="s">
        <v>544</v>
      </c>
      <c r="H225" t="str">
        <f t="shared" si="6"/>
        <v/>
      </c>
      <c r="I225">
        <f>'VCC_Stores ONLY'!B225</f>
        <v>0</v>
      </c>
      <c r="J225" s="4">
        <f>('Account Creation'!G225 - 25569) * 86400</f>
        <v>-2209161600</v>
      </c>
    </row>
    <row r="226" spans="1:10" x14ac:dyDescent="0.25">
      <c r="A226" t="str">
        <f>TRIM('Help Desk'!D226)</f>
        <v/>
      </c>
      <c r="B226" t="str">
        <f>TRIM('Account Creation'!B226)</f>
        <v/>
      </c>
      <c r="C226" t="str">
        <f>TRIM('Account Creation'!D226)</f>
        <v/>
      </c>
      <c r="D226" s="4" t="str">
        <f t="shared" si="7"/>
        <v/>
      </c>
      <c r="E226" t="b">
        <f>IF('Account Creation'!AG226="",FALSE,'Account Creation'!AG226)</f>
        <v>0</v>
      </c>
      <c r="F226" t="b">
        <f>IF('Account Creation'!AH226="",FALSE,'Account Creation'!AH226)</f>
        <v>0</v>
      </c>
      <c r="G226" s="5" t="s">
        <v>544</v>
      </c>
      <c r="H226" t="str">
        <f t="shared" si="6"/>
        <v/>
      </c>
      <c r="I226">
        <f>'VCC_Stores ONLY'!B226</f>
        <v>0</v>
      </c>
      <c r="J226" s="4">
        <f>('Account Creation'!G226 - 25569) * 86400</f>
        <v>-2209161600</v>
      </c>
    </row>
    <row r="227" spans="1:10" x14ac:dyDescent="0.25">
      <c r="A227" t="str">
        <f>TRIM('Help Desk'!D227)</f>
        <v/>
      </c>
      <c r="B227" t="str">
        <f>TRIM('Account Creation'!B227)</f>
        <v/>
      </c>
      <c r="C227" t="str">
        <f>TRIM('Account Creation'!D227)</f>
        <v/>
      </c>
      <c r="D227" s="4" t="str">
        <f t="shared" si="7"/>
        <v/>
      </c>
      <c r="E227" t="b">
        <f>IF('Account Creation'!AG227="",FALSE,'Account Creation'!AG227)</f>
        <v>0</v>
      </c>
      <c r="F227" t="b">
        <f>IF('Account Creation'!AH227="",FALSE,'Account Creation'!AH227)</f>
        <v>0</v>
      </c>
      <c r="G227" s="5" t="s">
        <v>544</v>
      </c>
      <c r="H227" t="str">
        <f t="shared" si="6"/>
        <v/>
      </c>
      <c r="I227">
        <f>'VCC_Stores ONLY'!B227</f>
        <v>0</v>
      </c>
      <c r="J227" s="4">
        <f>('Account Creation'!G227 - 25569) * 86400</f>
        <v>-2209161600</v>
      </c>
    </row>
    <row r="228" spans="1:10" x14ac:dyDescent="0.25">
      <c r="A228" t="str">
        <f>TRIM('Help Desk'!D228)</f>
        <v/>
      </c>
      <c r="B228" t="str">
        <f>TRIM('Account Creation'!B228)</f>
        <v/>
      </c>
      <c r="C228" t="str">
        <f>TRIM('Account Creation'!D228)</f>
        <v/>
      </c>
      <c r="D228" s="4" t="str">
        <f t="shared" si="7"/>
        <v/>
      </c>
      <c r="E228" t="b">
        <f>IF('Account Creation'!AG228="",FALSE,'Account Creation'!AG228)</f>
        <v>0</v>
      </c>
      <c r="F228" t="b">
        <f>IF('Account Creation'!AH228="",FALSE,'Account Creation'!AH228)</f>
        <v>0</v>
      </c>
      <c r="G228" s="5" t="s">
        <v>544</v>
      </c>
      <c r="H228" t="str">
        <f t="shared" si="6"/>
        <v/>
      </c>
      <c r="I228">
        <f>'VCC_Stores ONLY'!B228</f>
        <v>0</v>
      </c>
      <c r="J228" s="4">
        <f>('Account Creation'!G228 - 25569) * 86400</f>
        <v>-2209161600</v>
      </c>
    </row>
    <row r="229" spans="1:10" x14ac:dyDescent="0.25">
      <c r="A229" t="str">
        <f>TRIM('Help Desk'!D229)</f>
        <v/>
      </c>
      <c r="B229" t="str">
        <f>TRIM('Account Creation'!B229)</f>
        <v/>
      </c>
      <c r="C229" t="str">
        <f>TRIM('Account Creation'!D229)</f>
        <v/>
      </c>
      <c r="D229" s="4" t="str">
        <f t="shared" si="7"/>
        <v/>
      </c>
      <c r="E229" t="b">
        <f>IF('Account Creation'!AG229="",FALSE,'Account Creation'!AG229)</f>
        <v>0</v>
      </c>
      <c r="F229" t="b">
        <f>IF('Account Creation'!AH229="",FALSE,'Account Creation'!AH229)</f>
        <v>0</v>
      </c>
      <c r="G229" s="5" t="s">
        <v>544</v>
      </c>
      <c r="H229" t="str">
        <f t="shared" si="6"/>
        <v/>
      </c>
      <c r="I229">
        <f>'VCC_Stores ONLY'!B229</f>
        <v>0</v>
      </c>
      <c r="J229" s="4">
        <f>('Account Creation'!G229 - 25569) * 86400</f>
        <v>-2209161600</v>
      </c>
    </row>
    <row r="230" spans="1:10" x14ac:dyDescent="0.25">
      <c r="A230" t="str">
        <f>TRIM('Help Desk'!D230)</f>
        <v/>
      </c>
      <c r="B230" t="str">
        <f>TRIM('Account Creation'!B230)</f>
        <v/>
      </c>
      <c r="C230" t="str">
        <f>TRIM('Account Creation'!D230)</f>
        <v/>
      </c>
      <c r="D230" s="4" t="str">
        <f t="shared" si="7"/>
        <v/>
      </c>
      <c r="E230" t="b">
        <f>IF('Account Creation'!AG230="",FALSE,'Account Creation'!AG230)</f>
        <v>0</v>
      </c>
      <c r="F230" t="b">
        <f>IF('Account Creation'!AH230="",FALSE,'Account Creation'!AH230)</f>
        <v>0</v>
      </c>
      <c r="G230" s="5" t="s">
        <v>544</v>
      </c>
      <c r="H230" t="str">
        <f t="shared" si="6"/>
        <v/>
      </c>
      <c r="I230">
        <f>'VCC_Stores ONLY'!B230</f>
        <v>0</v>
      </c>
      <c r="J230" s="4">
        <f>('Account Creation'!G230 - 25569) * 86400</f>
        <v>-2209161600</v>
      </c>
    </row>
    <row r="231" spans="1:10" x14ac:dyDescent="0.25">
      <c r="A231" t="str">
        <f>TRIM('Help Desk'!D231)</f>
        <v/>
      </c>
      <c r="B231" t="str">
        <f>TRIM('Account Creation'!B231)</f>
        <v/>
      </c>
      <c r="C231" t="str">
        <f>TRIM('Account Creation'!D231)</f>
        <v/>
      </c>
      <c r="D231" s="4" t="str">
        <f t="shared" si="7"/>
        <v/>
      </c>
      <c r="E231" t="b">
        <f>IF('Account Creation'!AG231="",FALSE,'Account Creation'!AG231)</f>
        <v>0</v>
      </c>
      <c r="F231" t="b">
        <f>IF('Account Creation'!AH231="",FALSE,'Account Creation'!AH231)</f>
        <v>0</v>
      </c>
      <c r="G231" s="5" t="s">
        <v>544</v>
      </c>
      <c r="H231" t="str">
        <f t="shared" si="6"/>
        <v/>
      </c>
      <c r="I231">
        <f>'VCC_Stores ONLY'!B231</f>
        <v>0</v>
      </c>
      <c r="J231" s="4">
        <f>('Account Creation'!G231 - 25569) * 86400</f>
        <v>-2209161600</v>
      </c>
    </row>
    <row r="232" spans="1:10" x14ac:dyDescent="0.25">
      <c r="A232" t="str">
        <f>TRIM('Help Desk'!D232)</f>
        <v/>
      </c>
      <c r="B232" t="str">
        <f>TRIM('Account Creation'!B232)</f>
        <v/>
      </c>
      <c r="C232" t="str">
        <f>TRIM('Account Creation'!D232)</f>
        <v/>
      </c>
      <c r="D232" s="4" t="str">
        <f t="shared" si="7"/>
        <v/>
      </c>
      <c r="E232" t="b">
        <f>IF('Account Creation'!AG232="",FALSE,'Account Creation'!AG232)</f>
        <v>0</v>
      </c>
      <c r="F232" t="b">
        <f>IF('Account Creation'!AH232="",FALSE,'Account Creation'!AH232)</f>
        <v>0</v>
      </c>
      <c r="G232" s="5" t="s">
        <v>544</v>
      </c>
      <c r="H232" t="str">
        <f t="shared" si="6"/>
        <v/>
      </c>
      <c r="I232">
        <f>'VCC_Stores ONLY'!B232</f>
        <v>0</v>
      </c>
      <c r="J232" s="4">
        <f>('Account Creation'!G232 - 25569) * 86400</f>
        <v>-2209161600</v>
      </c>
    </row>
    <row r="233" spans="1:10" x14ac:dyDescent="0.25">
      <c r="A233" t="str">
        <f>TRIM('Help Desk'!D233)</f>
        <v/>
      </c>
      <c r="B233" t="str">
        <f>TRIM('Account Creation'!B233)</f>
        <v/>
      </c>
      <c r="C233" t="str">
        <f>TRIM('Account Creation'!D233)</f>
        <v/>
      </c>
      <c r="D233" s="4" t="str">
        <f t="shared" si="7"/>
        <v/>
      </c>
      <c r="E233" t="b">
        <f>IF('Account Creation'!AG233="",FALSE,'Account Creation'!AG233)</f>
        <v>0</v>
      </c>
      <c r="F233" t="b">
        <f>IF('Account Creation'!AH233="",FALSE,'Account Creation'!AH233)</f>
        <v>0</v>
      </c>
      <c r="G233" s="5" t="s">
        <v>544</v>
      </c>
      <c r="H233" t="str">
        <f t="shared" si="6"/>
        <v/>
      </c>
      <c r="I233">
        <f>'VCC_Stores ONLY'!B233</f>
        <v>0</v>
      </c>
      <c r="J233" s="4">
        <f>('Account Creation'!G233 - 25569) * 86400</f>
        <v>-2209161600</v>
      </c>
    </row>
    <row r="234" spans="1:10" x14ac:dyDescent="0.25">
      <c r="A234" t="str">
        <f>TRIM('Help Desk'!D234)</f>
        <v/>
      </c>
      <c r="B234" t="str">
        <f>TRIM('Account Creation'!B234)</f>
        <v/>
      </c>
      <c r="C234" t="str">
        <f>TRIM('Account Creation'!D234)</f>
        <v/>
      </c>
      <c r="D234" s="4" t="str">
        <f t="shared" si="7"/>
        <v/>
      </c>
      <c r="E234" t="b">
        <f>IF('Account Creation'!AG234="",FALSE,'Account Creation'!AG234)</f>
        <v>0</v>
      </c>
      <c r="F234" t="b">
        <f>IF('Account Creation'!AH234="",FALSE,'Account Creation'!AH234)</f>
        <v>0</v>
      </c>
      <c r="G234" s="5" t="s">
        <v>544</v>
      </c>
      <c r="H234" t="str">
        <f t="shared" si="6"/>
        <v/>
      </c>
      <c r="I234">
        <f>'VCC_Stores ONLY'!B234</f>
        <v>0</v>
      </c>
      <c r="J234" s="4">
        <f>('Account Creation'!G234 - 25569) * 86400</f>
        <v>-2209161600</v>
      </c>
    </row>
    <row r="235" spans="1:10" x14ac:dyDescent="0.25">
      <c r="A235" t="str">
        <f>TRIM('Help Desk'!D235)</f>
        <v/>
      </c>
      <c r="B235" t="str">
        <f>TRIM('Account Creation'!B235)</f>
        <v/>
      </c>
      <c r="C235" t="str">
        <f>TRIM('Account Creation'!D235)</f>
        <v/>
      </c>
      <c r="D235" s="4" t="str">
        <f t="shared" si="7"/>
        <v/>
      </c>
      <c r="E235" t="b">
        <f>IF('Account Creation'!AG235="",FALSE,'Account Creation'!AG235)</f>
        <v>0</v>
      </c>
      <c r="F235" t="b">
        <f>IF('Account Creation'!AH235="",FALSE,'Account Creation'!AH235)</f>
        <v>0</v>
      </c>
      <c r="G235" s="5" t="s">
        <v>544</v>
      </c>
      <c r="H235" t="str">
        <f t="shared" si="6"/>
        <v/>
      </c>
      <c r="I235">
        <f>'VCC_Stores ONLY'!B235</f>
        <v>0</v>
      </c>
      <c r="J235" s="4">
        <f>('Account Creation'!G235 - 25569) * 86400</f>
        <v>-2209161600</v>
      </c>
    </row>
    <row r="236" spans="1:10" x14ac:dyDescent="0.25">
      <c r="A236" t="str">
        <f>TRIM('Help Desk'!D236)</f>
        <v/>
      </c>
      <c r="B236" t="str">
        <f>TRIM('Account Creation'!B236)</f>
        <v/>
      </c>
      <c r="C236" t="str">
        <f>TRIM('Account Creation'!D236)</f>
        <v/>
      </c>
      <c r="D236" s="4" t="str">
        <f t="shared" si="7"/>
        <v/>
      </c>
      <c r="E236" t="b">
        <f>IF('Account Creation'!AG236="",FALSE,'Account Creation'!AG236)</f>
        <v>0</v>
      </c>
      <c r="F236" t="b">
        <f>IF('Account Creation'!AH236="",FALSE,'Account Creation'!AH236)</f>
        <v>0</v>
      </c>
      <c r="G236" s="5" t="s">
        <v>544</v>
      </c>
      <c r="H236" t="str">
        <f t="shared" si="6"/>
        <v/>
      </c>
      <c r="I236">
        <f>'VCC_Stores ONLY'!B236</f>
        <v>0</v>
      </c>
      <c r="J236" s="4">
        <f>('Account Creation'!G236 - 25569) * 86400</f>
        <v>-2209161600</v>
      </c>
    </row>
    <row r="237" spans="1:10" x14ac:dyDescent="0.25">
      <c r="A237" t="str">
        <f>TRIM('Help Desk'!D237)</f>
        <v/>
      </c>
      <c r="B237" t="str">
        <f>TRIM('Account Creation'!B237)</f>
        <v/>
      </c>
      <c r="C237" t="str">
        <f>TRIM('Account Creation'!D237)</f>
        <v/>
      </c>
      <c r="D237" s="4" t="str">
        <f t="shared" si="7"/>
        <v/>
      </c>
      <c r="E237" t="b">
        <f>IF('Account Creation'!AG237="",FALSE,'Account Creation'!AG237)</f>
        <v>0</v>
      </c>
      <c r="F237" t="b">
        <f>IF('Account Creation'!AH237="",FALSE,'Account Creation'!AH237)</f>
        <v>0</v>
      </c>
      <c r="G237" s="5" t="s">
        <v>544</v>
      </c>
      <c r="H237" t="str">
        <f t="shared" si="6"/>
        <v/>
      </c>
      <c r="I237">
        <f>'VCC_Stores ONLY'!B237</f>
        <v>0</v>
      </c>
      <c r="J237" s="4">
        <f>('Account Creation'!G237 - 25569) * 86400</f>
        <v>-2209161600</v>
      </c>
    </row>
    <row r="238" spans="1:10" x14ac:dyDescent="0.25">
      <c r="A238" t="str">
        <f>TRIM('Help Desk'!D238)</f>
        <v/>
      </c>
      <c r="B238" t="str">
        <f>TRIM('Account Creation'!B238)</f>
        <v/>
      </c>
      <c r="C238" t="str">
        <f>TRIM('Account Creation'!D238)</f>
        <v/>
      </c>
      <c r="D238" s="4" t="str">
        <f t="shared" si="7"/>
        <v/>
      </c>
      <c r="E238" t="b">
        <f>IF('Account Creation'!AG238="",FALSE,'Account Creation'!AG238)</f>
        <v>0</v>
      </c>
      <c r="F238" t="b">
        <f>IF('Account Creation'!AH238="",FALSE,'Account Creation'!AH238)</f>
        <v>0</v>
      </c>
      <c r="G238" s="5" t="s">
        <v>544</v>
      </c>
      <c r="H238" t="str">
        <f t="shared" si="6"/>
        <v/>
      </c>
      <c r="I238">
        <f>'VCC_Stores ONLY'!B238</f>
        <v>0</v>
      </c>
      <c r="J238" s="4">
        <f>('Account Creation'!G238 - 25569) * 86400</f>
        <v>-2209161600</v>
      </c>
    </row>
    <row r="239" spans="1:10" x14ac:dyDescent="0.25">
      <c r="A239" t="str">
        <f>TRIM('Help Desk'!D239)</f>
        <v/>
      </c>
      <c r="B239" t="str">
        <f>TRIM('Account Creation'!B239)</f>
        <v/>
      </c>
      <c r="C239" t="str">
        <f>TRIM('Account Creation'!D239)</f>
        <v/>
      </c>
      <c r="D239" s="4" t="str">
        <f t="shared" si="7"/>
        <v/>
      </c>
      <c r="E239" t="b">
        <f>IF('Account Creation'!AG239="",FALSE,'Account Creation'!AG239)</f>
        <v>0</v>
      </c>
      <c r="F239" t="b">
        <f>IF('Account Creation'!AH239="",FALSE,'Account Creation'!AH239)</f>
        <v>0</v>
      </c>
      <c r="G239" s="5" t="s">
        <v>544</v>
      </c>
      <c r="H239" t="str">
        <f t="shared" si="6"/>
        <v/>
      </c>
      <c r="I239">
        <f>'VCC_Stores ONLY'!B239</f>
        <v>0</v>
      </c>
      <c r="J239" s="4">
        <f>('Account Creation'!G239 - 25569) * 86400</f>
        <v>-2209161600</v>
      </c>
    </row>
    <row r="240" spans="1:10" x14ac:dyDescent="0.25">
      <c r="A240" t="str">
        <f>TRIM('Help Desk'!D240)</f>
        <v/>
      </c>
      <c r="B240" t="str">
        <f>TRIM('Account Creation'!B240)</f>
        <v/>
      </c>
      <c r="C240" t="str">
        <f>TRIM('Account Creation'!D240)</f>
        <v/>
      </c>
      <c r="D240" s="4" t="str">
        <f t="shared" si="7"/>
        <v/>
      </c>
      <c r="E240" t="b">
        <f>IF('Account Creation'!AG240="",FALSE,'Account Creation'!AG240)</f>
        <v>0</v>
      </c>
      <c r="F240" t="b">
        <f>IF('Account Creation'!AH240="",FALSE,'Account Creation'!AH240)</f>
        <v>0</v>
      </c>
      <c r="G240" s="5" t="s">
        <v>544</v>
      </c>
      <c r="H240" t="str">
        <f t="shared" si="6"/>
        <v/>
      </c>
      <c r="I240">
        <f>'VCC_Stores ONLY'!B240</f>
        <v>0</v>
      </c>
      <c r="J240" s="4">
        <f>('Account Creation'!G240 - 25569) * 86400</f>
        <v>-2209161600</v>
      </c>
    </row>
    <row r="241" spans="1:10" x14ac:dyDescent="0.25">
      <c r="A241" t="str">
        <f>TRIM('Help Desk'!D241)</f>
        <v/>
      </c>
      <c r="B241" t="str">
        <f>TRIM('Account Creation'!B241)</f>
        <v/>
      </c>
      <c r="C241" t="str">
        <f>TRIM('Account Creation'!D241)</f>
        <v/>
      </c>
      <c r="D241" s="4" t="str">
        <f t="shared" si="7"/>
        <v/>
      </c>
      <c r="E241" t="b">
        <f>IF('Account Creation'!AG241="",FALSE,'Account Creation'!AG241)</f>
        <v>0</v>
      </c>
      <c r="F241" t="b">
        <f>IF('Account Creation'!AH241="",FALSE,'Account Creation'!AH241)</f>
        <v>0</v>
      </c>
      <c r="G241" s="5" t="s">
        <v>544</v>
      </c>
      <c r="H241" t="str">
        <f t="shared" si="6"/>
        <v/>
      </c>
      <c r="I241">
        <f>'VCC_Stores ONLY'!B241</f>
        <v>0</v>
      </c>
      <c r="J241" s="4">
        <f>('Account Creation'!G241 - 25569) * 86400</f>
        <v>-2209161600</v>
      </c>
    </row>
    <row r="242" spans="1:10" x14ac:dyDescent="0.25">
      <c r="A242" t="str">
        <f>TRIM('Help Desk'!D242)</f>
        <v/>
      </c>
      <c r="B242" t="str">
        <f>TRIM('Account Creation'!B242)</f>
        <v/>
      </c>
      <c r="C242" t="str">
        <f>TRIM('Account Creation'!D242)</f>
        <v/>
      </c>
      <c r="D242" s="4" t="str">
        <f t="shared" si="7"/>
        <v/>
      </c>
      <c r="E242" t="b">
        <f>IF('Account Creation'!AG242="",FALSE,'Account Creation'!AG242)</f>
        <v>0</v>
      </c>
      <c r="F242" t="b">
        <f>IF('Account Creation'!AH242="",FALSE,'Account Creation'!AH242)</f>
        <v>0</v>
      </c>
      <c r="G242" s="5" t="s">
        <v>544</v>
      </c>
      <c r="H242" t="str">
        <f t="shared" si="6"/>
        <v/>
      </c>
      <c r="I242">
        <f>'VCC_Stores ONLY'!B242</f>
        <v>0</v>
      </c>
      <c r="J242" s="4">
        <f>('Account Creation'!G242 - 25569) * 86400</f>
        <v>-2209161600</v>
      </c>
    </row>
    <row r="243" spans="1:10" x14ac:dyDescent="0.25">
      <c r="A243" t="str">
        <f>TRIM('Help Desk'!D243)</f>
        <v/>
      </c>
      <c r="B243" t="str">
        <f>TRIM('Account Creation'!B243)</f>
        <v/>
      </c>
      <c r="C243" t="str">
        <f>TRIM('Account Creation'!D243)</f>
        <v/>
      </c>
      <c r="D243" s="4" t="str">
        <f t="shared" si="7"/>
        <v/>
      </c>
      <c r="E243" t="b">
        <f>IF('Account Creation'!AG243="",FALSE,'Account Creation'!AG243)</f>
        <v>0</v>
      </c>
      <c r="F243" t="b">
        <f>IF('Account Creation'!AH243="",FALSE,'Account Creation'!AH243)</f>
        <v>0</v>
      </c>
      <c r="G243" s="5" t="s">
        <v>544</v>
      </c>
      <c r="H243" t="str">
        <f t="shared" si="6"/>
        <v/>
      </c>
      <c r="I243">
        <f>'VCC_Stores ONLY'!B243</f>
        <v>0</v>
      </c>
      <c r="J243" s="4">
        <f>('Account Creation'!G243 - 25569) * 86400</f>
        <v>-2209161600</v>
      </c>
    </row>
    <row r="244" spans="1:10" x14ac:dyDescent="0.25">
      <c r="A244" t="str">
        <f>TRIM('Help Desk'!D244)</f>
        <v/>
      </c>
      <c r="B244" t="str">
        <f>TRIM('Account Creation'!B244)</f>
        <v/>
      </c>
      <c r="C244" t="str">
        <f>TRIM('Account Creation'!D244)</f>
        <v/>
      </c>
      <c r="D244" s="4" t="str">
        <f t="shared" si="7"/>
        <v/>
      </c>
      <c r="E244" t="b">
        <f>IF('Account Creation'!AG244="",FALSE,'Account Creation'!AG244)</f>
        <v>0</v>
      </c>
      <c r="F244" t="b">
        <f>IF('Account Creation'!AH244="",FALSE,'Account Creation'!AH244)</f>
        <v>0</v>
      </c>
      <c r="G244" s="5" t="s">
        <v>544</v>
      </c>
      <c r="H244" t="str">
        <f t="shared" si="6"/>
        <v/>
      </c>
      <c r="I244">
        <f>'VCC_Stores ONLY'!B244</f>
        <v>0</v>
      </c>
      <c r="J244" s="4">
        <f>('Account Creation'!G244 - 25569) * 86400</f>
        <v>-2209161600</v>
      </c>
    </row>
    <row r="245" spans="1:10" x14ac:dyDescent="0.25">
      <c r="A245" t="str">
        <f>TRIM('Help Desk'!D245)</f>
        <v/>
      </c>
      <c r="B245" t="str">
        <f>TRIM('Account Creation'!B245)</f>
        <v/>
      </c>
      <c r="C245" t="str">
        <f>TRIM('Account Creation'!D245)</f>
        <v/>
      </c>
      <c r="D245" s="4" t="str">
        <f t="shared" si="7"/>
        <v/>
      </c>
      <c r="E245" t="b">
        <f>IF('Account Creation'!AG245="",FALSE,'Account Creation'!AG245)</f>
        <v>0</v>
      </c>
      <c r="F245" t="b">
        <f>IF('Account Creation'!AH245="",FALSE,'Account Creation'!AH245)</f>
        <v>0</v>
      </c>
      <c r="G245" s="5" t="s">
        <v>544</v>
      </c>
      <c r="H245" t="str">
        <f t="shared" si="6"/>
        <v/>
      </c>
      <c r="I245">
        <f>'VCC_Stores ONLY'!B245</f>
        <v>0</v>
      </c>
      <c r="J245" s="4">
        <f>('Account Creation'!G245 - 25569) * 86400</f>
        <v>-2209161600</v>
      </c>
    </row>
    <row r="246" spans="1:10" x14ac:dyDescent="0.25">
      <c r="A246" t="str">
        <f>TRIM('Help Desk'!D246)</f>
        <v/>
      </c>
      <c r="B246" t="str">
        <f>TRIM('Account Creation'!B246)</f>
        <v/>
      </c>
      <c r="C246" t="str">
        <f>TRIM('Account Creation'!D246)</f>
        <v/>
      </c>
      <c r="D246" s="4" t="str">
        <f t="shared" si="7"/>
        <v/>
      </c>
      <c r="E246" t="b">
        <f>IF('Account Creation'!AG246="",FALSE,'Account Creation'!AG246)</f>
        <v>0</v>
      </c>
      <c r="F246" t="b">
        <f>IF('Account Creation'!AH246="",FALSE,'Account Creation'!AH246)</f>
        <v>0</v>
      </c>
      <c r="G246" s="5" t="s">
        <v>544</v>
      </c>
      <c r="H246" t="str">
        <f t="shared" si="6"/>
        <v/>
      </c>
      <c r="I246">
        <f>'VCC_Stores ONLY'!B246</f>
        <v>0</v>
      </c>
      <c r="J246" s="4">
        <f>('Account Creation'!G246 - 25569) * 86400</f>
        <v>-2209161600</v>
      </c>
    </row>
    <row r="247" spans="1:10" x14ac:dyDescent="0.25">
      <c r="A247" t="str">
        <f>TRIM('Help Desk'!D247)</f>
        <v/>
      </c>
      <c r="B247" t="str">
        <f>TRIM('Account Creation'!B247)</f>
        <v/>
      </c>
      <c r="C247" t="str">
        <f>TRIM('Account Creation'!D247)</f>
        <v/>
      </c>
      <c r="D247" s="4" t="str">
        <f t="shared" si="7"/>
        <v/>
      </c>
      <c r="E247" t="b">
        <f>IF('Account Creation'!AG247="",FALSE,'Account Creation'!AG247)</f>
        <v>0</v>
      </c>
      <c r="F247" t="b">
        <f>IF('Account Creation'!AH247="",FALSE,'Account Creation'!AH247)</f>
        <v>0</v>
      </c>
      <c r="G247" s="5" t="s">
        <v>544</v>
      </c>
      <c r="H247" t="str">
        <f t="shared" si="6"/>
        <v/>
      </c>
      <c r="I247">
        <f>'VCC_Stores ONLY'!B247</f>
        <v>0</v>
      </c>
      <c r="J247" s="4">
        <f>('Account Creation'!G247 - 25569) * 86400</f>
        <v>-2209161600</v>
      </c>
    </row>
    <row r="248" spans="1:10" x14ac:dyDescent="0.25">
      <c r="A248" t="str">
        <f>TRIM('Help Desk'!D248)</f>
        <v/>
      </c>
      <c r="B248" t="str">
        <f>TRIM('Account Creation'!B248)</f>
        <v/>
      </c>
      <c r="C248" t="str">
        <f>TRIM('Account Creation'!D248)</f>
        <v/>
      </c>
      <c r="D248" s="4" t="str">
        <f t="shared" si="7"/>
        <v/>
      </c>
      <c r="E248" t="b">
        <f>IF('Account Creation'!AG248="",FALSE,'Account Creation'!AG248)</f>
        <v>0</v>
      </c>
      <c r="F248" t="b">
        <f>IF('Account Creation'!AH248="",FALSE,'Account Creation'!AH248)</f>
        <v>0</v>
      </c>
      <c r="G248" s="5" t="s">
        <v>544</v>
      </c>
      <c r="H248" t="str">
        <f t="shared" si="6"/>
        <v/>
      </c>
      <c r="I248">
        <f>'VCC_Stores ONLY'!B248</f>
        <v>0</v>
      </c>
      <c r="J248" s="4">
        <f>('Account Creation'!G248 - 25569) * 86400</f>
        <v>-2209161600</v>
      </c>
    </row>
    <row r="249" spans="1:10" x14ac:dyDescent="0.25">
      <c r="A249" t="str">
        <f>TRIM('Help Desk'!D249)</f>
        <v/>
      </c>
      <c r="B249" t="str">
        <f>TRIM('Account Creation'!B249)</f>
        <v/>
      </c>
      <c r="C249" t="str">
        <f>TRIM('Account Creation'!D249)</f>
        <v/>
      </c>
      <c r="D249" s="4" t="str">
        <f t="shared" si="7"/>
        <v/>
      </c>
      <c r="E249" t="b">
        <f>IF('Account Creation'!AG249="",FALSE,'Account Creation'!AG249)</f>
        <v>0</v>
      </c>
      <c r="F249" t="b">
        <f>IF('Account Creation'!AH249="",FALSE,'Account Creation'!AH249)</f>
        <v>0</v>
      </c>
      <c r="G249" s="5" t="s">
        <v>544</v>
      </c>
      <c r="H249" t="str">
        <f t="shared" si="6"/>
        <v/>
      </c>
      <c r="I249">
        <f>'VCC_Stores ONLY'!B249</f>
        <v>0</v>
      </c>
      <c r="J249" s="4">
        <f>('Account Creation'!G249 - 25569) * 86400</f>
        <v>-2209161600</v>
      </c>
    </row>
    <row r="250" spans="1:10" x14ac:dyDescent="0.25">
      <c r="A250" t="str">
        <f>TRIM('Help Desk'!D250)</f>
        <v/>
      </c>
      <c r="B250" t="str">
        <f>TRIM('Account Creation'!B250)</f>
        <v/>
      </c>
      <c r="C250" t="str">
        <f>TRIM('Account Creation'!D250)</f>
        <v/>
      </c>
      <c r="D250" s="4" t="str">
        <f t="shared" si="7"/>
        <v/>
      </c>
      <c r="E250" t="b">
        <f>IF('Account Creation'!AG250="",FALSE,'Account Creation'!AG250)</f>
        <v>0</v>
      </c>
      <c r="F250" t="b">
        <f>IF('Account Creation'!AH250="",FALSE,'Account Creation'!AH250)</f>
        <v>0</v>
      </c>
      <c r="G250" s="5" t="s">
        <v>544</v>
      </c>
      <c r="H250" t="str">
        <f t="shared" si="6"/>
        <v/>
      </c>
      <c r="I250">
        <f>'VCC_Stores ONLY'!B250</f>
        <v>0</v>
      </c>
      <c r="J250" s="4">
        <f>('Account Creation'!G250 - 25569) * 86400</f>
        <v>-2209161600</v>
      </c>
    </row>
  </sheetData>
  <phoneticPr fontId="4" type="noConversion"/>
  <conditionalFormatting sqref="J1:J1048576">
    <cfRule type="cellIs" dxfId="18" priority="2" operator="equal">
      <formula>-2209161600</formula>
    </cfRule>
  </conditionalFormatting>
  <conditionalFormatting sqref="D1:D1048576">
    <cfRule type="cellIs" dxfId="17" priority="1" operator="equal">
      <formula>"0 0"</formula>
    </cfRule>
  </conditionalFormatting>
  <hyperlinks>
    <hyperlink ref="G3" r:id="rId1" xr:uid="{682EEB95-B949-4CB1-B97E-D976DBABCD95}"/>
    <hyperlink ref="G4" r:id="rId2" xr:uid="{FABFF9A6-69AF-4655-ADE0-08643FE427DD}"/>
    <hyperlink ref="G2" r:id="rId3" xr:uid="{B2472BF1-A76F-42AC-A4F1-BCB472BF7215}"/>
    <hyperlink ref="G6" r:id="rId4" xr:uid="{4C5A5DBC-FCF2-4988-8A6E-2121ED7B220B}"/>
    <hyperlink ref="G9" r:id="rId5" xr:uid="{7921529D-742C-4DF9-8637-3F37CEA1820B}"/>
    <hyperlink ref="G12" r:id="rId6" xr:uid="{9EE4EB4F-0087-4EF4-960A-4920C2E68ADC}"/>
    <hyperlink ref="G15" r:id="rId7" xr:uid="{3DD2202A-54FB-4D46-963B-2E8FFA0912D4}"/>
    <hyperlink ref="G18" r:id="rId8" xr:uid="{1A7857EB-6BD7-4A2F-9BBE-BF8DEDE6E530}"/>
    <hyperlink ref="G21" r:id="rId9" xr:uid="{559F8C42-0062-42F4-BE5D-24358C032767}"/>
    <hyperlink ref="G24" r:id="rId10" xr:uid="{CBF09CC6-5338-431E-852D-BFB1102BE629}"/>
    <hyperlink ref="G27" r:id="rId11" xr:uid="{7C2105DF-CF96-4D0C-A496-7108E9A45B59}"/>
    <hyperlink ref="G30" r:id="rId12" xr:uid="{093BCAE3-D63E-4ECE-93FE-CDA94B385791}"/>
    <hyperlink ref="G33" r:id="rId13" xr:uid="{EF45231D-F1D6-4201-9BDE-60DFC8E5BD65}"/>
    <hyperlink ref="G36" r:id="rId14" xr:uid="{847B380E-10AD-4894-BCAC-B3780D15D90C}"/>
    <hyperlink ref="G39" r:id="rId15" xr:uid="{A8941F0C-FB45-4465-816A-DDD436A0AA00}"/>
    <hyperlink ref="G42" r:id="rId16" xr:uid="{CE4D27D5-47DF-43F8-90E2-633C626BBD82}"/>
    <hyperlink ref="G45" r:id="rId17" xr:uid="{3CF1C2F8-2529-47AC-8539-D99BCF2AEEC4}"/>
    <hyperlink ref="G48" r:id="rId18" xr:uid="{096F03B0-6034-4771-9FC4-2718F1A7309D}"/>
    <hyperlink ref="G51" r:id="rId19" xr:uid="{DB0B6544-9064-4F73-95B6-4959E15DED03}"/>
    <hyperlink ref="G54" r:id="rId20" xr:uid="{3EC0D046-30C7-42EF-9F05-0F148A019F02}"/>
    <hyperlink ref="G57" r:id="rId21" xr:uid="{291602F4-8B26-4EBC-A900-5FEC736B94C7}"/>
    <hyperlink ref="G60" r:id="rId22" xr:uid="{03D2AA0F-90C7-422D-BDD8-2DA2B5D2EDE8}"/>
    <hyperlink ref="G63" r:id="rId23" xr:uid="{8D0D17E6-4046-4113-954F-74A80A3C19EA}"/>
    <hyperlink ref="G66" r:id="rId24" xr:uid="{309579F2-FCB4-401F-B6C3-A1D8A887B8A4}"/>
    <hyperlink ref="G69" r:id="rId25" xr:uid="{0A6AE857-DB44-4466-83C1-E1502BE31DE9}"/>
    <hyperlink ref="G72" r:id="rId26" xr:uid="{5AE35BFD-8646-48CB-A9F2-7183DE2E2E44}"/>
    <hyperlink ref="G75" r:id="rId27" xr:uid="{69429D45-0F75-47DC-BD50-B1CDFAA824FB}"/>
    <hyperlink ref="G78" r:id="rId28" xr:uid="{4AF20152-8DE7-40D1-919D-151ABCF95E18}"/>
    <hyperlink ref="G81" r:id="rId29" xr:uid="{FCDE2454-EE34-4D80-B876-59DC27D81C91}"/>
    <hyperlink ref="G84" r:id="rId30" xr:uid="{D6728649-B7D5-4D78-9453-AC6519293908}"/>
    <hyperlink ref="G87" r:id="rId31" xr:uid="{F09D5474-FF02-48D9-805A-4CD906A4ED13}"/>
    <hyperlink ref="G90" r:id="rId32" xr:uid="{7042B4D2-6390-408E-B828-25F76B6CE427}"/>
    <hyperlink ref="G93" r:id="rId33" xr:uid="{64A5C26A-8602-44F4-8004-B8E62D078001}"/>
    <hyperlink ref="G96" r:id="rId34" xr:uid="{252C87C6-9FB5-469C-9B8D-29916F942585}"/>
    <hyperlink ref="G99" r:id="rId35" xr:uid="{7487AB16-02DC-4C95-808E-A39DF2F1BA9F}"/>
    <hyperlink ref="G102" r:id="rId36" xr:uid="{24A5BD29-1BBA-40EA-B1F1-745C9D177F7E}"/>
    <hyperlink ref="G105" r:id="rId37" xr:uid="{BE80F1C9-3DA5-44C8-9DAB-B1BF7AEDDCFF}"/>
    <hyperlink ref="G108" r:id="rId38" xr:uid="{53CD8C0E-6007-44E8-B1DA-9922D7411F1A}"/>
    <hyperlink ref="G111" r:id="rId39" xr:uid="{DBD1FD8E-1CD1-4B5F-9569-4D9D45EF8439}"/>
    <hyperlink ref="G114" r:id="rId40" xr:uid="{E3FAAC6B-8352-41AC-889B-E6383FB8DFB4}"/>
    <hyperlink ref="G117" r:id="rId41" xr:uid="{36CF37D3-50D2-4E9F-AD5E-77F72774D1EE}"/>
    <hyperlink ref="G120" r:id="rId42" xr:uid="{0CBE564F-7321-4294-8C8C-EC4EBE8F4DD0}"/>
    <hyperlink ref="G123" r:id="rId43" xr:uid="{570B54F1-4651-4256-9FD7-9552B817860F}"/>
    <hyperlink ref="G126" r:id="rId44" xr:uid="{27787E92-B86E-4577-821D-E4DD233D0FC1}"/>
    <hyperlink ref="G129" r:id="rId45" xr:uid="{BC886B92-F0E4-4D18-93BD-611E10F210B2}"/>
    <hyperlink ref="G132" r:id="rId46" xr:uid="{F23E41BE-B6B6-4B91-93B0-2E647A2CBA45}"/>
    <hyperlink ref="G135" r:id="rId47" xr:uid="{E5F776BD-D9EB-4696-9DF0-E2229094DFD7}"/>
    <hyperlink ref="G138" r:id="rId48" xr:uid="{B825D6C6-35BF-44F0-A324-2F76A32BE7DD}"/>
    <hyperlink ref="G141" r:id="rId49" xr:uid="{0023D61F-E04D-42C4-84A3-481EF7A9BC0F}"/>
    <hyperlink ref="G144" r:id="rId50" xr:uid="{DC6C6AAE-263F-482A-B871-E42623619660}"/>
    <hyperlink ref="G147" r:id="rId51" xr:uid="{1BA12492-48F4-4ADB-9F7B-A2046124FA18}"/>
    <hyperlink ref="G150" r:id="rId52" xr:uid="{04DB29FA-771B-411F-9F27-3F8E2EF677FE}"/>
    <hyperlink ref="G153" r:id="rId53" xr:uid="{FEF4D922-61B4-48BA-9863-9EE7D76A9964}"/>
    <hyperlink ref="G156" r:id="rId54" xr:uid="{A979889F-000B-41A6-9662-3AA42324947D}"/>
    <hyperlink ref="G159" r:id="rId55" xr:uid="{29F63D1F-2748-4FF9-B2E3-CCEFCA8F4495}"/>
    <hyperlink ref="G162" r:id="rId56" xr:uid="{6CC3B88A-5E99-40B0-A158-3220E76F3BA2}"/>
    <hyperlink ref="G165" r:id="rId57" xr:uid="{AB722B88-E3F2-4013-81D6-764CEDF31284}"/>
    <hyperlink ref="G168" r:id="rId58" xr:uid="{6A480589-F82E-470A-991C-89AC000C01DB}"/>
    <hyperlink ref="G171" r:id="rId59" xr:uid="{2EEF4DC2-91D7-4688-A159-6C811339248D}"/>
    <hyperlink ref="G174" r:id="rId60" xr:uid="{1EF798EC-CA17-4E13-8BBB-53F0E811ED04}"/>
    <hyperlink ref="G177" r:id="rId61" xr:uid="{67180D2B-5EBA-49B1-A74E-652DC2CA4DFB}"/>
    <hyperlink ref="G180" r:id="rId62" xr:uid="{6140D05A-1423-400D-97BF-F85AFE7E6F25}"/>
    <hyperlink ref="G183" r:id="rId63" xr:uid="{9DBDE7FF-F66A-41DA-A1CD-7D7F603AC50A}"/>
    <hyperlink ref="G186" r:id="rId64" xr:uid="{97B4C314-2E7B-452F-98BB-6872EBC96B6C}"/>
    <hyperlink ref="G189" r:id="rId65" xr:uid="{43E5BE7D-F70B-4278-A1CA-9CB72137A320}"/>
    <hyperlink ref="G192" r:id="rId66" xr:uid="{0C265FD0-C0FE-4D54-A720-50966B0A02E5}"/>
    <hyperlink ref="G195" r:id="rId67" xr:uid="{E6539A9B-D666-435C-8123-3562AD7EBCF8}"/>
    <hyperlink ref="G198" r:id="rId68" xr:uid="{8B88A5C5-6FA5-4999-A200-B806123EA529}"/>
    <hyperlink ref="G201" r:id="rId69" xr:uid="{29428A55-D3BF-4765-ABAB-93B81093CCF6}"/>
    <hyperlink ref="G204" r:id="rId70" xr:uid="{5290066B-37E1-4EB3-8269-442758DDD63C}"/>
    <hyperlink ref="G207" r:id="rId71" xr:uid="{C8355582-5E70-4A88-83E2-83179FDBCC7D}"/>
    <hyperlink ref="G210" r:id="rId72" xr:uid="{B73CAF59-4ECF-4C4E-8C8D-F4D12C21B549}"/>
    <hyperlink ref="G213" r:id="rId73" xr:uid="{254A5BAB-42B6-4B01-ADF3-0DF02C5B37CF}"/>
    <hyperlink ref="G216" r:id="rId74" xr:uid="{58643A2C-C90A-44F9-8FC6-6AFAD980E6CF}"/>
    <hyperlink ref="G219" r:id="rId75" xr:uid="{96D3311B-DF2E-45FA-B8CB-788170070C3D}"/>
    <hyperlink ref="G222" r:id="rId76" xr:uid="{4F578280-34D7-419E-AE6C-31FF48716331}"/>
    <hyperlink ref="G225" r:id="rId77" xr:uid="{AC5B9D99-0A05-4DDC-BF02-5C926CA4C97C}"/>
    <hyperlink ref="G228" r:id="rId78" xr:uid="{E047C18E-5F88-4EB7-9A34-FBD193F780CF}"/>
    <hyperlink ref="G231" r:id="rId79" xr:uid="{F12D22D1-0854-4432-9C37-BABDB29CCA63}"/>
    <hyperlink ref="G234" r:id="rId80" xr:uid="{61A92411-0549-41DF-89BD-6C9E20C2D060}"/>
    <hyperlink ref="G237" r:id="rId81" xr:uid="{DE6CE3D6-06BE-4EAF-956A-BC2B79A7C9CE}"/>
    <hyperlink ref="G240" r:id="rId82" xr:uid="{CE1F8771-5B7E-470F-8992-185BD0AA432F}"/>
    <hyperlink ref="G243" r:id="rId83" xr:uid="{BE2C4B2C-8CDE-4CBD-A43E-CC369A7B4885}"/>
    <hyperlink ref="G246" r:id="rId84" xr:uid="{8D542136-B98F-45E5-8FB8-CAE087C78C61}"/>
    <hyperlink ref="G249" r:id="rId85" xr:uid="{CDB890CA-3352-43B4-B57C-623885CDB216}"/>
    <hyperlink ref="G7" r:id="rId86" xr:uid="{2F437F50-4436-4BF4-95FB-96EEF94937B5}"/>
    <hyperlink ref="G10" r:id="rId87" xr:uid="{6DD953D2-47DE-4460-ADB0-FF1F7F07B8EA}"/>
    <hyperlink ref="G13" r:id="rId88" xr:uid="{25816D8E-F1A2-47A1-9598-A3BFBEB3D3CC}"/>
    <hyperlink ref="G16" r:id="rId89" xr:uid="{2F917830-57E1-4632-B5D6-BB22FAA040CD}"/>
    <hyperlink ref="G19" r:id="rId90" xr:uid="{9184FFB6-FA83-4162-846B-632F992BA53F}"/>
    <hyperlink ref="G22" r:id="rId91" xr:uid="{07F83129-4F6E-4630-AC4E-FABC22C10B7C}"/>
    <hyperlink ref="G25" r:id="rId92" xr:uid="{DBFBB00F-4077-4435-815C-BB38A99B4C8E}"/>
    <hyperlink ref="G28" r:id="rId93" xr:uid="{E343F29C-A1E1-4960-9F14-67EF9F7ADE80}"/>
    <hyperlink ref="G31" r:id="rId94" xr:uid="{A8844629-B556-4E2D-8551-034F2FB6D3BE}"/>
    <hyperlink ref="G34" r:id="rId95" xr:uid="{429D4874-95B1-4BBA-AA2A-CBA51FD8F0F8}"/>
    <hyperlink ref="G37" r:id="rId96" xr:uid="{03BE7BE1-2996-4E1E-8BDA-DD5367C56357}"/>
    <hyperlink ref="G40" r:id="rId97" xr:uid="{D7BB8DA1-38C2-4295-8F3F-2AABE0F31683}"/>
    <hyperlink ref="G43" r:id="rId98" xr:uid="{A0AEE944-90F1-4D18-82EF-E26DE8325108}"/>
    <hyperlink ref="G46" r:id="rId99" xr:uid="{57059401-08C9-4795-A0E6-75B7727BC9F9}"/>
    <hyperlink ref="G49" r:id="rId100" xr:uid="{02FDF2BA-FB41-43D4-8A60-570CD19FF1E8}"/>
    <hyperlink ref="G52" r:id="rId101" xr:uid="{6D14F7FE-EA1A-4442-A9CA-152CA4AAC53F}"/>
    <hyperlink ref="G55" r:id="rId102" xr:uid="{B1B9AB89-F3FB-4B54-B435-790D49D6D8A7}"/>
    <hyperlink ref="G58" r:id="rId103" xr:uid="{28780333-97FE-4EFE-A1D1-1F922FFDE116}"/>
    <hyperlink ref="G61" r:id="rId104" xr:uid="{0F145F10-61A2-4EB9-BDCB-066E79761E1C}"/>
    <hyperlink ref="G64" r:id="rId105" xr:uid="{08E619A2-B387-4E27-8A73-6CC2C169B149}"/>
    <hyperlink ref="G67" r:id="rId106" xr:uid="{76C44FF0-5AC1-44CD-831A-D7F5199D9A8E}"/>
    <hyperlink ref="G70" r:id="rId107" xr:uid="{71938261-2D0E-4F81-ACF0-076864707C5F}"/>
    <hyperlink ref="G73" r:id="rId108" xr:uid="{CACFE863-E51F-4CE8-A90D-6DFE0D5B620A}"/>
    <hyperlink ref="G76" r:id="rId109" xr:uid="{23DCD9EA-4808-4652-A2E5-8A6EBA319579}"/>
    <hyperlink ref="G79" r:id="rId110" xr:uid="{F24462D6-0E31-4EC4-ABEB-FCC8A184B679}"/>
    <hyperlink ref="G82" r:id="rId111" xr:uid="{AE90EF6F-DE57-4BC3-B80A-58D16F351647}"/>
    <hyperlink ref="G85" r:id="rId112" xr:uid="{A3C57C8D-53B0-40D4-B0EB-087CD74AD3C9}"/>
    <hyperlink ref="G88" r:id="rId113" xr:uid="{46F5191E-7C95-4BEA-860F-C0AC54E83DCC}"/>
    <hyperlink ref="G91" r:id="rId114" xr:uid="{66F2A48F-CC43-4023-9A48-D2C0E42162EC}"/>
    <hyperlink ref="G94" r:id="rId115" xr:uid="{1D0B56BF-8734-4792-A128-53AC676DFE16}"/>
    <hyperlink ref="G97" r:id="rId116" xr:uid="{DA903320-4589-4315-98A3-2493E0D180C3}"/>
    <hyperlink ref="G100" r:id="rId117" xr:uid="{80E41DEE-8B04-48A5-A619-5CB85F33708F}"/>
    <hyperlink ref="G103" r:id="rId118" xr:uid="{02A19DFD-AC08-484C-9451-BEA3212AB7B8}"/>
    <hyperlink ref="G106" r:id="rId119" xr:uid="{188D75E5-CC03-4C10-A790-551F9C78B79C}"/>
    <hyperlink ref="G109" r:id="rId120" xr:uid="{3B345D6C-E26C-4955-A707-653053B18825}"/>
    <hyperlink ref="G112" r:id="rId121" xr:uid="{13B579ED-21B2-4D14-A7EE-B49F44F3C2F0}"/>
    <hyperlink ref="G115" r:id="rId122" xr:uid="{3BB5613B-EBF5-419F-82D5-D1DE0FCB8152}"/>
    <hyperlink ref="G118" r:id="rId123" xr:uid="{E5694A94-95F0-4CEB-9002-692208101C40}"/>
    <hyperlink ref="G121" r:id="rId124" xr:uid="{B1193167-E741-4D9A-BCBE-664E0B86EF66}"/>
    <hyperlink ref="G124" r:id="rId125" xr:uid="{D7DE4BDD-69C3-4CD0-8706-3C5468830CF3}"/>
    <hyperlink ref="G127" r:id="rId126" xr:uid="{5117E268-0E47-4755-BA9A-6D8C246C377F}"/>
    <hyperlink ref="G130" r:id="rId127" xr:uid="{787D618E-7EFE-41A9-B95B-3C9110A0AB7E}"/>
    <hyperlink ref="G133" r:id="rId128" xr:uid="{7DAFBADF-5325-4AF8-8A3B-AF592645E239}"/>
    <hyperlink ref="G136" r:id="rId129" xr:uid="{5C7C67EF-B088-4C72-899B-8B559216125C}"/>
    <hyperlink ref="G139" r:id="rId130" xr:uid="{97050A87-14F9-4CF6-B8F4-503092B9FF2B}"/>
    <hyperlink ref="G142" r:id="rId131" xr:uid="{3AA05D6F-79BF-4AC6-B0FE-9D5AD9C6106D}"/>
    <hyperlink ref="G145" r:id="rId132" xr:uid="{0E576954-403B-4A21-A3A3-4FCEAFD9D812}"/>
    <hyperlink ref="G148" r:id="rId133" xr:uid="{3133663D-38BE-41C6-B9C2-9E3E4736839A}"/>
    <hyperlink ref="G151" r:id="rId134" xr:uid="{8282CD0B-C723-4CA0-AE54-EFD43A0E4576}"/>
    <hyperlink ref="G154" r:id="rId135" xr:uid="{AB8A842C-356D-47D1-B327-833EDC628B99}"/>
    <hyperlink ref="G157" r:id="rId136" xr:uid="{700C597C-045A-4687-A7A0-148EFB707C7B}"/>
    <hyperlink ref="G160" r:id="rId137" xr:uid="{1D9FC190-210F-4EC2-BD86-A277A9EAE0FA}"/>
    <hyperlink ref="G163" r:id="rId138" xr:uid="{151AC56F-0CF1-4A3C-956B-60116146B989}"/>
    <hyperlink ref="G166" r:id="rId139" xr:uid="{AC5DB048-E63A-4AFD-83AD-DDDE358594EE}"/>
    <hyperlink ref="G169" r:id="rId140" xr:uid="{B33DCAE0-0CA2-490A-86A4-5F9E61204F1D}"/>
    <hyperlink ref="G172" r:id="rId141" xr:uid="{46FE725C-495E-4F22-90E6-F28DEE01AE70}"/>
    <hyperlink ref="G175" r:id="rId142" xr:uid="{4BF8010A-18B2-461D-A338-111BE4E82F02}"/>
    <hyperlink ref="G178" r:id="rId143" xr:uid="{91752BD1-24B0-4F72-8C63-B16FDC8FEE4E}"/>
    <hyperlink ref="G181" r:id="rId144" xr:uid="{61874B65-967A-4A03-A404-652DD1F16BED}"/>
    <hyperlink ref="G184" r:id="rId145" xr:uid="{2B4F8AFA-B2F3-4A4D-85FA-6FCDDD995097}"/>
    <hyperlink ref="G187" r:id="rId146" xr:uid="{B03AB710-F356-4DA5-89BC-FEAED42468E0}"/>
    <hyperlink ref="G190" r:id="rId147" xr:uid="{135751A6-2D52-4D7E-9BC7-69B312ED17A1}"/>
    <hyperlink ref="G193" r:id="rId148" xr:uid="{AE35124E-F0FA-4D5C-A009-97DF3F4AB030}"/>
    <hyperlink ref="G196" r:id="rId149" xr:uid="{FB06C9D8-29BB-43BD-B30B-BCACB1C627D2}"/>
    <hyperlink ref="G199" r:id="rId150" xr:uid="{35705E43-300D-4290-A865-4C8900C647D0}"/>
    <hyperlink ref="G202" r:id="rId151" xr:uid="{0AE1AEEC-94CE-4C7A-BE25-3F1C222517F2}"/>
    <hyperlink ref="G205" r:id="rId152" xr:uid="{9D4E5478-3114-4532-AA46-1B5251784015}"/>
    <hyperlink ref="G208" r:id="rId153" xr:uid="{09DA36D5-B490-49E9-81F4-8D5EFD999E8E}"/>
    <hyperlink ref="G211" r:id="rId154" xr:uid="{2434F863-46FA-45C7-A407-94FA1A9D51FA}"/>
    <hyperlink ref="G214" r:id="rId155" xr:uid="{872CFBDF-B51D-44C6-969C-E955E826E18D}"/>
    <hyperlink ref="G217" r:id="rId156" xr:uid="{950B8F96-1078-4334-A459-8837FD915B1D}"/>
    <hyperlink ref="G220" r:id="rId157" xr:uid="{B274154D-7E0E-48D4-90EE-58ED9755CDF5}"/>
    <hyperlink ref="G223" r:id="rId158" xr:uid="{3B8D7148-1AB6-461B-B59B-7C6EF55C5F9C}"/>
    <hyperlink ref="G226" r:id="rId159" xr:uid="{B5F99670-7708-4CC4-8182-16D6365D3000}"/>
    <hyperlink ref="G229" r:id="rId160" xr:uid="{4DC66485-662B-4453-9524-C523DAE9D2C7}"/>
    <hyperlink ref="G232" r:id="rId161" xr:uid="{5A4E77E2-D80F-4913-B3E7-12EF04C461FB}"/>
    <hyperlink ref="G235" r:id="rId162" xr:uid="{E28DD16E-0D39-4703-9020-9C6FEA5DFBEB}"/>
    <hyperlink ref="G238" r:id="rId163" xr:uid="{DC4D3EA3-8AF5-4FBC-8E99-D48BA9B47DD4}"/>
    <hyperlink ref="G241" r:id="rId164" xr:uid="{5C981BC1-AFCE-46AC-9451-3662B076C214}"/>
    <hyperlink ref="G244" r:id="rId165" xr:uid="{C2D8D930-6998-4A8A-AACD-956DDDAAABFF}"/>
    <hyperlink ref="G247" r:id="rId166" xr:uid="{A629C717-FD41-41A3-85B2-A389623294FF}"/>
    <hyperlink ref="G250" r:id="rId167" xr:uid="{9E2027A1-9582-48C3-9B78-DAFF01BDE783}"/>
    <hyperlink ref="G5" r:id="rId168" xr:uid="{417EB191-D3D3-401E-BE8A-938E544C017D}"/>
    <hyperlink ref="G8" r:id="rId169" xr:uid="{49FA6536-4FB2-4110-9EC6-FA165CCC76ED}"/>
    <hyperlink ref="G11" r:id="rId170" xr:uid="{D9B7A73E-0411-4149-B9D8-99306EB0DF6C}"/>
    <hyperlink ref="G14" r:id="rId171" xr:uid="{355AC9EF-3DE4-4F28-B8D0-372045114F6A}"/>
    <hyperlink ref="G17" r:id="rId172" xr:uid="{C9100313-111E-49EC-8654-314EC4411295}"/>
    <hyperlink ref="G20" r:id="rId173" xr:uid="{C8D4BA24-F3C6-4285-9C87-62C6F3EB7C5E}"/>
    <hyperlink ref="G23" r:id="rId174" xr:uid="{2BFFA1F2-BBAD-4843-A160-1C7334708872}"/>
    <hyperlink ref="G26" r:id="rId175" xr:uid="{177B366D-654C-42B3-BC95-B21E70DF908D}"/>
    <hyperlink ref="G29" r:id="rId176" xr:uid="{5B8F246B-9C4E-4FF9-A845-B0E5CB064444}"/>
    <hyperlink ref="G32" r:id="rId177" xr:uid="{9116761E-B45D-4C3F-8C0E-CCE47E4987EE}"/>
    <hyperlink ref="G35" r:id="rId178" xr:uid="{118EB920-C49A-464A-B5F2-CADE7AF8281E}"/>
    <hyperlink ref="G38" r:id="rId179" xr:uid="{9B7088CB-C532-48B6-867E-F945E1D4EC4D}"/>
    <hyperlink ref="G41" r:id="rId180" xr:uid="{A127721B-C954-4820-B241-3C1AA22EFBD0}"/>
    <hyperlink ref="G44" r:id="rId181" xr:uid="{0396F57F-A3B0-43B4-83FA-3CCEA0C856AF}"/>
    <hyperlink ref="G47" r:id="rId182" xr:uid="{0A4D126F-45B2-45D3-8D8A-895B48C59DF5}"/>
    <hyperlink ref="G50" r:id="rId183" xr:uid="{5CB6ABC2-8747-473B-BAFB-9A245998DE7A}"/>
    <hyperlink ref="G53" r:id="rId184" xr:uid="{B4D85968-31FC-4C7F-8348-9165F82BBB7E}"/>
    <hyperlink ref="G56" r:id="rId185" xr:uid="{5AB6DF52-011F-43C8-83D0-945BAD772288}"/>
    <hyperlink ref="G59" r:id="rId186" xr:uid="{DF2706BB-6BBB-46DB-A767-466439218CFB}"/>
    <hyperlink ref="G62" r:id="rId187" xr:uid="{50AC04DC-6A86-4CC2-8F80-A524225A9E90}"/>
    <hyperlink ref="G65" r:id="rId188" xr:uid="{BF784B91-8AD6-4CFB-8BF6-2A2959E57D01}"/>
    <hyperlink ref="G68" r:id="rId189" xr:uid="{807E015D-A970-4FD5-A3B2-AC87E38C18C8}"/>
    <hyperlink ref="G71" r:id="rId190" xr:uid="{8448205D-DC03-4655-AE54-944DB57B142E}"/>
    <hyperlink ref="G74" r:id="rId191" xr:uid="{32541F9E-927A-4D32-BEA2-62AE1CFE7F04}"/>
    <hyperlink ref="G77" r:id="rId192" xr:uid="{D46C0535-DEBE-4560-9A97-06C2D97B4370}"/>
    <hyperlink ref="G80" r:id="rId193" xr:uid="{B7BFCB83-3769-4213-A1B7-AD61786B2E0A}"/>
    <hyperlink ref="G83" r:id="rId194" xr:uid="{30AB1D68-1DFE-4692-982D-9BCD1BD3AF6C}"/>
    <hyperlink ref="G86" r:id="rId195" xr:uid="{055CBA3E-7701-426F-889E-D8E361C8D891}"/>
    <hyperlink ref="G89" r:id="rId196" xr:uid="{8946ACEB-E30A-4BB6-96C0-DD098ACCE495}"/>
    <hyperlink ref="G92" r:id="rId197" xr:uid="{FBDD17A5-E49B-4AC0-A385-398172ECB341}"/>
    <hyperlink ref="G95" r:id="rId198" xr:uid="{63F0F195-324E-4860-9F6B-4E93C7894EB7}"/>
    <hyperlink ref="G98" r:id="rId199" xr:uid="{5F25F1D5-8990-446A-923E-8682611019B0}"/>
    <hyperlink ref="G101" r:id="rId200" xr:uid="{04D1E0FC-6564-417D-8E5F-32796EB1717A}"/>
    <hyperlink ref="G104" r:id="rId201" xr:uid="{CB517385-E7BD-4AF8-ADF5-05545EA99674}"/>
    <hyperlink ref="G107" r:id="rId202" xr:uid="{49A6B793-73A5-451E-B26A-A6B82F277FB8}"/>
    <hyperlink ref="G110" r:id="rId203" xr:uid="{85D31D29-99F2-49F9-8517-59D25D77FD53}"/>
    <hyperlink ref="G113" r:id="rId204" xr:uid="{2AC70540-34A3-4849-BD40-05FE3F6711F5}"/>
    <hyperlink ref="G116" r:id="rId205" xr:uid="{26EB8A57-DC96-4793-80C6-C33EA7BFBA92}"/>
    <hyperlink ref="G119" r:id="rId206" xr:uid="{D4C402A3-A98B-4B3A-BBA5-1930E972F6C2}"/>
    <hyperlink ref="G122" r:id="rId207" xr:uid="{67282C50-B5E9-4311-BC33-726880F1DEFB}"/>
    <hyperlink ref="G125" r:id="rId208" xr:uid="{1B53C318-8633-44A0-BD0D-B6FE3A17FBB9}"/>
    <hyperlink ref="G128" r:id="rId209" xr:uid="{56845F08-1C05-4300-8DE8-FCACEFED73ED}"/>
    <hyperlink ref="G131" r:id="rId210" xr:uid="{7EEF21BD-596B-49E0-955A-88CE6425BB39}"/>
    <hyperlink ref="G134" r:id="rId211" xr:uid="{EAD65A98-36C4-4193-96EC-906C21AEA589}"/>
    <hyperlink ref="G137" r:id="rId212" xr:uid="{6CC36A61-1A90-452E-8DF6-65794FF4CAB9}"/>
    <hyperlink ref="G140" r:id="rId213" xr:uid="{EC7B0E48-15FD-4A77-B3EE-46704148CF30}"/>
    <hyperlink ref="G143" r:id="rId214" xr:uid="{37A75627-F5E5-44BF-94E8-CE1E637CFE42}"/>
    <hyperlink ref="G146" r:id="rId215" xr:uid="{EFFBD097-D67F-48D1-B4F2-26C8D9B906FE}"/>
    <hyperlink ref="G149" r:id="rId216" xr:uid="{028807F7-E8E1-4FB4-BC45-A9FC3CC5A386}"/>
    <hyperlink ref="G152" r:id="rId217" xr:uid="{6F9EE393-E674-42D1-9039-2866D9C40E4C}"/>
    <hyperlink ref="G155" r:id="rId218" xr:uid="{469B8792-90A4-4FA1-AA7B-6F06996A2119}"/>
    <hyperlink ref="G158" r:id="rId219" xr:uid="{FCB9B436-81AE-4012-81D2-97E3DC4EF233}"/>
    <hyperlink ref="G161" r:id="rId220" xr:uid="{9FBA8E72-CF4B-4AF8-AD9E-E3B05FD75B5C}"/>
    <hyperlink ref="G164" r:id="rId221" xr:uid="{B24DD47B-DC16-4C65-B5EB-F292EC38E07A}"/>
    <hyperlink ref="G167" r:id="rId222" xr:uid="{32CED05B-22EE-4D3F-9D47-172F9957548B}"/>
    <hyperlink ref="G170" r:id="rId223" xr:uid="{ACE9F036-16E5-49BE-B603-0EF2C3DA2A24}"/>
    <hyperlink ref="G173" r:id="rId224" xr:uid="{C14C678E-E2B1-46B4-9E94-4F3CBF2B0B8F}"/>
    <hyperlink ref="G176" r:id="rId225" xr:uid="{C5E50C0C-0320-4078-A387-51C630095295}"/>
    <hyperlink ref="G179" r:id="rId226" xr:uid="{1518960F-9922-4901-BF75-D07AD2B2C03E}"/>
    <hyperlink ref="G182" r:id="rId227" xr:uid="{9DE0B766-5C58-4D44-A853-D7770152194E}"/>
    <hyperlink ref="G185" r:id="rId228" xr:uid="{47BF1A15-7208-4D4C-A85B-3DD4E29F8F5A}"/>
    <hyperlink ref="G188" r:id="rId229" xr:uid="{F6AD6473-5825-4B17-B2BC-EDCB04208B0C}"/>
    <hyperlink ref="G191" r:id="rId230" xr:uid="{0A157206-84E7-49CF-AE70-FF4CCEA9ACE9}"/>
    <hyperlink ref="G194" r:id="rId231" xr:uid="{66557381-9B25-4410-81D7-28814EE87ED8}"/>
    <hyperlink ref="G197" r:id="rId232" xr:uid="{FA04B5EE-4EE2-43ED-AC41-AD6DBD19A8DD}"/>
    <hyperlink ref="G200" r:id="rId233" xr:uid="{292B2B51-04EB-4696-92B7-771E44FC0BEC}"/>
    <hyperlink ref="G203" r:id="rId234" xr:uid="{D57C2E1A-3C54-4CE2-B91A-D0517E829BA7}"/>
    <hyperlink ref="G206" r:id="rId235" xr:uid="{218719F5-731D-442C-800A-25E2E6A3ACC1}"/>
    <hyperlink ref="G209" r:id="rId236" xr:uid="{CC933142-4501-4F88-9546-F8FA3B024EB9}"/>
    <hyperlink ref="G212" r:id="rId237" xr:uid="{209ACCE2-9760-4F8F-94B5-56D45E430DF5}"/>
    <hyperlink ref="G215" r:id="rId238" xr:uid="{D783A308-6C26-4B3D-B5E2-CAA010EB764A}"/>
    <hyperlink ref="G218" r:id="rId239" xr:uid="{CC0D869C-9BD9-4CF2-AB6D-FEE3DBB26466}"/>
    <hyperlink ref="G221" r:id="rId240" xr:uid="{42CDEF4E-F2E6-428C-8499-888B46298819}"/>
    <hyperlink ref="G224" r:id="rId241" xr:uid="{926C0DE6-2823-4B5E-9534-ADC0C85AC8F8}"/>
    <hyperlink ref="G227" r:id="rId242" xr:uid="{353F6500-0DCD-4652-BFEC-1D55BAB5F773}"/>
    <hyperlink ref="G230" r:id="rId243" xr:uid="{8282BF52-062D-43EF-B4AC-5140D01212A6}"/>
    <hyperlink ref="G233" r:id="rId244" xr:uid="{7B742972-187F-4F48-A319-49FE0C49C09D}"/>
    <hyperlink ref="G236" r:id="rId245" xr:uid="{E53CE066-F1D7-435D-995F-0A60D76F3FBD}"/>
    <hyperlink ref="G239" r:id="rId246" xr:uid="{33332174-FF3C-49E4-ABBA-84E887BC5C94}"/>
    <hyperlink ref="G242" r:id="rId247" xr:uid="{288525D3-9AA5-4F8A-815B-52AF7982AB15}"/>
    <hyperlink ref="G245" r:id="rId248" xr:uid="{61315C6A-5D71-43D1-8A27-BB26FA7811A3}"/>
    <hyperlink ref="G248" r:id="rId249" xr:uid="{15D09190-E5F0-4EF1-9157-36F3FEAD1600}"/>
  </hyperlinks>
  <pageMargins left="0.7" right="0.7" top="0.75" bottom="0.75" header="0.3" footer="0.3"/>
  <pageSetup orientation="portrait" r:id="rId25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B1C25-D588-4546-B418-AAE3E4516E47}">
  <dimension ref="A1:O251"/>
  <sheetViews>
    <sheetView workbookViewId="0">
      <selection activeCell="A2" sqref="A2"/>
    </sheetView>
  </sheetViews>
  <sheetFormatPr defaultRowHeight="15" x14ac:dyDescent="0.25"/>
  <cols>
    <col min="1" max="1" width="21" bestFit="1" customWidth="1"/>
    <col min="2" max="2" width="19.7109375" bestFit="1" customWidth="1"/>
    <col min="3" max="3" width="12" bestFit="1" customWidth="1"/>
    <col min="4" max="4" width="9.85546875" bestFit="1" customWidth="1"/>
    <col min="5" max="5" width="10.28515625" bestFit="1" customWidth="1"/>
    <col min="6" max="6" width="10.85546875" bestFit="1" customWidth="1"/>
    <col min="7" max="7" width="13.28515625" bestFit="1" customWidth="1"/>
    <col min="8" max="8" width="10.7109375" bestFit="1" customWidth="1"/>
    <col min="9" max="9" width="22.28515625" bestFit="1" customWidth="1"/>
    <col min="10" max="10" width="20.42578125" bestFit="1" customWidth="1"/>
    <col min="11" max="11" width="21.42578125" bestFit="1" customWidth="1"/>
    <col min="12" max="12" width="21.140625" bestFit="1" customWidth="1"/>
    <col min="13" max="13" width="18.28515625" bestFit="1" customWidth="1"/>
    <col min="14" max="14" width="10.7109375" bestFit="1" customWidth="1"/>
    <col min="15" max="15" width="19.7109375" bestFit="1" customWidth="1"/>
  </cols>
  <sheetData>
    <row r="1" spans="1:15" x14ac:dyDescent="0.25">
      <c r="A1" t="s">
        <v>520</v>
      </c>
      <c r="B1" t="s">
        <v>521</v>
      </c>
      <c r="C1" t="s">
        <v>522</v>
      </c>
      <c r="D1" t="s">
        <v>523</v>
      </c>
      <c r="E1" t="s">
        <v>524</v>
      </c>
      <c r="F1" t="s">
        <v>525</v>
      </c>
      <c r="G1" t="s">
        <v>526</v>
      </c>
      <c r="H1" t="s">
        <v>527</v>
      </c>
      <c r="I1" t="s">
        <v>528</v>
      </c>
      <c r="J1" t="s">
        <v>529</v>
      </c>
      <c r="K1" t="s">
        <v>530</v>
      </c>
      <c r="L1" t="s">
        <v>531</v>
      </c>
      <c r="M1" t="s">
        <v>532</v>
      </c>
      <c r="N1" t="s">
        <v>533</v>
      </c>
      <c r="O1" t="s">
        <v>534</v>
      </c>
    </row>
    <row r="2" spans="1:15" x14ac:dyDescent="0.25">
      <c r="A2" t="str">
        <f>CONCATENATE('Help Desk'!D2,"@email.wal-mart.com")</f>
        <v>vn54tqf@email.wal-mart.com</v>
      </c>
      <c r="B2" t="str">
        <f>TRIM('Help Desk'!D2)</f>
        <v>vn54tqf</v>
      </c>
      <c r="C2" t="s">
        <v>535</v>
      </c>
      <c r="D2" t="str">
        <f>'Account Creation'!D2</f>
        <v>Ramirez</v>
      </c>
      <c r="E2" t="str">
        <f>'Account Creation'!B2</f>
        <v>Cristian</v>
      </c>
      <c r="F2" t="s">
        <v>536</v>
      </c>
      <c r="I2" t="s">
        <v>537</v>
      </c>
      <c r="J2" t="s">
        <v>537</v>
      </c>
      <c r="K2" t="s">
        <v>537</v>
      </c>
      <c r="L2" t="str">
        <f>TRIM('Account Creation'!Q2)</f>
        <v>vn0qxff</v>
      </c>
      <c r="M2" t="s">
        <v>538</v>
      </c>
      <c r="N2" t="str">
        <f>TEXT('Account Creation'!G2,"mm/dd/yyyy")</f>
        <v>10/17/2022</v>
      </c>
      <c r="O2" t="s">
        <v>462</v>
      </c>
    </row>
    <row r="3" spans="1:15" x14ac:dyDescent="0.25">
      <c r="A3" t="str">
        <f>CONCATENATE('Help Desk'!D3,"@email.wal-mart.com")</f>
        <v>vn54tqh@email.wal-mart.com</v>
      </c>
      <c r="B3" t="str">
        <f>TRIM('Help Desk'!D3)</f>
        <v>vn54tqh</v>
      </c>
      <c r="C3" t="s">
        <v>535</v>
      </c>
      <c r="D3" t="str">
        <f>'Account Creation'!D3</f>
        <v>Garcia</v>
      </c>
      <c r="E3" t="str">
        <f>'Account Creation'!B3</f>
        <v>Claudia</v>
      </c>
      <c r="F3" t="s">
        <v>536</v>
      </c>
      <c r="I3" t="s">
        <v>537</v>
      </c>
      <c r="J3" t="s">
        <v>537</v>
      </c>
      <c r="K3" t="s">
        <v>537</v>
      </c>
      <c r="L3" t="str">
        <f>TRIM('Account Creation'!Q3)</f>
        <v>vn0qxff</v>
      </c>
      <c r="M3" t="s">
        <v>538</v>
      </c>
      <c r="N3" t="str">
        <f>TEXT('Account Creation'!G3,"mm/dd/yyyy")</f>
        <v>10/17/2022</v>
      </c>
      <c r="O3" t="s">
        <v>462</v>
      </c>
    </row>
    <row r="4" spans="1:15" x14ac:dyDescent="0.25">
      <c r="A4" t="str">
        <f>CONCATENATE('Help Desk'!D4,"@email.wal-mart.com")</f>
        <v>vn54tqj@email.wal-mart.com</v>
      </c>
      <c r="B4" t="str">
        <f>TRIM('Help Desk'!D4)</f>
        <v>vn54tqj</v>
      </c>
      <c r="C4" t="s">
        <v>535</v>
      </c>
      <c r="D4" t="str">
        <f>'Account Creation'!D4</f>
        <v>Hernandez</v>
      </c>
      <c r="E4" t="str">
        <f>'Account Creation'!B4</f>
        <v>Luis</v>
      </c>
      <c r="F4" t="s">
        <v>536</v>
      </c>
      <c r="I4" t="s">
        <v>537</v>
      </c>
      <c r="J4" t="s">
        <v>537</v>
      </c>
      <c r="K4" t="s">
        <v>537</v>
      </c>
      <c r="L4" t="str">
        <f>TRIM('Account Creation'!Q4)</f>
        <v>vn0qxff</v>
      </c>
      <c r="M4" t="s">
        <v>538</v>
      </c>
      <c r="N4" t="str">
        <f>TEXT('Account Creation'!G4,"mm/dd/yyyy")</f>
        <v>10/17/2022</v>
      </c>
      <c r="O4" t="s">
        <v>462</v>
      </c>
    </row>
    <row r="5" spans="1:15" x14ac:dyDescent="0.25">
      <c r="A5" t="str">
        <f>CONCATENATE('Help Desk'!D5,"@email.wal-mart.com")</f>
        <v>vn54tql@email.wal-mart.com</v>
      </c>
      <c r="B5" t="str">
        <f>TRIM('Help Desk'!D5)</f>
        <v>vn54tql</v>
      </c>
      <c r="C5" t="s">
        <v>535</v>
      </c>
      <c r="D5" t="str">
        <f>'Account Creation'!D5</f>
        <v>Marroquin</v>
      </c>
      <c r="E5" t="str">
        <f>'Account Creation'!B5</f>
        <v>Sofia</v>
      </c>
      <c r="F5" t="s">
        <v>536</v>
      </c>
      <c r="I5" t="s">
        <v>537</v>
      </c>
      <c r="J5" t="s">
        <v>537</v>
      </c>
      <c r="K5" t="s">
        <v>537</v>
      </c>
      <c r="L5" t="str">
        <f>TRIM('Account Creation'!Q5)</f>
        <v>vn0qxff</v>
      </c>
      <c r="M5" t="s">
        <v>538</v>
      </c>
      <c r="N5" t="str">
        <f>TEXT('Account Creation'!G5,"mm/dd/yyyy")</f>
        <v>10/17/2022</v>
      </c>
      <c r="O5" t="s">
        <v>462</v>
      </c>
    </row>
    <row r="6" spans="1:15" x14ac:dyDescent="0.25">
      <c r="A6" t="str">
        <f>CONCATENATE('Help Desk'!D6,"@email.wal-mart.com")</f>
        <v>vn54tqn@email.wal-mart.com</v>
      </c>
      <c r="B6" t="str">
        <f>TRIM('Help Desk'!D6)</f>
        <v>vn54tqn</v>
      </c>
      <c r="C6" t="s">
        <v>535</v>
      </c>
      <c r="D6" t="str">
        <f>'Account Creation'!D6</f>
        <v>Zamora</v>
      </c>
      <c r="E6" t="str">
        <f>'Account Creation'!B6</f>
        <v>Guillermo</v>
      </c>
      <c r="F6" t="s">
        <v>536</v>
      </c>
      <c r="I6" t="s">
        <v>537</v>
      </c>
      <c r="J6" t="s">
        <v>537</v>
      </c>
      <c r="K6" t="s">
        <v>537</v>
      </c>
      <c r="L6" t="str">
        <f>TRIM('Account Creation'!Q6)</f>
        <v>vn0qxff</v>
      </c>
      <c r="M6" t="s">
        <v>538</v>
      </c>
      <c r="N6" t="str">
        <f>TEXT('Account Creation'!G6,"mm/dd/yyyy")</f>
        <v>10/17/2022</v>
      </c>
      <c r="O6" t="s">
        <v>462</v>
      </c>
    </row>
    <row r="7" spans="1:15" x14ac:dyDescent="0.25">
      <c r="A7" t="str">
        <f>CONCATENATE('Help Desk'!D7,"@email.wal-mart.com")</f>
        <v>vn54tqo@email.wal-mart.com</v>
      </c>
      <c r="B7" t="str">
        <f>TRIM('Help Desk'!D7)</f>
        <v>vn54tqo</v>
      </c>
      <c r="C7" t="s">
        <v>535</v>
      </c>
      <c r="D7" t="str">
        <f>'Account Creation'!D7</f>
        <v>Santizo</v>
      </c>
      <c r="E7" t="str">
        <f>'Account Creation'!B7</f>
        <v>Katherine</v>
      </c>
      <c r="F7" t="s">
        <v>536</v>
      </c>
      <c r="I7" t="s">
        <v>537</v>
      </c>
      <c r="J7" t="s">
        <v>537</v>
      </c>
      <c r="K7" t="s">
        <v>537</v>
      </c>
      <c r="L7" t="str">
        <f>TRIM('Account Creation'!Q7)</f>
        <v>vn0qxff</v>
      </c>
      <c r="M7" t="s">
        <v>538</v>
      </c>
      <c r="N7" t="str">
        <f>TEXT('Account Creation'!G7,"mm/dd/yyyy")</f>
        <v>10/17/2022</v>
      </c>
      <c r="O7" t="s">
        <v>462</v>
      </c>
    </row>
    <row r="8" spans="1:15" x14ac:dyDescent="0.25">
      <c r="A8" t="str">
        <f>CONCATENATE('Help Desk'!D8,"@email.wal-mart.com")</f>
        <v>vn54tqq@email.wal-mart.com</v>
      </c>
      <c r="B8" t="str">
        <f>TRIM('Help Desk'!D8)</f>
        <v>vn54tqq</v>
      </c>
      <c r="C8" t="s">
        <v>535</v>
      </c>
      <c r="D8" t="str">
        <f>'Account Creation'!D8</f>
        <v>Manrique</v>
      </c>
      <c r="E8" t="str">
        <f>'Account Creation'!B8</f>
        <v>Josue</v>
      </c>
      <c r="F8" t="s">
        <v>536</v>
      </c>
      <c r="I8" t="s">
        <v>537</v>
      </c>
      <c r="J8" t="s">
        <v>537</v>
      </c>
      <c r="K8" t="s">
        <v>537</v>
      </c>
      <c r="L8" t="str">
        <f>TRIM('Account Creation'!Q8)</f>
        <v>vn0qxff</v>
      </c>
      <c r="M8" t="s">
        <v>538</v>
      </c>
      <c r="N8" t="str">
        <f>TEXT('Account Creation'!G8,"mm/dd/yyyy")</f>
        <v>10/17/2022</v>
      </c>
      <c r="O8" t="s">
        <v>462</v>
      </c>
    </row>
    <row r="9" spans="1:15" x14ac:dyDescent="0.25">
      <c r="A9" t="str">
        <f>CONCATENATE('Help Desk'!D9,"@email.wal-mart.com")</f>
        <v>vn54tqs@email.wal-mart.com</v>
      </c>
      <c r="B9" t="str">
        <f>TRIM('Help Desk'!D9)</f>
        <v>vn54tqs</v>
      </c>
      <c r="C9" t="s">
        <v>535</v>
      </c>
      <c r="D9" t="str">
        <f>'Account Creation'!D9</f>
        <v>Hernandez</v>
      </c>
      <c r="E9" t="str">
        <f>'Account Creation'!B9</f>
        <v>Kristtel</v>
      </c>
      <c r="F9" t="s">
        <v>536</v>
      </c>
      <c r="I9" t="s">
        <v>537</v>
      </c>
      <c r="J9" t="s">
        <v>537</v>
      </c>
      <c r="K9" t="s">
        <v>537</v>
      </c>
      <c r="L9" t="str">
        <f>TRIM('Account Creation'!Q9)</f>
        <v>vn0qxff</v>
      </c>
      <c r="M9" t="s">
        <v>538</v>
      </c>
      <c r="N9" t="str">
        <f>TEXT('Account Creation'!G9,"mm/dd/yyyy")</f>
        <v>10/17/2022</v>
      </c>
      <c r="O9" t="s">
        <v>462</v>
      </c>
    </row>
    <row r="10" spans="1:15" x14ac:dyDescent="0.25">
      <c r="A10" t="str">
        <f>CONCATENATE('Help Desk'!D10,"@email.wal-mart.com")</f>
        <v>vn54tqu@email.wal-mart.com</v>
      </c>
      <c r="B10" t="str">
        <f>TRIM('Help Desk'!D10)</f>
        <v>vn54tqu</v>
      </c>
      <c r="C10" t="s">
        <v>535</v>
      </c>
      <c r="D10" t="str">
        <f>'Account Creation'!D10</f>
        <v>Flores</v>
      </c>
      <c r="E10" t="str">
        <f>'Account Creation'!B10</f>
        <v>Juan</v>
      </c>
      <c r="F10" t="s">
        <v>536</v>
      </c>
      <c r="I10" t="s">
        <v>537</v>
      </c>
      <c r="J10" t="s">
        <v>537</v>
      </c>
      <c r="K10" t="s">
        <v>537</v>
      </c>
      <c r="L10" t="str">
        <f>TRIM('Account Creation'!Q10)</f>
        <v>vn0qxff</v>
      </c>
      <c r="M10" t="s">
        <v>538</v>
      </c>
      <c r="N10" t="str">
        <f>TEXT('Account Creation'!G10,"mm/dd/yyyy")</f>
        <v>10/17/2022</v>
      </c>
      <c r="O10" t="s">
        <v>462</v>
      </c>
    </row>
    <row r="11" spans="1:15" x14ac:dyDescent="0.25">
      <c r="A11" t="str">
        <f>CONCATENATE('Help Desk'!D11,"@email.wal-mart.com")</f>
        <v>vn54tqw@email.wal-mart.com</v>
      </c>
      <c r="B11" t="str">
        <f>TRIM('Help Desk'!D11)</f>
        <v>vn54tqw</v>
      </c>
      <c r="C11" t="s">
        <v>535</v>
      </c>
      <c r="D11" t="str">
        <f>'Account Creation'!D11</f>
        <v>Morales</v>
      </c>
      <c r="E11" t="str">
        <f>'Account Creation'!B11</f>
        <v>Gabriel</v>
      </c>
      <c r="F11" t="s">
        <v>536</v>
      </c>
      <c r="I11" t="s">
        <v>537</v>
      </c>
      <c r="J11" t="s">
        <v>537</v>
      </c>
      <c r="K11" t="s">
        <v>537</v>
      </c>
      <c r="L11" t="str">
        <f>TRIM('Account Creation'!Q11)</f>
        <v>vn0qxff</v>
      </c>
      <c r="M11" t="s">
        <v>538</v>
      </c>
      <c r="N11" t="str">
        <f>TEXT('Account Creation'!G11,"mm/dd/yyyy")</f>
        <v>10/17/2022</v>
      </c>
      <c r="O11" t="s">
        <v>462</v>
      </c>
    </row>
    <row r="12" spans="1:15" x14ac:dyDescent="0.25">
      <c r="A12" t="str">
        <f>CONCATENATE('Help Desk'!D12,"@email.wal-mart.com")</f>
        <v>vn54tqy@email.wal-mart.com</v>
      </c>
      <c r="B12" t="str">
        <f>TRIM('Help Desk'!D12)</f>
        <v>vn54tqy</v>
      </c>
      <c r="C12" t="s">
        <v>535</v>
      </c>
      <c r="D12" t="str">
        <f>'Account Creation'!D12</f>
        <v>De Leon</v>
      </c>
      <c r="E12" t="str">
        <f>'Account Creation'!B12</f>
        <v>Mercedez</v>
      </c>
      <c r="F12" t="s">
        <v>536</v>
      </c>
      <c r="I12" t="s">
        <v>537</v>
      </c>
      <c r="J12" t="s">
        <v>537</v>
      </c>
      <c r="K12" t="s">
        <v>537</v>
      </c>
      <c r="L12" t="str">
        <f>TRIM('Account Creation'!Q12)</f>
        <v>vn0qxff</v>
      </c>
      <c r="M12" t="s">
        <v>538</v>
      </c>
      <c r="N12" t="str">
        <f>TEXT('Account Creation'!G12,"mm/dd/yyyy")</f>
        <v>10/17/2022</v>
      </c>
      <c r="O12" t="s">
        <v>462</v>
      </c>
    </row>
    <row r="13" spans="1:15" x14ac:dyDescent="0.25">
      <c r="A13" t="str">
        <f>CONCATENATE('Help Desk'!D13,"@email.wal-mart.com")</f>
        <v>vn54tr0@email.wal-mart.com</v>
      </c>
      <c r="B13" t="str">
        <f>TRIM('Help Desk'!D13)</f>
        <v>vn54tr0</v>
      </c>
      <c r="C13" t="s">
        <v>535</v>
      </c>
      <c r="D13" t="str">
        <f>'Account Creation'!D13</f>
        <v>Prera</v>
      </c>
      <c r="E13" t="str">
        <f>'Account Creation'!B13</f>
        <v>Eduardo</v>
      </c>
      <c r="F13" t="s">
        <v>536</v>
      </c>
      <c r="I13" t="s">
        <v>537</v>
      </c>
      <c r="J13" t="s">
        <v>537</v>
      </c>
      <c r="K13" t="s">
        <v>537</v>
      </c>
      <c r="L13" t="str">
        <f>TRIM('Account Creation'!Q13)</f>
        <v>vn0qxff</v>
      </c>
      <c r="M13" t="s">
        <v>538</v>
      </c>
      <c r="N13" t="str">
        <f>TEXT('Account Creation'!G13,"mm/dd/yyyy")</f>
        <v>10/17/2022</v>
      </c>
      <c r="O13" t="s">
        <v>462</v>
      </c>
    </row>
    <row r="14" spans="1:15" x14ac:dyDescent="0.25">
      <c r="A14" t="str">
        <f>CONCATENATE('Help Desk'!D14,"@email.wal-mart.com")</f>
        <v>vn54tr2@email.wal-mart.com</v>
      </c>
      <c r="B14" t="str">
        <f>TRIM('Help Desk'!D14)</f>
        <v>vn54tr2</v>
      </c>
      <c r="C14" t="s">
        <v>535</v>
      </c>
      <c r="D14" t="str">
        <f>'Account Creation'!D14</f>
        <v>Abal</v>
      </c>
      <c r="E14" t="str">
        <f>'Account Creation'!B14</f>
        <v>Madelin</v>
      </c>
      <c r="F14" t="s">
        <v>536</v>
      </c>
      <c r="I14" t="s">
        <v>537</v>
      </c>
      <c r="J14" t="s">
        <v>537</v>
      </c>
      <c r="K14" t="s">
        <v>537</v>
      </c>
      <c r="L14" t="str">
        <f>TRIM('Account Creation'!Q14)</f>
        <v>vn0qxff</v>
      </c>
      <c r="M14" t="s">
        <v>538</v>
      </c>
      <c r="N14" t="str">
        <f>TEXT('Account Creation'!G14,"mm/dd/yyyy")</f>
        <v>10/17/2022</v>
      </c>
      <c r="O14" t="s">
        <v>462</v>
      </c>
    </row>
    <row r="15" spans="1:15" x14ac:dyDescent="0.25">
      <c r="A15" t="str">
        <f>CONCATENATE('Help Desk'!D15,"@email.wal-mart.com")</f>
        <v>vn54tr4@email.wal-mart.com</v>
      </c>
      <c r="B15" t="str">
        <f>TRIM('Help Desk'!D15)</f>
        <v>vn54tr4</v>
      </c>
      <c r="C15" t="s">
        <v>535</v>
      </c>
      <c r="D15" t="str">
        <f>'Account Creation'!D15</f>
        <v>Calicio</v>
      </c>
      <c r="E15" t="str">
        <f>'Account Creation'!B15</f>
        <v>Dyana</v>
      </c>
      <c r="F15" t="s">
        <v>536</v>
      </c>
      <c r="I15" t="s">
        <v>537</v>
      </c>
      <c r="J15" t="s">
        <v>537</v>
      </c>
      <c r="K15" t="s">
        <v>537</v>
      </c>
      <c r="L15" t="str">
        <f>TRIM('Account Creation'!Q15)</f>
        <v>vn0qxff</v>
      </c>
      <c r="M15" t="s">
        <v>538</v>
      </c>
      <c r="N15" t="str">
        <f>TEXT('Account Creation'!G15,"mm/dd/yyyy")</f>
        <v>10/17/2022</v>
      </c>
      <c r="O15" t="s">
        <v>462</v>
      </c>
    </row>
    <row r="16" spans="1:15" x14ac:dyDescent="0.25">
      <c r="A16" t="str">
        <f>CONCATENATE('Help Desk'!D16,"@email.wal-mart.com")</f>
        <v>vn54tr6@email.wal-mart.com</v>
      </c>
      <c r="B16" t="str">
        <f>TRIM('Help Desk'!D16)</f>
        <v>vn54tr6</v>
      </c>
      <c r="C16" t="s">
        <v>535</v>
      </c>
      <c r="D16" t="str">
        <f>'Account Creation'!D16</f>
        <v>Arango</v>
      </c>
      <c r="E16" t="str">
        <f>'Account Creation'!B16</f>
        <v>Sandra</v>
      </c>
      <c r="F16" t="s">
        <v>536</v>
      </c>
      <c r="I16" t="s">
        <v>537</v>
      </c>
      <c r="J16" t="s">
        <v>537</v>
      </c>
      <c r="K16" t="s">
        <v>537</v>
      </c>
      <c r="L16" t="str">
        <f>TRIM('Account Creation'!Q16)</f>
        <v>vn0qxff</v>
      </c>
      <c r="M16" t="s">
        <v>538</v>
      </c>
      <c r="N16" t="str">
        <f>TEXT('Account Creation'!G16,"mm/dd/yyyy")</f>
        <v>10/17/2022</v>
      </c>
      <c r="O16" t="s">
        <v>462</v>
      </c>
    </row>
    <row r="17" spans="1:15" x14ac:dyDescent="0.25">
      <c r="A17" t="str">
        <f>CONCATENATE('Help Desk'!D17,"@email.wal-mart.com")</f>
        <v>@email.wal-mart.com</v>
      </c>
      <c r="B17" t="str">
        <f>TRIM('Help Desk'!D17)</f>
        <v/>
      </c>
      <c r="C17" t="s">
        <v>535</v>
      </c>
      <c r="D17">
        <f>'Account Creation'!D17</f>
        <v>0</v>
      </c>
      <c r="E17">
        <f>'Account Creation'!B17</f>
        <v>0</v>
      </c>
      <c r="F17" t="s">
        <v>536</v>
      </c>
      <c r="I17" t="s">
        <v>537</v>
      </c>
      <c r="J17" t="s">
        <v>537</v>
      </c>
      <c r="K17" t="s">
        <v>537</v>
      </c>
      <c r="L17" t="str">
        <f>TRIM('Account Creation'!Q17)</f>
        <v/>
      </c>
      <c r="M17" t="s">
        <v>538</v>
      </c>
      <c r="N17" t="str">
        <f>TEXT('Account Creation'!G17,"mm/dd/yyyy")</f>
        <v>01/00/1900</v>
      </c>
      <c r="O17" t="s">
        <v>462</v>
      </c>
    </row>
    <row r="18" spans="1:15" x14ac:dyDescent="0.25">
      <c r="A18" t="str">
        <f>CONCATENATE('Help Desk'!D18,"@email.wal-mart.com")</f>
        <v>@email.wal-mart.com</v>
      </c>
      <c r="B18" t="str">
        <f>TRIM('Help Desk'!D18)</f>
        <v/>
      </c>
      <c r="C18" t="s">
        <v>535</v>
      </c>
      <c r="D18">
        <f>'Account Creation'!D18</f>
        <v>0</v>
      </c>
      <c r="E18">
        <f>'Account Creation'!B18</f>
        <v>0</v>
      </c>
      <c r="F18" t="s">
        <v>536</v>
      </c>
      <c r="I18" t="s">
        <v>537</v>
      </c>
      <c r="J18" t="s">
        <v>537</v>
      </c>
      <c r="K18" t="s">
        <v>537</v>
      </c>
      <c r="L18" t="str">
        <f>TRIM('Account Creation'!Q18)</f>
        <v/>
      </c>
      <c r="M18" t="s">
        <v>538</v>
      </c>
      <c r="N18" t="str">
        <f>TEXT('Account Creation'!G18,"mm/dd/yyyy")</f>
        <v>01/00/1900</v>
      </c>
      <c r="O18" t="s">
        <v>462</v>
      </c>
    </row>
    <row r="19" spans="1:15" x14ac:dyDescent="0.25">
      <c r="A19" t="str">
        <f>CONCATENATE('Help Desk'!D19,"@email.wal-mart.com")</f>
        <v>@email.wal-mart.com</v>
      </c>
      <c r="B19" t="str">
        <f>TRIM('Help Desk'!D19)</f>
        <v/>
      </c>
      <c r="C19" t="s">
        <v>535</v>
      </c>
      <c r="D19">
        <f>'Account Creation'!D19</f>
        <v>0</v>
      </c>
      <c r="E19">
        <f>'Account Creation'!B19</f>
        <v>0</v>
      </c>
      <c r="F19" t="s">
        <v>536</v>
      </c>
      <c r="I19" t="s">
        <v>537</v>
      </c>
      <c r="J19" t="s">
        <v>537</v>
      </c>
      <c r="K19" t="s">
        <v>537</v>
      </c>
      <c r="L19" t="str">
        <f>TRIM('Account Creation'!Q19)</f>
        <v/>
      </c>
      <c r="M19" t="s">
        <v>538</v>
      </c>
      <c r="N19" t="str">
        <f>TEXT('Account Creation'!G19,"mm/dd/yyyy")</f>
        <v>01/00/1900</v>
      </c>
      <c r="O19" t="s">
        <v>462</v>
      </c>
    </row>
    <row r="20" spans="1:15" x14ac:dyDescent="0.25">
      <c r="A20" t="str">
        <f>CONCATENATE('Help Desk'!D20,"@email.wal-mart.com")</f>
        <v>@email.wal-mart.com</v>
      </c>
      <c r="B20" t="str">
        <f>TRIM('Help Desk'!D20)</f>
        <v/>
      </c>
      <c r="C20" t="s">
        <v>535</v>
      </c>
      <c r="D20">
        <f>'Account Creation'!D20</f>
        <v>0</v>
      </c>
      <c r="E20">
        <f>'Account Creation'!B20</f>
        <v>0</v>
      </c>
      <c r="F20" t="s">
        <v>536</v>
      </c>
      <c r="I20" t="s">
        <v>537</v>
      </c>
      <c r="J20" t="s">
        <v>537</v>
      </c>
      <c r="K20" t="s">
        <v>537</v>
      </c>
      <c r="L20" t="str">
        <f>TRIM('Account Creation'!Q20)</f>
        <v/>
      </c>
      <c r="M20" t="s">
        <v>538</v>
      </c>
      <c r="N20" t="str">
        <f>TEXT('Account Creation'!G20,"mm/dd/yyyy")</f>
        <v>01/00/1900</v>
      </c>
      <c r="O20" t="s">
        <v>462</v>
      </c>
    </row>
    <row r="21" spans="1:15" x14ac:dyDescent="0.25">
      <c r="A21" t="str">
        <f>CONCATENATE('Help Desk'!D21,"@email.wal-mart.com")</f>
        <v>@email.wal-mart.com</v>
      </c>
      <c r="B21" t="str">
        <f>TRIM('Help Desk'!D21)</f>
        <v/>
      </c>
      <c r="C21" t="s">
        <v>535</v>
      </c>
      <c r="D21">
        <f>'Account Creation'!D21</f>
        <v>0</v>
      </c>
      <c r="E21">
        <f>'Account Creation'!B21</f>
        <v>0</v>
      </c>
      <c r="F21" t="s">
        <v>536</v>
      </c>
      <c r="I21" t="s">
        <v>537</v>
      </c>
      <c r="J21" t="s">
        <v>537</v>
      </c>
      <c r="K21" t="s">
        <v>537</v>
      </c>
      <c r="L21" t="str">
        <f>TRIM('Account Creation'!Q21)</f>
        <v/>
      </c>
      <c r="M21" t="s">
        <v>538</v>
      </c>
      <c r="N21" t="str">
        <f>TEXT('Account Creation'!G21,"mm/dd/yyyy")</f>
        <v>01/00/1900</v>
      </c>
      <c r="O21" t="s">
        <v>462</v>
      </c>
    </row>
    <row r="22" spans="1:15" x14ac:dyDescent="0.25">
      <c r="A22" t="str">
        <f>CONCATENATE('Help Desk'!D22,"@email.wal-mart.com")</f>
        <v>@email.wal-mart.com</v>
      </c>
      <c r="B22" t="str">
        <f>TRIM('Help Desk'!D22)</f>
        <v/>
      </c>
      <c r="C22" t="s">
        <v>535</v>
      </c>
      <c r="D22">
        <f>'Account Creation'!D22</f>
        <v>0</v>
      </c>
      <c r="E22">
        <f>'Account Creation'!B22</f>
        <v>0</v>
      </c>
      <c r="F22" t="s">
        <v>536</v>
      </c>
      <c r="I22" t="s">
        <v>537</v>
      </c>
      <c r="J22" t="s">
        <v>537</v>
      </c>
      <c r="K22" t="s">
        <v>537</v>
      </c>
      <c r="L22" t="str">
        <f>TRIM('Account Creation'!Q22)</f>
        <v/>
      </c>
      <c r="M22" t="s">
        <v>538</v>
      </c>
      <c r="N22" t="str">
        <f>TEXT('Account Creation'!G22,"mm/dd/yyyy")</f>
        <v>01/00/1900</v>
      </c>
      <c r="O22" t="s">
        <v>462</v>
      </c>
    </row>
    <row r="23" spans="1:15" x14ac:dyDescent="0.25">
      <c r="A23" t="str">
        <f>CONCATENATE('Help Desk'!D23,"@email.wal-mart.com")</f>
        <v>@email.wal-mart.com</v>
      </c>
      <c r="B23" t="str">
        <f>TRIM('Help Desk'!D23)</f>
        <v/>
      </c>
      <c r="C23" t="s">
        <v>535</v>
      </c>
      <c r="D23">
        <f>'Account Creation'!D23</f>
        <v>0</v>
      </c>
      <c r="E23">
        <f>'Account Creation'!B23</f>
        <v>0</v>
      </c>
      <c r="F23" t="s">
        <v>536</v>
      </c>
      <c r="I23" t="s">
        <v>537</v>
      </c>
      <c r="J23" t="s">
        <v>537</v>
      </c>
      <c r="K23" t="s">
        <v>537</v>
      </c>
      <c r="L23" t="str">
        <f>TRIM('Account Creation'!Q23)</f>
        <v/>
      </c>
      <c r="M23" t="s">
        <v>538</v>
      </c>
      <c r="N23" t="str">
        <f>TEXT('Account Creation'!G23,"mm/dd/yyyy")</f>
        <v>01/00/1900</v>
      </c>
      <c r="O23" t="s">
        <v>462</v>
      </c>
    </row>
    <row r="24" spans="1:15" x14ac:dyDescent="0.25">
      <c r="A24" t="str">
        <f>CONCATENATE('Help Desk'!D24,"@email.wal-mart.com")</f>
        <v>@email.wal-mart.com</v>
      </c>
      <c r="B24" t="str">
        <f>TRIM('Help Desk'!D24)</f>
        <v/>
      </c>
      <c r="C24" t="s">
        <v>535</v>
      </c>
      <c r="D24">
        <f>'Account Creation'!D24</f>
        <v>0</v>
      </c>
      <c r="E24">
        <f>'Account Creation'!B24</f>
        <v>0</v>
      </c>
      <c r="F24" t="s">
        <v>536</v>
      </c>
      <c r="I24" t="s">
        <v>537</v>
      </c>
      <c r="J24" t="s">
        <v>537</v>
      </c>
      <c r="K24" t="s">
        <v>537</v>
      </c>
      <c r="L24" t="str">
        <f>TRIM('Account Creation'!Q24)</f>
        <v/>
      </c>
      <c r="M24" t="s">
        <v>538</v>
      </c>
      <c r="N24" t="str">
        <f>TEXT('Account Creation'!G24,"mm/dd/yyyy")</f>
        <v>01/00/1900</v>
      </c>
      <c r="O24" t="s">
        <v>462</v>
      </c>
    </row>
    <row r="25" spans="1:15" x14ac:dyDescent="0.25">
      <c r="A25" t="str">
        <f>CONCATENATE('Help Desk'!D25,"@email.wal-mart.com")</f>
        <v>@email.wal-mart.com</v>
      </c>
      <c r="B25" t="str">
        <f>TRIM('Help Desk'!D25)</f>
        <v/>
      </c>
      <c r="C25" t="s">
        <v>535</v>
      </c>
      <c r="D25">
        <f>'Account Creation'!D25</f>
        <v>0</v>
      </c>
      <c r="E25">
        <f>'Account Creation'!B25</f>
        <v>0</v>
      </c>
      <c r="F25" t="s">
        <v>536</v>
      </c>
      <c r="I25" t="s">
        <v>537</v>
      </c>
      <c r="J25" t="s">
        <v>537</v>
      </c>
      <c r="K25" t="s">
        <v>537</v>
      </c>
      <c r="L25" t="str">
        <f>TRIM('Account Creation'!Q25)</f>
        <v/>
      </c>
      <c r="M25" t="s">
        <v>538</v>
      </c>
      <c r="N25" t="str">
        <f>TEXT('Account Creation'!G25,"mm/dd/yyyy")</f>
        <v>01/00/1900</v>
      </c>
      <c r="O25" t="s">
        <v>462</v>
      </c>
    </row>
    <row r="26" spans="1:15" x14ac:dyDescent="0.25">
      <c r="A26" t="str">
        <f>CONCATENATE('Help Desk'!D26,"@email.wal-mart.com")</f>
        <v>@email.wal-mart.com</v>
      </c>
      <c r="B26" t="str">
        <f>TRIM('Help Desk'!D26)</f>
        <v/>
      </c>
      <c r="C26" t="s">
        <v>535</v>
      </c>
      <c r="D26">
        <f>'Account Creation'!D26</f>
        <v>0</v>
      </c>
      <c r="E26">
        <f>'Account Creation'!B26</f>
        <v>0</v>
      </c>
      <c r="F26" t="s">
        <v>536</v>
      </c>
      <c r="I26" t="s">
        <v>537</v>
      </c>
      <c r="J26" t="s">
        <v>537</v>
      </c>
      <c r="K26" t="s">
        <v>537</v>
      </c>
      <c r="L26" t="str">
        <f>TRIM('Account Creation'!Q26)</f>
        <v/>
      </c>
      <c r="M26" t="s">
        <v>538</v>
      </c>
      <c r="N26" t="str">
        <f>TEXT('Account Creation'!G26,"mm/dd/yyyy")</f>
        <v>01/00/1900</v>
      </c>
      <c r="O26" t="s">
        <v>462</v>
      </c>
    </row>
    <row r="27" spans="1:15" x14ac:dyDescent="0.25">
      <c r="A27" t="str">
        <f>CONCATENATE('Help Desk'!D27,"@email.wal-mart.com")</f>
        <v>@email.wal-mart.com</v>
      </c>
      <c r="B27" t="str">
        <f>TRIM('Help Desk'!D27)</f>
        <v/>
      </c>
      <c r="C27" t="s">
        <v>535</v>
      </c>
      <c r="D27">
        <f>'Account Creation'!D27</f>
        <v>0</v>
      </c>
      <c r="E27">
        <f>'Account Creation'!B27</f>
        <v>0</v>
      </c>
      <c r="F27" t="s">
        <v>536</v>
      </c>
      <c r="I27" t="s">
        <v>537</v>
      </c>
      <c r="J27" t="s">
        <v>537</v>
      </c>
      <c r="K27" t="s">
        <v>537</v>
      </c>
      <c r="L27" t="str">
        <f>TRIM('Account Creation'!Q27)</f>
        <v/>
      </c>
      <c r="M27" t="s">
        <v>538</v>
      </c>
      <c r="N27" t="str">
        <f>TEXT('Account Creation'!G27,"mm/dd/yyyy")</f>
        <v>01/00/1900</v>
      </c>
      <c r="O27" t="s">
        <v>462</v>
      </c>
    </row>
    <row r="28" spans="1:15" x14ac:dyDescent="0.25">
      <c r="A28" t="str">
        <f>CONCATENATE('Help Desk'!D28,"@email.wal-mart.com")</f>
        <v>@email.wal-mart.com</v>
      </c>
      <c r="B28" t="str">
        <f>TRIM('Help Desk'!D28)</f>
        <v/>
      </c>
      <c r="C28" t="s">
        <v>535</v>
      </c>
      <c r="D28">
        <f>'Account Creation'!D28</f>
        <v>0</v>
      </c>
      <c r="E28">
        <f>'Account Creation'!B28</f>
        <v>0</v>
      </c>
      <c r="F28" t="s">
        <v>536</v>
      </c>
      <c r="I28" t="s">
        <v>537</v>
      </c>
      <c r="J28" t="s">
        <v>537</v>
      </c>
      <c r="K28" t="s">
        <v>537</v>
      </c>
      <c r="L28" t="str">
        <f>TRIM('Account Creation'!Q28)</f>
        <v/>
      </c>
      <c r="M28" t="s">
        <v>538</v>
      </c>
      <c r="N28" t="str">
        <f>TEXT('Account Creation'!G28,"mm/dd/yyyy")</f>
        <v>01/00/1900</v>
      </c>
      <c r="O28" t="s">
        <v>462</v>
      </c>
    </row>
    <row r="29" spans="1:15" x14ac:dyDescent="0.25">
      <c r="A29" t="str">
        <f>CONCATENATE('Help Desk'!D29,"@email.wal-mart.com")</f>
        <v>@email.wal-mart.com</v>
      </c>
      <c r="B29" t="str">
        <f>TRIM('Help Desk'!D29)</f>
        <v/>
      </c>
      <c r="C29" t="s">
        <v>535</v>
      </c>
      <c r="D29">
        <f>'Account Creation'!D29</f>
        <v>0</v>
      </c>
      <c r="E29">
        <f>'Account Creation'!B29</f>
        <v>0</v>
      </c>
      <c r="F29" t="s">
        <v>536</v>
      </c>
      <c r="I29" t="s">
        <v>537</v>
      </c>
      <c r="J29" t="s">
        <v>537</v>
      </c>
      <c r="K29" t="s">
        <v>537</v>
      </c>
      <c r="L29" t="str">
        <f>TRIM('Account Creation'!Q29)</f>
        <v/>
      </c>
      <c r="M29" t="s">
        <v>538</v>
      </c>
      <c r="N29" t="str">
        <f>TEXT('Account Creation'!G29,"mm/dd/yyyy")</f>
        <v>01/00/1900</v>
      </c>
      <c r="O29" t="s">
        <v>462</v>
      </c>
    </row>
    <row r="30" spans="1:15" x14ac:dyDescent="0.25">
      <c r="A30" t="str">
        <f>CONCATENATE('Help Desk'!D30,"@email.wal-mart.com")</f>
        <v>@email.wal-mart.com</v>
      </c>
      <c r="B30" t="str">
        <f>TRIM('Help Desk'!D30)</f>
        <v/>
      </c>
      <c r="C30" t="s">
        <v>535</v>
      </c>
      <c r="D30">
        <f>'Account Creation'!D30</f>
        <v>0</v>
      </c>
      <c r="E30">
        <f>'Account Creation'!B30</f>
        <v>0</v>
      </c>
      <c r="F30" t="s">
        <v>536</v>
      </c>
      <c r="I30" t="s">
        <v>537</v>
      </c>
      <c r="J30" t="s">
        <v>537</v>
      </c>
      <c r="K30" t="s">
        <v>537</v>
      </c>
      <c r="L30" t="str">
        <f>TRIM('Account Creation'!Q30)</f>
        <v/>
      </c>
      <c r="M30" t="s">
        <v>538</v>
      </c>
      <c r="N30" t="str">
        <f>TEXT('Account Creation'!G30,"mm/dd/yyyy")</f>
        <v>01/00/1900</v>
      </c>
      <c r="O30" t="s">
        <v>462</v>
      </c>
    </row>
    <row r="31" spans="1:15" x14ac:dyDescent="0.25">
      <c r="A31" t="str">
        <f>CONCATENATE('Help Desk'!D31,"@email.wal-mart.com")</f>
        <v>@email.wal-mart.com</v>
      </c>
      <c r="B31" t="str">
        <f>TRIM('Help Desk'!D31)</f>
        <v/>
      </c>
      <c r="C31" t="s">
        <v>535</v>
      </c>
      <c r="D31">
        <f>'Account Creation'!D31</f>
        <v>0</v>
      </c>
      <c r="E31">
        <f>'Account Creation'!B31</f>
        <v>0</v>
      </c>
      <c r="F31" t="s">
        <v>536</v>
      </c>
      <c r="I31" t="s">
        <v>537</v>
      </c>
      <c r="J31" t="s">
        <v>537</v>
      </c>
      <c r="K31" t="s">
        <v>537</v>
      </c>
      <c r="L31" t="str">
        <f>TRIM('Account Creation'!Q31)</f>
        <v/>
      </c>
      <c r="M31" t="s">
        <v>538</v>
      </c>
      <c r="N31" t="str">
        <f>TEXT('Account Creation'!G31,"mm/dd/yyyy")</f>
        <v>01/00/1900</v>
      </c>
      <c r="O31" t="s">
        <v>462</v>
      </c>
    </row>
    <row r="32" spans="1:15" x14ac:dyDescent="0.25">
      <c r="A32" t="str">
        <f>CONCATENATE('Help Desk'!D32,"@email.wal-mart.com")</f>
        <v>@email.wal-mart.com</v>
      </c>
      <c r="B32" t="str">
        <f>TRIM('Help Desk'!D32)</f>
        <v/>
      </c>
      <c r="C32" t="s">
        <v>535</v>
      </c>
      <c r="D32">
        <f>'Account Creation'!D32</f>
        <v>0</v>
      </c>
      <c r="E32">
        <f>'Account Creation'!B32</f>
        <v>0</v>
      </c>
      <c r="F32" t="s">
        <v>536</v>
      </c>
      <c r="I32" t="s">
        <v>537</v>
      </c>
      <c r="J32" t="s">
        <v>537</v>
      </c>
      <c r="K32" t="s">
        <v>537</v>
      </c>
      <c r="L32" t="str">
        <f>TRIM('Account Creation'!Q32)</f>
        <v/>
      </c>
      <c r="M32" t="s">
        <v>538</v>
      </c>
      <c r="N32" t="str">
        <f>TEXT('Account Creation'!G32,"mm/dd/yyyy")</f>
        <v>01/00/1900</v>
      </c>
      <c r="O32" t="s">
        <v>462</v>
      </c>
    </row>
    <row r="33" spans="1:15" x14ac:dyDescent="0.25">
      <c r="A33" t="str">
        <f>CONCATENATE('Help Desk'!D33,"@email.wal-mart.com")</f>
        <v>@email.wal-mart.com</v>
      </c>
      <c r="B33" t="str">
        <f>TRIM('Help Desk'!D33)</f>
        <v/>
      </c>
      <c r="C33" t="s">
        <v>535</v>
      </c>
      <c r="D33">
        <f>'Account Creation'!D33</f>
        <v>0</v>
      </c>
      <c r="E33">
        <f>'Account Creation'!B33</f>
        <v>0</v>
      </c>
      <c r="F33" t="s">
        <v>536</v>
      </c>
      <c r="I33" t="s">
        <v>537</v>
      </c>
      <c r="J33" t="s">
        <v>537</v>
      </c>
      <c r="K33" t="s">
        <v>537</v>
      </c>
      <c r="L33" t="str">
        <f>TRIM('Account Creation'!Q33)</f>
        <v/>
      </c>
      <c r="M33" t="s">
        <v>538</v>
      </c>
      <c r="N33" t="str">
        <f>TEXT('Account Creation'!G33,"mm/dd/yyyy")</f>
        <v>01/00/1900</v>
      </c>
      <c r="O33" t="s">
        <v>462</v>
      </c>
    </row>
    <row r="34" spans="1:15" x14ac:dyDescent="0.25">
      <c r="A34" t="str">
        <f>CONCATENATE('Help Desk'!D34,"@email.wal-mart.com")</f>
        <v>@email.wal-mart.com</v>
      </c>
      <c r="B34" t="str">
        <f>TRIM('Help Desk'!D34)</f>
        <v/>
      </c>
      <c r="C34" t="s">
        <v>535</v>
      </c>
      <c r="D34">
        <f>'Account Creation'!D34</f>
        <v>0</v>
      </c>
      <c r="E34">
        <f>'Account Creation'!B34</f>
        <v>0</v>
      </c>
      <c r="F34" t="s">
        <v>536</v>
      </c>
      <c r="I34" t="s">
        <v>537</v>
      </c>
      <c r="J34" t="s">
        <v>537</v>
      </c>
      <c r="K34" t="s">
        <v>537</v>
      </c>
      <c r="L34" t="str">
        <f>TRIM('Account Creation'!Q34)</f>
        <v/>
      </c>
      <c r="M34" t="s">
        <v>538</v>
      </c>
      <c r="N34" t="str">
        <f>TEXT('Account Creation'!G34,"mm/dd/yyyy")</f>
        <v>01/00/1900</v>
      </c>
      <c r="O34" t="s">
        <v>462</v>
      </c>
    </row>
    <row r="35" spans="1:15" x14ac:dyDescent="0.25">
      <c r="A35" t="str">
        <f>CONCATENATE('Help Desk'!D35,"@email.wal-mart.com")</f>
        <v>@email.wal-mart.com</v>
      </c>
      <c r="B35" t="str">
        <f>TRIM('Help Desk'!D35)</f>
        <v/>
      </c>
      <c r="C35" t="s">
        <v>535</v>
      </c>
      <c r="D35">
        <f>'Account Creation'!D35</f>
        <v>0</v>
      </c>
      <c r="E35">
        <f>'Account Creation'!B35</f>
        <v>0</v>
      </c>
      <c r="F35" t="s">
        <v>536</v>
      </c>
      <c r="I35" t="s">
        <v>537</v>
      </c>
      <c r="J35" t="s">
        <v>537</v>
      </c>
      <c r="K35" t="s">
        <v>537</v>
      </c>
      <c r="L35" t="str">
        <f>TRIM('Account Creation'!Q35)</f>
        <v/>
      </c>
      <c r="M35" t="s">
        <v>538</v>
      </c>
      <c r="N35" t="str">
        <f>TEXT('Account Creation'!G35,"mm/dd/yyyy")</f>
        <v>01/00/1900</v>
      </c>
      <c r="O35" t="s">
        <v>462</v>
      </c>
    </row>
    <row r="36" spans="1:15" x14ac:dyDescent="0.25">
      <c r="A36" t="str">
        <f>CONCATENATE('Help Desk'!D36,"@email.wal-mart.com")</f>
        <v>@email.wal-mart.com</v>
      </c>
      <c r="B36" t="str">
        <f>TRIM('Help Desk'!D36)</f>
        <v/>
      </c>
      <c r="C36" t="s">
        <v>535</v>
      </c>
      <c r="D36">
        <f>'Account Creation'!D36</f>
        <v>0</v>
      </c>
      <c r="E36">
        <f>'Account Creation'!B36</f>
        <v>0</v>
      </c>
      <c r="F36" t="s">
        <v>536</v>
      </c>
      <c r="I36" t="s">
        <v>537</v>
      </c>
      <c r="J36" t="s">
        <v>537</v>
      </c>
      <c r="K36" t="s">
        <v>537</v>
      </c>
      <c r="L36" t="str">
        <f>TRIM('Account Creation'!Q36)</f>
        <v/>
      </c>
      <c r="M36" t="s">
        <v>538</v>
      </c>
      <c r="N36" t="str">
        <f>TEXT('Account Creation'!G36,"mm/dd/yyyy")</f>
        <v>01/00/1900</v>
      </c>
      <c r="O36" t="s">
        <v>462</v>
      </c>
    </row>
    <row r="37" spans="1:15" x14ac:dyDescent="0.25">
      <c r="A37" t="str">
        <f>CONCATENATE('Help Desk'!D37,"@email.wal-mart.com")</f>
        <v>@email.wal-mart.com</v>
      </c>
      <c r="B37" t="str">
        <f>TRIM('Help Desk'!D37)</f>
        <v/>
      </c>
      <c r="C37" t="s">
        <v>535</v>
      </c>
      <c r="D37">
        <f>'Account Creation'!D37</f>
        <v>0</v>
      </c>
      <c r="E37">
        <f>'Account Creation'!B37</f>
        <v>0</v>
      </c>
      <c r="F37" t="s">
        <v>536</v>
      </c>
      <c r="I37" t="s">
        <v>537</v>
      </c>
      <c r="J37" t="s">
        <v>537</v>
      </c>
      <c r="K37" t="s">
        <v>537</v>
      </c>
      <c r="L37" t="str">
        <f>TRIM('Account Creation'!Q37)</f>
        <v/>
      </c>
      <c r="M37" t="s">
        <v>538</v>
      </c>
      <c r="N37" t="str">
        <f>TEXT('Account Creation'!G37,"mm/dd/yyyy")</f>
        <v>01/00/1900</v>
      </c>
      <c r="O37" t="s">
        <v>462</v>
      </c>
    </row>
    <row r="38" spans="1:15" x14ac:dyDescent="0.25">
      <c r="A38" t="str">
        <f>CONCATENATE('Help Desk'!D38,"@email.wal-mart.com")</f>
        <v>@email.wal-mart.com</v>
      </c>
      <c r="B38" t="str">
        <f>TRIM('Help Desk'!D38)</f>
        <v/>
      </c>
      <c r="C38" t="s">
        <v>535</v>
      </c>
      <c r="D38">
        <f>'Account Creation'!D38</f>
        <v>0</v>
      </c>
      <c r="E38">
        <f>'Account Creation'!B38</f>
        <v>0</v>
      </c>
      <c r="F38" t="s">
        <v>536</v>
      </c>
      <c r="I38" t="s">
        <v>537</v>
      </c>
      <c r="J38" t="s">
        <v>537</v>
      </c>
      <c r="K38" t="s">
        <v>537</v>
      </c>
      <c r="L38" t="str">
        <f>TRIM('Account Creation'!Q38)</f>
        <v/>
      </c>
      <c r="M38" t="s">
        <v>538</v>
      </c>
      <c r="N38" t="str">
        <f>TEXT('Account Creation'!G38,"mm/dd/yyyy")</f>
        <v>01/00/1900</v>
      </c>
      <c r="O38" t="s">
        <v>462</v>
      </c>
    </row>
    <row r="39" spans="1:15" x14ac:dyDescent="0.25">
      <c r="A39" t="str">
        <f>CONCATENATE('Help Desk'!D39,"@email.wal-mart.com")</f>
        <v>@email.wal-mart.com</v>
      </c>
      <c r="B39" t="str">
        <f>TRIM('Help Desk'!D39)</f>
        <v/>
      </c>
      <c r="C39" t="s">
        <v>535</v>
      </c>
      <c r="D39">
        <f>'Account Creation'!D39</f>
        <v>0</v>
      </c>
      <c r="E39">
        <f>'Account Creation'!B39</f>
        <v>0</v>
      </c>
      <c r="F39" t="s">
        <v>536</v>
      </c>
      <c r="I39" t="s">
        <v>537</v>
      </c>
      <c r="J39" t="s">
        <v>537</v>
      </c>
      <c r="K39" t="s">
        <v>537</v>
      </c>
      <c r="L39" t="str">
        <f>TRIM('Account Creation'!Q39)</f>
        <v/>
      </c>
      <c r="M39" t="s">
        <v>538</v>
      </c>
      <c r="N39" t="str">
        <f>TEXT('Account Creation'!G39,"mm/dd/yyyy")</f>
        <v>01/00/1900</v>
      </c>
      <c r="O39" t="s">
        <v>462</v>
      </c>
    </row>
    <row r="40" spans="1:15" x14ac:dyDescent="0.25">
      <c r="A40" t="str">
        <f>CONCATENATE('Help Desk'!D40,"@email.wal-mart.com")</f>
        <v>@email.wal-mart.com</v>
      </c>
      <c r="B40" t="str">
        <f>TRIM('Help Desk'!D40)</f>
        <v/>
      </c>
      <c r="C40" t="s">
        <v>535</v>
      </c>
      <c r="D40">
        <f>'Account Creation'!D40</f>
        <v>0</v>
      </c>
      <c r="E40">
        <f>'Account Creation'!B40</f>
        <v>0</v>
      </c>
      <c r="F40" t="s">
        <v>536</v>
      </c>
      <c r="I40" t="s">
        <v>537</v>
      </c>
      <c r="J40" t="s">
        <v>537</v>
      </c>
      <c r="K40" t="s">
        <v>537</v>
      </c>
      <c r="L40" t="str">
        <f>TRIM('Account Creation'!Q40)</f>
        <v/>
      </c>
      <c r="M40" t="s">
        <v>538</v>
      </c>
      <c r="N40" t="str">
        <f>TEXT('Account Creation'!G40,"mm/dd/yyyy")</f>
        <v>01/00/1900</v>
      </c>
      <c r="O40" t="s">
        <v>462</v>
      </c>
    </row>
    <row r="41" spans="1:15" x14ac:dyDescent="0.25">
      <c r="A41" t="str">
        <f>CONCATENATE('Help Desk'!D41,"@email.wal-mart.com")</f>
        <v>@email.wal-mart.com</v>
      </c>
      <c r="B41" t="str">
        <f>TRIM('Help Desk'!D41)</f>
        <v/>
      </c>
      <c r="C41" t="s">
        <v>535</v>
      </c>
      <c r="D41">
        <f>'Account Creation'!D41</f>
        <v>0</v>
      </c>
      <c r="E41">
        <f>'Account Creation'!B41</f>
        <v>0</v>
      </c>
      <c r="F41" t="s">
        <v>536</v>
      </c>
      <c r="I41" t="s">
        <v>537</v>
      </c>
      <c r="J41" t="s">
        <v>537</v>
      </c>
      <c r="K41" t="s">
        <v>537</v>
      </c>
      <c r="L41" t="str">
        <f>TRIM('Account Creation'!Q41)</f>
        <v/>
      </c>
      <c r="M41" t="s">
        <v>538</v>
      </c>
      <c r="N41" t="str">
        <f>TEXT('Account Creation'!G41,"mm/dd/yyyy")</f>
        <v>01/00/1900</v>
      </c>
      <c r="O41" t="s">
        <v>462</v>
      </c>
    </row>
    <row r="42" spans="1:15" x14ac:dyDescent="0.25">
      <c r="A42" t="str">
        <f>CONCATENATE('Help Desk'!D42,"@email.wal-mart.com")</f>
        <v>@email.wal-mart.com</v>
      </c>
      <c r="B42" t="str">
        <f>TRIM('Help Desk'!D42)</f>
        <v/>
      </c>
      <c r="C42" t="s">
        <v>535</v>
      </c>
      <c r="D42">
        <f>'Account Creation'!D42</f>
        <v>0</v>
      </c>
      <c r="E42">
        <f>'Account Creation'!B42</f>
        <v>0</v>
      </c>
      <c r="F42" t="s">
        <v>536</v>
      </c>
      <c r="I42" t="s">
        <v>537</v>
      </c>
      <c r="J42" t="s">
        <v>537</v>
      </c>
      <c r="K42" t="s">
        <v>537</v>
      </c>
      <c r="L42" t="str">
        <f>TRIM('Account Creation'!Q42)</f>
        <v/>
      </c>
      <c r="M42" t="s">
        <v>538</v>
      </c>
      <c r="N42" t="str">
        <f>TEXT('Account Creation'!G42,"mm/dd/yyyy")</f>
        <v>01/00/1900</v>
      </c>
      <c r="O42" t="s">
        <v>462</v>
      </c>
    </row>
    <row r="43" spans="1:15" x14ac:dyDescent="0.25">
      <c r="A43" t="str">
        <f>CONCATENATE('Help Desk'!D43,"@email.wal-mart.com")</f>
        <v>@email.wal-mart.com</v>
      </c>
      <c r="B43" t="str">
        <f>TRIM('Help Desk'!D43)</f>
        <v/>
      </c>
      <c r="C43" t="s">
        <v>535</v>
      </c>
      <c r="D43">
        <f>'Account Creation'!D43</f>
        <v>0</v>
      </c>
      <c r="E43">
        <f>'Account Creation'!B43</f>
        <v>0</v>
      </c>
      <c r="F43" t="s">
        <v>536</v>
      </c>
      <c r="I43" t="s">
        <v>537</v>
      </c>
      <c r="J43" t="s">
        <v>537</v>
      </c>
      <c r="K43" t="s">
        <v>537</v>
      </c>
      <c r="L43" t="str">
        <f>TRIM('Account Creation'!Q43)</f>
        <v/>
      </c>
      <c r="M43" t="s">
        <v>538</v>
      </c>
      <c r="N43" t="str">
        <f>TEXT('Account Creation'!G43,"mm/dd/yyyy")</f>
        <v>01/00/1900</v>
      </c>
      <c r="O43" t="s">
        <v>462</v>
      </c>
    </row>
    <row r="44" spans="1:15" x14ac:dyDescent="0.25">
      <c r="A44" t="str">
        <f>CONCATENATE('Help Desk'!D44,"@email.wal-mart.com")</f>
        <v>@email.wal-mart.com</v>
      </c>
      <c r="B44" t="str">
        <f>TRIM('Help Desk'!D44)</f>
        <v/>
      </c>
      <c r="C44" t="s">
        <v>535</v>
      </c>
      <c r="D44">
        <f>'Account Creation'!D44</f>
        <v>0</v>
      </c>
      <c r="E44">
        <f>'Account Creation'!B44</f>
        <v>0</v>
      </c>
      <c r="F44" t="s">
        <v>536</v>
      </c>
      <c r="I44" t="s">
        <v>537</v>
      </c>
      <c r="J44" t="s">
        <v>537</v>
      </c>
      <c r="K44" t="s">
        <v>537</v>
      </c>
      <c r="L44" t="str">
        <f>TRIM('Account Creation'!Q44)</f>
        <v/>
      </c>
      <c r="M44" t="s">
        <v>538</v>
      </c>
      <c r="N44" t="str">
        <f>TEXT('Account Creation'!G44,"mm/dd/yyyy")</f>
        <v>01/00/1900</v>
      </c>
      <c r="O44" t="s">
        <v>462</v>
      </c>
    </row>
    <row r="45" spans="1:15" x14ac:dyDescent="0.25">
      <c r="A45" t="str">
        <f>CONCATENATE('Help Desk'!D45,"@email.wal-mart.com")</f>
        <v>@email.wal-mart.com</v>
      </c>
      <c r="B45" t="str">
        <f>TRIM('Help Desk'!D45)</f>
        <v/>
      </c>
      <c r="C45" t="s">
        <v>535</v>
      </c>
      <c r="D45">
        <f>'Account Creation'!D45</f>
        <v>0</v>
      </c>
      <c r="E45">
        <f>'Account Creation'!B45</f>
        <v>0</v>
      </c>
      <c r="F45" t="s">
        <v>536</v>
      </c>
      <c r="I45" t="s">
        <v>537</v>
      </c>
      <c r="J45" t="s">
        <v>537</v>
      </c>
      <c r="K45" t="s">
        <v>537</v>
      </c>
      <c r="L45" t="str">
        <f>TRIM('Account Creation'!Q45)</f>
        <v/>
      </c>
      <c r="M45" t="s">
        <v>538</v>
      </c>
      <c r="N45" t="str">
        <f>TEXT('Account Creation'!G45,"mm/dd/yyyy")</f>
        <v>01/00/1900</v>
      </c>
      <c r="O45" t="s">
        <v>462</v>
      </c>
    </row>
    <row r="46" spans="1:15" x14ac:dyDescent="0.25">
      <c r="A46" t="str">
        <f>CONCATENATE('Help Desk'!D46,"@email.wal-mart.com")</f>
        <v>@email.wal-mart.com</v>
      </c>
      <c r="B46" t="str">
        <f>TRIM('Help Desk'!D46)</f>
        <v/>
      </c>
      <c r="C46" t="s">
        <v>535</v>
      </c>
      <c r="D46">
        <f>'Account Creation'!D46</f>
        <v>0</v>
      </c>
      <c r="E46">
        <f>'Account Creation'!B46</f>
        <v>0</v>
      </c>
      <c r="F46" t="s">
        <v>536</v>
      </c>
      <c r="I46" t="s">
        <v>537</v>
      </c>
      <c r="J46" t="s">
        <v>537</v>
      </c>
      <c r="K46" t="s">
        <v>537</v>
      </c>
      <c r="L46" t="str">
        <f>TRIM('Account Creation'!Q46)</f>
        <v/>
      </c>
      <c r="M46" t="s">
        <v>538</v>
      </c>
      <c r="N46" t="str">
        <f>TEXT('Account Creation'!G46,"mm/dd/yyyy")</f>
        <v>01/00/1900</v>
      </c>
      <c r="O46" t="s">
        <v>462</v>
      </c>
    </row>
    <row r="47" spans="1:15" x14ac:dyDescent="0.25">
      <c r="A47" t="str">
        <f>CONCATENATE('Help Desk'!D47,"@email.wal-mart.com")</f>
        <v>@email.wal-mart.com</v>
      </c>
      <c r="B47" t="str">
        <f>TRIM('Help Desk'!D47)</f>
        <v/>
      </c>
      <c r="C47" t="s">
        <v>535</v>
      </c>
      <c r="D47">
        <f>'Account Creation'!D47</f>
        <v>0</v>
      </c>
      <c r="E47">
        <f>'Account Creation'!B47</f>
        <v>0</v>
      </c>
      <c r="F47" t="s">
        <v>536</v>
      </c>
      <c r="I47" t="s">
        <v>537</v>
      </c>
      <c r="J47" t="s">
        <v>537</v>
      </c>
      <c r="K47" t="s">
        <v>537</v>
      </c>
      <c r="L47" t="str">
        <f>TRIM('Account Creation'!Q47)</f>
        <v/>
      </c>
      <c r="M47" t="s">
        <v>538</v>
      </c>
      <c r="N47" t="str">
        <f>TEXT('Account Creation'!G47,"mm/dd/yyyy")</f>
        <v>01/00/1900</v>
      </c>
      <c r="O47" t="s">
        <v>462</v>
      </c>
    </row>
    <row r="48" spans="1:15" x14ac:dyDescent="0.25">
      <c r="A48" t="str">
        <f>CONCATENATE('Help Desk'!D48,"@email.wal-mart.com")</f>
        <v>@email.wal-mart.com</v>
      </c>
      <c r="B48" t="str">
        <f>TRIM('Help Desk'!D48)</f>
        <v/>
      </c>
      <c r="C48" t="s">
        <v>535</v>
      </c>
      <c r="D48">
        <f>'Account Creation'!D48</f>
        <v>0</v>
      </c>
      <c r="E48">
        <f>'Account Creation'!B48</f>
        <v>0</v>
      </c>
      <c r="F48" t="s">
        <v>536</v>
      </c>
      <c r="I48" t="s">
        <v>537</v>
      </c>
      <c r="J48" t="s">
        <v>537</v>
      </c>
      <c r="K48" t="s">
        <v>537</v>
      </c>
      <c r="L48" t="str">
        <f>TRIM('Account Creation'!Q48)</f>
        <v/>
      </c>
      <c r="M48" t="s">
        <v>538</v>
      </c>
      <c r="N48" t="str">
        <f>TEXT('Account Creation'!G48,"mm/dd/yyyy")</f>
        <v>01/00/1900</v>
      </c>
      <c r="O48" t="s">
        <v>462</v>
      </c>
    </row>
    <row r="49" spans="1:15" x14ac:dyDescent="0.25">
      <c r="A49" t="str">
        <f>CONCATENATE('Help Desk'!D49,"@email.wal-mart.com")</f>
        <v>@email.wal-mart.com</v>
      </c>
      <c r="B49" t="str">
        <f>TRIM('Help Desk'!D49)</f>
        <v/>
      </c>
      <c r="C49" t="s">
        <v>535</v>
      </c>
      <c r="D49">
        <f>'Account Creation'!D49</f>
        <v>0</v>
      </c>
      <c r="E49">
        <f>'Account Creation'!B49</f>
        <v>0</v>
      </c>
      <c r="F49" t="s">
        <v>536</v>
      </c>
      <c r="I49" t="s">
        <v>537</v>
      </c>
      <c r="J49" t="s">
        <v>537</v>
      </c>
      <c r="K49" t="s">
        <v>537</v>
      </c>
      <c r="L49" t="str">
        <f>TRIM('Account Creation'!Q49)</f>
        <v/>
      </c>
      <c r="M49" t="s">
        <v>538</v>
      </c>
      <c r="N49" t="str">
        <f>TEXT('Account Creation'!G49,"mm/dd/yyyy")</f>
        <v>01/00/1900</v>
      </c>
      <c r="O49" t="s">
        <v>462</v>
      </c>
    </row>
    <row r="50" spans="1:15" x14ac:dyDescent="0.25">
      <c r="A50" t="str">
        <f>CONCATENATE('Help Desk'!D50,"@email.wal-mart.com")</f>
        <v>@email.wal-mart.com</v>
      </c>
      <c r="B50" t="str">
        <f>TRIM('Help Desk'!D50)</f>
        <v/>
      </c>
      <c r="C50" t="s">
        <v>535</v>
      </c>
      <c r="D50">
        <f>'Account Creation'!D50</f>
        <v>0</v>
      </c>
      <c r="E50">
        <f>'Account Creation'!B50</f>
        <v>0</v>
      </c>
      <c r="F50" t="s">
        <v>536</v>
      </c>
      <c r="I50" t="s">
        <v>537</v>
      </c>
      <c r="J50" t="s">
        <v>537</v>
      </c>
      <c r="K50" t="s">
        <v>537</v>
      </c>
      <c r="L50" t="str">
        <f>TRIM('Account Creation'!Q50)</f>
        <v/>
      </c>
      <c r="M50" t="s">
        <v>538</v>
      </c>
      <c r="N50" t="str">
        <f>TEXT('Account Creation'!G50,"mm/dd/yyyy")</f>
        <v>01/00/1900</v>
      </c>
      <c r="O50" t="s">
        <v>462</v>
      </c>
    </row>
    <row r="51" spans="1:15" x14ac:dyDescent="0.25">
      <c r="A51" t="str">
        <f>CONCATENATE('Help Desk'!D51,"@email.wal-mart.com")</f>
        <v>@email.wal-mart.com</v>
      </c>
      <c r="B51" t="str">
        <f>TRIM('Help Desk'!D51)</f>
        <v/>
      </c>
      <c r="C51" t="s">
        <v>535</v>
      </c>
      <c r="D51">
        <f>'Account Creation'!D51</f>
        <v>0</v>
      </c>
      <c r="E51">
        <f>'Account Creation'!B51</f>
        <v>0</v>
      </c>
      <c r="F51" t="s">
        <v>536</v>
      </c>
      <c r="I51" t="s">
        <v>537</v>
      </c>
      <c r="J51" t="s">
        <v>537</v>
      </c>
      <c r="K51" t="s">
        <v>537</v>
      </c>
      <c r="L51" t="str">
        <f>TRIM('Account Creation'!Q51)</f>
        <v/>
      </c>
      <c r="M51" t="s">
        <v>538</v>
      </c>
      <c r="N51" t="str">
        <f>TEXT('Account Creation'!G51,"mm/dd/yyyy")</f>
        <v>01/00/1900</v>
      </c>
      <c r="O51" t="s">
        <v>462</v>
      </c>
    </row>
    <row r="52" spans="1:15" x14ac:dyDescent="0.25">
      <c r="A52" t="str">
        <f>CONCATENATE('Help Desk'!D52,"@email.wal-mart.com")</f>
        <v>@email.wal-mart.com</v>
      </c>
      <c r="B52" t="str">
        <f>TRIM('Help Desk'!D52)</f>
        <v/>
      </c>
      <c r="C52" t="s">
        <v>535</v>
      </c>
      <c r="D52">
        <f>'Account Creation'!D52</f>
        <v>0</v>
      </c>
      <c r="E52">
        <f>'Account Creation'!B52</f>
        <v>0</v>
      </c>
      <c r="F52" t="s">
        <v>536</v>
      </c>
      <c r="I52" t="s">
        <v>537</v>
      </c>
      <c r="J52" t="s">
        <v>537</v>
      </c>
      <c r="K52" t="s">
        <v>537</v>
      </c>
      <c r="L52" t="str">
        <f>TRIM('Account Creation'!Q52)</f>
        <v/>
      </c>
      <c r="M52" t="s">
        <v>538</v>
      </c>
      <c r="N52" t="str">
        <f>TEXT('Account Creation'!G52,"mm/dd/yyyy")</f>
        <v>01/00/1900</v>
      </c>
      <c r="O52" t="s">
        <v>462</v>
      </c>
    </row>
    <row r="53" spans="1:15" x14ac:dyDescent="0.25">
      <c r="A53" t="str">
        <f>CONCATENATE('Help Desk'!D53,"@email.wal-mart.com")</f>
        <v>@email.wal-mart.com</v>
      </c>
      <c r="B53" t="str">
        <f>TRIM('Help Desk'!D53)</f>
        <v/>
      </c>
      <c r="C53" t="s">
        <v>535</v>
      </c>
      <c r="D53">
        <f>'Account Creation'!D53</f>
        <v>0</v>
      </c>
      <c r="E53">
        <f>'Account Creation'!B53</f>
        <v>0</v>
      </c>
      <c r="F53" t="s">
        <v>536</v>
      </c>
      <c r="I53" t="s">
        <v>537</v>
      </c>
      <c r="J53" t="s">
        <v>537</v>
      </c>
      <c r="K53" t="s">
        <v>537</v>
      </c>
      <c r="L53" t="str">
        <f>TRIM('Account Creation'!Q53)</f>
        <v/>
      </c>
      <c r="M53" t="s">
        <v>538</v>
      </c>
      <c r="N53" t="str">
        <f>TEXT('Account Creation'!G53,"mm/dd/yyyy")</f>
        <v>01/00/1900</v>
      </c>
      <c r="O53" t="s">
        <v>462</v>
      </c>
    </row>
    <row r="54" spans="1:15" x14ac:dyDescent="0.25">
      <c r="A54" t="str">
        <f>CONCATENATE('Help Desk'!D54,"@email.wal-mart.com")</f>
        <v>@email.wal-mart.com</v>
      </c>
      <c r="B54" t="str">
        <f>TRIM('Help Desk'!D54)</f>
        <v/>
      </c>
      <c r="C54" t="s">
        <v>535</v>
      </c>
      <c r="D54">
        <f>'Account Creation'!D54</f>
        <v>0</v>
      </c>
      <c r="E54">
        <f>'Account Creation'!B54</f>
        <v>0</v>
      </c>
      <c r="F54" t="s">
        <v>536</v>
      </c>
      <c r="I54" t="s">
        <v>537</v>
      </c>
      <c r="J54" t="s">
        <v>537</v>
      </c>
      <c r="K54" t="s">
        <v>537</v>
      </c>
      <c r="L54" t="str">
        <f>TRIM('Account Creation'!Q54)</f>
        <v/>
      </c>
      <c r="M54" t="s">
        <v>538</v>
      </c>
      <c r="N54" t="str">
        <f>TEXT('Account Creation'!G54,"mm/dd/yyyy")</f>
        <v>01/00/1900</v>
      </c>
      <c r="O54" t="s">
        <v>462</v>
      </c>
    </row>
    <row r="55" spans="1:15" x14ac:dyDescent="0.25">
      <c r="A55" t="str">
        <f>CONCATENATE('Help Desk'!D55,"@email.wal-mart.com")</f>
        <v>@email.wal-mart.com</v>
      </c>
      <c r="B55" t="str">
        <f>TRIM('Help Desk'!D55)</f>
        <v/>
      </c>
      <c r="C55" t="s">
        <v>535</v>
      </c>
      <c r="D55">
        <f>'Account Creation'!D55</f>
        <v>0</v>
      </c>
      <c r="E55">
        <f>'Account Creation'!B55</f>
        <v>0</v>
      </c>
      <c r="F55" t="s">
        <v>536</v>
      </c>
      <c r="I55" t="s">
        <v>537</v>
      </c>
      <c r="J55" t="s">
        <v>537</v>
      </c>
      <c r="K55" t="s">
        <v>537</v>
      </c>
      <c r="L55" t="str">
        <f>TRIM('Account Creation'!Q55)</f>
        <v/>
      </c>
      <c r="M55" t="s">
        <v>538</v>
      </c>
      <c r="N55" t="str">
        <f>TEXT('Account Creation'!G55,"mm/dd/yyyy")</f>
        <v>01/00/1900</v>
      </c>
      <c r="O55" t="s">
        <v>462</v>
      </c>
    </row>
    <row r="56" spans="1:15" x14ac:dyDescent="0.25">
      <c r="A56" t="str">
        <f>CONCATENATE('Help Desk'!D56,"@email.wal-mart.com")</f>
        <v>@email.wal-mart.com</v>
      </c>
      <c r="B56" t="str">
        <f>TRIM('Help Desk'!D56)</f>
        <v/>
      </c>
      <c r="C56" t="s">
        <v>535</v>
      </c>
      <c r="D56">
        <f>'Account Creation'!D56</f>
        <v>0</v>
      </c>
      <c r="E56">
        <f>'Account Creation'!B56</f>
        <v>0</v>
      </c>
      <c r="F56" t="s">
        <v>536</v>
      </c>
      <c r="I56" t="s">
        <v>537</v>
      </c>
      <c r="J56" t="s">
        <v>537</v>
      </c>
      <c r="K56" t="s">
        <v>537</v>
      </c>
      <c r="L56" t="str">
        <f>TRIM('Account Creation'!Q56)</f>
        <v/>
      </c>
      <c r="M56" t="s">
        <v>538</v>
      </c>
      <c r="N56" t="str">
        <f>TEXT('Account Creation'!G56,"mm/dd/yyyy")</f>
        <v>01/00/1900</v>
      </c>
      <c r="O56" t="s">
        <v>462</v>
      </c>
    </row>
    <row r="57" spans="1:15" x14ac:dyDescent="0.25">
      <c r="A57" t="str">
        <f>CONCATENATE('Help Desk'!D57,"@email.wal-mart.com")</f>
        <v>@email.wal-mart.com</v>
      </c>
      <c r="B57" t="str">
        <f>TRIM('Help Desk'!D57)</f>
        <v/>
      </c>
      <c r="C57" t="s">
        <v>535</v>
      </c>
      <c r="D57">
        <f>'Account Creation'!D57</f>
        <v>0</v>
      </c>
      <c r="E57">
        <f>'Account Creation'!B57</f>
        <v>0</v>
      </c>
      <c r="F57" t="s">
        <v>536</v>
      </c>
      <c r="I57" t="s">
        <v>537</v>
      </c>
      <c r="J57" t="s">
        <v>537</v>
      </c>
      <c r="K57" t="s">
        <v>537</v>
      </c>
      <c r="L57" t="str">
        <f>TRIM('Account Creation'!Q57)</f>
        <v/>
      </c>
      <c r="M57" t="s">
        <v>538</v>
      </c>
      <c r="N57" t="str">
        <f>TEXT('Account Creation'!G57,"mm/dd/yyyy")</f>
        <v>01/00/1900</v>
      </c>
      <c r="O57" t="s">
        <v>462</v>
      </c>
    </row>
    <row r="58" spans="1:15" x14ac:dyDescent="0.25">
      <c r="A58" t="str">
        <f>CONCATENATE('Help Desk'!D58,"@email.wal-mart.com")</f>
        <v>@email.wal-mart.com</v>
      </c>
      <c r="B58" t="str">
        <f>TRIM('Help Desk'!D58)</f>
        <v/>
      </c>
      <c r="C58" t="s">
        <v>535</v>
      </c>
      <c r="D58">
        <f>'Account Creation'!D58</f>
        <v>0</v>
      </c>
      <c r="E58">
        <f>'Account Creation'!B58</f>
        <v>0</v>
      </c>
      <c r="F58" t="s">
        <v>536</v>
      </c>
      <c r="I58" t="s">
        <v>537</v>
      </c>
      <c r="J58" t="s">
        <v>537</v>
      </c>
      <c r="K58" t="s">
        <v>537</v>
      </c>
      <c r="L58" t="str">
        <f>TRIM('Account Creation'!Q58)</f>
        <v/>
      </c>
      <c r="M58" t="s">
        <v>538</v>
      </c>
      <c r="N58" t="str">
        <f>TEXT('Account Creation'!G58,"mm/dd/yyyy")</f>
        <v>01/00/1900</v>
      </c>
      <c r="O58" t="s">
        <v>462</v>
      </c>
    </row>
    <row r="59" spans="1:15" x14ac:dyDescent="0.25">
      <c r="A59" t="str">
        <f>CONCATENATE('Help Desk'!D59,"@email.wal-mart.com")</f>
        <v>@email.wal-mart.com</v>
      </c>
      <c r="B59" t="str">
        <f>TRIM('Help Desk'!D59)</f>
        <v/>
      </c>
      <c r="C59" t="s">
        <v>535</v>
      </c>
      <c r="D59">
        <f>'Account Creation'!D59</f>
        <v>0</v>
      </c>
      <c r="E59">
        <f>'Account Creation'!B59</f>
        <v>0</v>
      </c>
      <c r="F59" t="s">
        <v>536</v>
      </c>
      <c r="I59" t="s">
        <v>537</v>
      </c>
      <c r="J59" t="s">
        <v>537</v>
      </c>
      <c r="K59" t="s">
        <v>537</v>
      </c>
      <c r="L59" t="str">
        <f>TRIM('Account Creation'!Q59)</f>
        <v/>
      </c>
      <c r="M59" t="s">
        <v>538</v>
      </c>
      <c r="N59" t="str">
        <f>TEXT('Account Creation'!G59,"mm/dd/yyyy")</f>
        <v>01/00/1900</v>
      </c>
      <c r="O59" t="s">
        <v>462</v>
      </c>
    </row>
    <row r="60" spans="1:15" x14ac:dyDescent="0.25">
      <c r="A60" t="str">
        <f>CONCATENATE('Help Desk'!D60,"@email.wal-mart.com")</f>
        <v>@email.wal-mart.com</v>
      </c>
      <c r="B60" t="str">
        <f>TRIM('Help Desk'!D60)</f>
        <v/>
      </c>
      <c r="C60" t="s">
        <v>535</v>
      </c>
      <c r="D60">
        <f>'Account Creation'!D60</f>
        <v>0</v>
      </c>
      <c r="E60">
        <f>'Account Creation'!B60</f>
        <v>0</v>
      </c>
      <c r="F60" t="s">
        <v>536</v>
      </c>
      <c r="I60" t="s">
        <v>537</v>
      </c>
      <c r="J60" t="s">
        <v>537</v>
      </c>
      <c r="K60" t="s">
        <v>537</v>
      </c>
      <c r="L60" t="str">
        <f>TRIM('Account Creation'!Q60)</f>
        <v/>
      </c>
      <c r="M60" t="s">
        <v>538</v>
      </c>
      <c r="N60" t="str">
        <f>TEXT('Account Creation'!G60,"mm/dd/yyyy")</f>
        <v>01/00/1900</v>
      </c>
      <c r="O60" t="s">
        <v>462</v>
      </c>
    </row>
    <row r="61" spans="1:15" x14ac:dyDescent="0.25">
      <c r="A61" t="str">
        <f>CONCATENATE('Help Desk'!D61,"@email.wal-mart.com")</f>
        <v>@email.wal-mart.com</v>
      </c>
      <c r="B61" t="str">
        <f>TRIM('Help Desk'!D61)</f>
        <v/>
      </c>
      <c r="C61" t="s">
        <v>535</v>
      </c>
      <c r="D61">
        <f>'Account Creation'!D61</f>
        <v>0</v>
      </c>
      <c r="E61">
        <f>'Account Creation'!B61</f>
        <v>0</v>
      </c>
      <c r="F61" t="s">
        <v>536</v>
      </c>
      <c r="I61" t="s">
        <v>537</v>
      </c>
      <c r="J61" t="s">
        <v>537</v>
      </c>
      <c r="K61" t="s">
        <v>537</v>
      </c>
      <c r="L61" t="str">
        <f>TRIM('Account Creation'!Q61)</f>
        <v/>
      </c>
      <c r="M61" t="s">
        <v>538</v>
      </c>
      <c r="N61" t="str">
        <f>TEXT('Account Creation'!G61,"mm/dd/yyyy")</f>
        <v>01/00/1900</v>
      </c>
      <c r="O61" t="s">
        <v>462</v>
      </c>
    </row>
    <row r="62" spans="1:15" x14ac:dyDescent="0.25">
      <c r="A62" t="str">
        <f>CONCATENATE('Help Desk'!D62,"@email.wal-mart.com")</f>
        <v>@email.wal-mart.com</v>
      </c>
      <c r="B62" t="str">
        <f>TRIM('Help Desk'!D62)</f>
        <v/>
      </c>
      <c r="C62" t="s">
        <v>535</v>
      </c>
      <c r="D62">
        <f>'Account Creation'!D62</f>
        <v>0</v>
      </c>
      <c r="E62">
        <f>'Account Creation'!B62</f>
        <v>0</v>
      </c>
      <c r="F62" t="s">
        <v>536</v>
      </c>
      <c r="I62" t="s">
        <v>537</v>
      </c>
      <c r="J62" t="s">
        <v>537</v>
      </c>
      <c r="K62" t="s">
        <v>537</v>
      </c>
      <c r="L62" t="str">
        <f>TRIM('Account Creation'!Q62)</f>
        <v/>
      </c>
      <c r="M62" t="s">
        <v>538</v>
      </c>
      <c r="N62" t="str">
        <f>TEXT('Account Creation'!G62,"mm/dd/yyyy")</f>
        <v>01/00/1900</v>
      </c>
      <c r="O62" t="s">
        <v>462</v>
      </c>
    </row>
    <row r="63" spans="1:15" x14ac:dyDescent="0.25">
      <c r="A63" t="str">
        <f>CONCATENATE('Help Desk'!D63,"@email.wal-mart.com")</f>
        <v>@email.wal-mart.com</v>
      </c>
      <c r="B63" t="str">
        <f>TRIM('Help Desk'!D63)</f>
        <v/>
      </c>
      <c r="C63" t="s">
        <v>535</v>
      </c>
      <c r="D63">
        <f>'Account Creation'!D63</f>
        <v>0</v>
      </c>
      <c r="E63">
        <f>'Account Creation'!B63</f>
        <v>0</v>
      </c>
      <c r="F63" t="s">
        <v>536</v>
      </c>
      <c r="I63" t="s">
        <v>537</v>
      </c>
      <c r="J63" t="s">
        <v>537</v>
      </c>
      <c r="K63" t="s">
        <v>537</v>
      </c>
      <c r="L63" t="str">
        <f>TRIM('Account Creation'!Q63)</f>
        <v/>
      </c>
      <c r="M63" t="s">
        <v>538</v>
      </c>
      <c r="N63" t="str">
        <f>TEXT('Account Creation'!G63,"mm/dd/yyyy")</f>
        <v>01/00/1900</v>
      </c>
      <c r="O63" t="s">
        <v>462</v>
      </c>
    </row>
    <row r="64" spans="1:15" x14ac:dyDescent="0.25">
      <c r="A64" t="str">
        <f>CONCATENATE('Help Desk'!D64,"@email.wal-mart.com")</f>
        <v>@email.wal-mart.com</v>
      </c>
      <c r="B64" t="str">
        <f>TRIM('Help Desk'!D64)</f>
        <v/>
      </c>
      <c r="C64" t="s">
        <v>535</v>
      </c>
      <c r="D64">
        <f>'Account Creation'!D64</f>
        <v>0</v>
      </c>
      <c r="E64">
        <f>'Account Creation'!B64</f>
        <v>0</v>
      </c>
      <c r="F64" t="s">
        <v>536</v>
      </c>
      <c r="I64" t="s">
        <v>537</v>
      </c>
      <c r="J64" t="s">
        <v>537</v>
      </c>
      <c r="K64" t="s">
        <v>537</v>
      </c>
      <c r="L64" t="str">
        <f>TRIM('Account Creation'!Q64)</f>
        <v/>
      </c>
      <c r="M64" t="s">
        <v>538</v>
      </c>
      <c r="N64" t="str">
        <f>TEXT('Account Creation'!G64,"mm/dd/yyyy")</f>
        <v>01/00/1900</v>
      </c>
      <c r="O64" t="s">
        <v>462</v>
      </c>
    </row>
    <row r="65" spans="1:15" x14ac:dyDescent="0.25">
      <c r="A65" t="str">
        <f>CONCATENATE('Help Desk'!D65,"@email.wal-mart.com")</f>
        <v>@email.wal-mart.com</v>
      </c>
      <c r="B65" t="str">
        <f>TRIM('Help Desk'!D65)</f>
        <v/>
      </c>
      <c r="C65" t="s">
        <v>535</v>
      </c>
      <c r="D65">
        <f>'Account Creation'!D65</f>
        <v>0</v>
      </c>
      <c r="E65">
        <f>'Account Creation'!B65</f>
        <v>0</v>
      </c>
      <c r="F65" t="s">
        <v>536</v>
      </c>
      <c r="I65" t="s">
        <v>537</v>
      </c>
      <c r="J65" t="s">
        <v>537</v>
      </c>
      <c r="K65" t="s">
        <v>537</v>
      </c>
      <c r="L65" t="str">
        <f>TRIM('Account Creation'!Q65)</f>
        <v/>
      </c>
      <c r="M65" t="s">
        <v>538</v>
      </c>
      <c r="N65" t="str">
        <f>TEXT('Account Creation'!G65,"mm/dd/yyyy")</f>
        <v>01/00/1900</v>
      </c>
      <c r="O65" t="s">
        <v>462</v>
      </c>
    </row>
    <row r="66" spans="1:15" x14ac:dyDescent="0.25">
      <c r="A66" t="str">
        <f>CONCATENATE('Help Desk'!D66,"@email.wal-mart.com")</f>
        <v>@email.wal-mart.com</v>
      </c>
      <c r="B66" t="str">
        <f>TRIM('Help Desk'!D66)</f>
        <v/>
      </c>
      <c r="C66" t="s">
        <v>535</v>
      </c>
      <c r="D66">
        <f>'Account Creation'!D66</f>
        <v>0</v>
      </c>
      <c r="E66">
        <f>'Account Creation'!B66</f>
        <v>0</v>
      </c>
      <c r="F66" t="s">
        <v>536</v>
      </c>
      <c r="I66" t="s">
        <v>537</v>
      </c>
      <c r="J66" t="s">
        <v>537</v>
      </c>
      <c r="K66" t="s">
        <v>537</v>
      </c>
      <c r="L66" t="str">
        <f>TRIM('Account Creation'!Q66)</f>
        <v/>
      </c>
      <c r="M66" t="s">
        <v>538</v>
      </c>
      <c r="N66" t="str">
        <f>TEXT('Account Creation'!G66,"mm/dd/yyyy")</f>
        <v>01/00/1900</v>
      </c>
      <c r="O66" t="s">
        <v>462</v>
      </c>
    </row>
    <row r="67" spans="1:15" x14ac:dyDescent="0.25">
      <c r="A67" t="str">
        <f>CONCATENATE('Help Desk'!D67,"@email.wal-mart.com")</f>
        <v>@email.wal-mart.com</v>
      </c>
      <c r="B67" t="str">
        <f>TRIM('Help Desk'!D67)</f>
        <v/>
      </c>
      <c r="C67" t="s">
        <v>535</v>
      </c>
      <c r="D67">
        <f>'Account Creation'!D67</f>
        <v>0</v>
      </c>
      <c r="E67">
        <f>'Account Creation'!B67</f>
        <v>0</v>
      </c>
      <c r="F67" t="s">
        <v>536</v>
      </c>
      <c r="I67" t="s">
        <v>537</v>
      </c>
      <c r="J67" t="s">
        <v>537</v>
      </c>
      <c r="K67" t="s">
        <v>537</v>
      </c>
      <c r="L67" t="str">
        <f>TRIM('Account Creation'!Q67)</f>
        <v/>
      </c>
      <c r="M67" t="s">
        <v>538</v>
      </c>
      <c r="N67" t="str">
        <f>TEXT('Account Creation'!G67,"mm/dd/yyyy")</f>
        <v>01/00/1900</v>
      </c>
      <c r="O67" t="s">
        <v>462</v>
      </c>
    </row>
    <row r="68" spans="1:15" x14ac:dyDescent="0.25">
      <c r="A68" t="str">
        <f>CONCATENATE('Help Desk'!D68,"@email.wal-mart.com")</f>
        <v>@email.wal-mart.com</v>
      </c>
      <c r="B68" t="str">
        <f>TRIM('Help Desk'!D68)</f>
        <v/>
      </c>
      <c r="C68" t="s">
        <v>535</v>
      </c>
      <c r="D68">
        <f>'Account Creation'!D68</f>
        <v>0</v>
      </c>
      <c r="E68">
        <f>'Account Creation'!B68</f>
        <v>0</v>
      </c>
      <c r="F68" t="s">
        <v>536</v>
      </c>
      <c r="I68" t="s">
        <v>537</v>
      </c>
      <c r="J68" t="s">
        <v>537</v>
      </c>
      <c r="K68" t="s">
        <v>537</v>
      </c>
      <c r="L68" t="str">
        <f>TRIM('Account Creation'!Q68)</f>
        <v/>
      </c>
      <c r="M68" t="s">
        <v>538</v>
      </c>
      <c r="N68" t="str">
        <f>TEXT('Account Creation'!G68,"mm/dd/yyyy")</f>
        <v>01/00/1900</v>
      </c>
      <c r="O68" t="s">
        <v>462</v>
      </c>
    </row>
    <row r="69" spans="1:15" x14ac:dyDescent="0.25">
      <c r="A69" t="str">
        <f>CONCATENATE('Help Desk'!D69,"@email.wal-mart.com")</f>
        <v>@email.wal-mart.com</v>
      </c>
      <c r="B69" t="str">
        <f>TRIM('Help Desk'!D69)</f>
        <v/>
      </c>
      <c r="C69" t="s">
        <v>535</v>
      </c>
      <c r="D69">
        <f>'Account Creation'!D69</f>
        <v>0</v>
      </c>
      <c r="E69">
        <f>'Account Creation'!B69</f>
        <v>0</v>
      </c>
      <c r="F69" t="s">
        <v>536</v>
      </c>
      <c r="I69" t="s">
        <v>537</v>
      </c>
      <c r="J69" t="s">
        <v>537</v>
      </c>
      <c r="K69" t="s">
        <v>537</v>
      </c>
      <c r="L69" t="str">
        <f>TRIM('Account Creation'!Q69)</f>
        <v/>
      </c>
      <c r="M69" t="s">
        <v>538</v>
      </c>
      <c r="N69" t="str">
        <f>TEXT('Account Creation'!G69,"mm/dd/yyyy")</f>
        <v>01/00/1900</v>
      </c>
      <c r="O69" t="s">
        <v>462</v>
      </c>
    </row>
    <row r="70" spans="1:15" x14ac:dyDescent="0.25">
      <c r="A70" t="str">
        <f>CONCATENATE('Help Desk'!D70,"@email.wal-mart.com")</f>
        <v>@email.wal-mart.com</v>
      </c>
      <c r="B70" t="str">
        <f>TRIM('Help Desk'!D70)</f>
        <v/>
      </c>
      <c r="C70" t="s">
        <v>535</v>
      </c>
      <c r="D70">
        <f>'Account Creation'!D70</f>
        <v>0</v>
      </c>
      <c r="E70">
        <f>'Account Creation'!B70</f>
        <v>0</v>
      </c>
      <c r="F70" t="s">
        <v>536</v>
      </c>
      <c r="I70" t="s">
        <v>537</v>
      </c>
      <c r="J70" t="s">
        <v>537</v>
      </c>
      <c r="K70" t="s">
        <v>537</v>
      </c>
      <c r="L70" t="str">
        <f>TRIM('Account Creation'!Q70)</f>
        <v/>
      </c>
      <c r="M70" t="s">
        <v>538</v>
      </c>
      <c r="N70" t="str">
        <f>TEXT('Account Creation'!G70,"mm/dd/yyyy")</f>
        <v>01/00/1900</v>
      </c>
      <c r="O70" t="s">
        <v>462</v>
      </c>
    </row>
    <row r="71" spans="1:15" x14ac:dyDescent="0.25">
      <c r="A71" t="str">
        <f>CONCATENATE('Help Desk'!D71,"@email.wal-mart.com")</f>
        <v>@email.wal-mart.com</v>
      </c>
      <c r="B71" t="str">
        <f>TRIM('Help Desk'!D71)</f>
        <v/>
      </c>
      <c r="C71" t="s">
        <v>535</v>
      </c>
      <c r="D71">
        <f>'Account Creation'!D71</f>
        <v>0</v>
      </c>
      <c r="E71">
        <f>'Account Creation'!B71</f>
        <v>0</v>
      </c>
      <c r="F71" t="s">
        <v>536</v>
      </c>
      <c r="I71" t="s">
        <v>537</v>
      </c>
      <c r="J71" t="s">
        <v>537</v>
      </c>
      <c r="K71" t="s">
        <v>537</v>
      </c>
      <c r="L71" t="str">
        <f>TRIM('Account Creation'!Q71)</f>
        <v/>
      </c>
      <c r="M71" t="s">
        <v>538</v>
      </c>
      <c r="N71" t="str">
        <f>TEXT('Account Creation'!G71,"mm/dd/yyyy")</f>
        <v>01/00/1900</v>
      </c>
      <c r="O71" t="s">
        <v>462</v>
      </c>
    </row>
    <row r="72" spans="1:15" x14ac:dyDescent="0.25">
      <c r="A72" t="str">
        <f>CONCATENATE('Help Desk'!D72,"@email.wal-mart.com")</f>
        <v>@email.wal-mart.com</v>
      </c>
      <c r="B72" t="str">
        <f>TRIM('Help Desk'!D72)</f>
        <v/>
      </c>
      <c r="C72" t="s">
        <v>535</v>
      </c>
      <c r="D72">
        <f>'Account Creation'!D72</f>
        <v>0</v>
      </c>
      <c r="E72">
        <f>'Account Creation'!B72</f>
        <v>0</v>
      </c>
      <c r="F72" t="s">
        <v>536</v>
      </c>
      <c r="I72" t="s">
        <v>537</v>
      </c>
      <c r="J72" t="s">
        <v>537</v>
      </c>
      <c r="K72" t="s">
        <v>537</v>
      </c>
      <c r="L72" t="str">
        <f>TRIM('Account Creation'!Q72)</f>
        <v/>
      </c>
      <c r="M72" t="s">
        <v>538</v>
      </c>
      <c r="N72" t="str">
        <f>TEXT('Account Creation'!G72,"mm/dd/yyyy")</f>
        <v>01/00/1900</v>
      </c>
      <c r="O72" t="s">
        <v>462</v>
      </c>
    </row>
    <row r="73" spans="1:15" x14ac:dyDescent="0.25">
      <c r="A73" t="str">
        <f>CONCATENATE('Help Desk'!D73,"@email.wal-mart.com")</f>
        <v>@email.wal-mart.com</v>
      </c>
      <c r="B73" t="str">
        <f>TRIM('Help Desk'!D73)</f>
        <v/>
      </c>
      <c r="C73" t="s">
        <v>535</v>
      </c>
      <c r="D73">
        <f>'Account Creation'!D73</f>
        <v>0</v>
      </c>
      <c r="E73">
        <f>'Account Creation'!B73</f>
        <v>0</v>
      </c>
      <c r="F73" t="s">
        <v>536</v>
      </c>
      <c r="I73" t="s">
        <v>537</v>
      </c>
      <c r="J73" t="s">
        <v>537</v>
      </c>
      <c r="K73" t="s">
        <v>537</v>
      </c>
      <c r="L73" t="str">
        <f>TRIM('Account Creation'!Q73)</f>
        <v/>
      </c>
      <c r="M73" t="s">
        <v>538</v>
      </c>
      <c r="N73" t="str">
        <f>TEXT('Account Creation'!G73,"mm/dd/yyyy")</f>
        <v>01/00/1900</v>
      </c>
      <c r="O73" t="s">
        <v>462</v>
      </c>
    </row>
    <row r="74" spans="1:15" x14ac:dyDescent="0.25">
      <c r="A74" t="str">
        <f>CONCATENATE('Help Desk'!D74,"@email.wal-mart.com")</f>
        <v>@email.wal-mart.com</v>
      </c>
      <c r="B74" t="str">
        <f>TRIM('Help Desk'!D74)</f>
        <v/>
      </c>
      <c r="C74" t="s">
        <v>535</v>
      </c>
      <c r="D74">
        <f>'Account Creation'!D74</f>
        <v>0</v>
      </c>
      <c r="E74">
        <f>'Account Creation'!B74</f>
        <v>0</v>
      </c>
      <c r="F74" t="s">
        <v>536</v>
      </c>
      <c r="I74" t="s">
        <v>537</v>
      </c>
      <c r="J74" t="s">
        <v>537</v>
      </c>
      <c r="K74" t="s">
        <v>537</v>
      </c>
      <c r="L74" t="str">
        <f>TRIM('Account Creation'!Q74)</f>
        <v/>
      </c>
      <c r="M74" t="s">
        <v>538</v>
      </c>
      <c r="N74" t="str">
        <f>TEXT('Account Creation'!G74,"mm/dd/yyyy")</f>
        <v>01/00/1900</v>
      </c>
      <c r="O74" t="s">
        <v>462</v>
      </c>
    </row>
    <row r="75" spans="1:15" x14ac:dyDescent="0.25">
      <c r="A75" t="str">
        <f>CONCATENATE('Help Desk'!D75,"@email.wal-mart.com")</f>
        <v>@email.wal-mart.com</v>
      </c>
      <c r="B75" t="str">
        <f>TRIM('Help Desk'!D75)</f>
        <v/>
      </c>
      <c r="C75" t="s">
        <v>535</v>
      </c>
      <c r="D75">
        <f>'Account Creation'!D75</f>
        <v>0</v>
      </c>
      <c r="E75">
        <f>'Account Creation'!B75</f>
        <v>0</v>
      </c>
      <c r="F75" t="s">
        <v>536</v>
      </c>
      <c r="I75" t="s">
        <v>537</v>
      </c>
      <c r="J75" t="s">
        <v>537</v>
      </c>
      <c r="K75" t="s">
        <v>537</v>
      </c>
      <c r="L75" t="str">
        <f>TRIM('Account Creation'!Q75)</f>
        <v/>
      </c>
      <c r="M75" t="s">
        <v>538</v>
      </c>
      <c r="N75" t="str">
        <f>TEXT('Account Creation'!G75,"mm/dd/yyyy")</f>
        <v>01/00/1900</v>
      </c>
      <c r="O75" t="s">
        <v>462</v>
      </c>
    </row>
    <row r="76" spans="1:15" x14ac:dyDescent="0.25">
      <c r="A76" t="str">
        <f>CONCATENATE('Help Desk'!D76,"@email.wal-mart.com")</f>
        <v>@email.wal-mart.com</v>
      </c>
      <c r="B76" t="str">
        <f>TRIM('Help Desk'!D76)</f>
        <v/>
      </c>
      <c r="C76" t="s">
        <v>535</v>
      </c>
      <c r="D76">
        <f>'Account Creation'!D76</f>
        <v>0</v>
      </c>
      <c r="E76">
        <f>'Account Creation'!B76</f>
        <v>0</v>
      </c>
      <c r="F76" t="s">
        <v>536</v>
      </c>
      <c r="I76" t="s">
        <v>537</v>
      </c>
      <c r="J76" t="s">
        <v>537</v>
      </c>
      <c r="K76" t="s">
        <v>537</v>
      </c>
      <c r="L76" t="str">
        <f>TRIM('Account Creation'!Q76)</f>
        <v/>
      </c>
      <c r="M76" t="s">
        <v>538</v>
      </c>
      <c r="N76" t="str">
        <f>TEXT('Account Creation'!G76,"mm/dd/yyyy")</f>
        <v>01/00/1900</v>
      </c>
      <c r="O76" t="s">
        <v>462</v>
      </c>
    </row>
    <row r="77" spans="1:15" x14ac:dyDescent="0.25">
      <c r="A77" t="str">
        <f>CONCATENATE('Help Desk'!D77,"@email.wal-mart.com")</f>
        <v>@email.wal-mart.com</v>
      </c>
      <c r="B77" t="str">
        <f>TRIM('Help Desk'!D77)</f>
        <v/>
      </c>
      <c r="C77" t="s">
        <v>535</v>
      </c>
      <c r="D77">
        <f>'Account Creation'!D77</f>
        <v>0</v>
      </c>
      <c r="E77">
        <f>'Account Creation'!B77</f>
        <v>0</v>
      </c>
      <c r="F77" t="s">
        <v>536</v>
      </c>
      <c r="I77" t="s">
        <v>537</v>
      </c>
      <c r="J77" t="s">
        <v>537</v>
      </c>
      <c r="K77" t="s">
        <v>537</v>
      </c>
      <c r="L77" t="str">
        <f>TRIM('Account Creation'!Q77)</f>
        <v/>
      </c>
      <c r="M77" t="s">
        <v>538</v>
      </c>
      <c r="N77" t="str">
        <f>TEXT('Account Creation'!G77,"mm/dd/yyyy")</f>
        <v>01/00/1900</v>
      </c>
      <c r="O77" t="s">
        <v>462</v>
      </c>
    </row>
    <row r="78" spans="1:15" x14ac:dyDescent="0.25">
      <c r="A78" t="str">
        <f>CONCATENATE('Help Desk'!D78,"@email.wal-mart.com")</f>
        <v>@email.wal-mart.com</v>
      </c>
      <c r="B78" t="str">
        <f>TRIM('Help Desk'!D78)</f>
        <v/>
      </c>
      <c r="C78" t="s">
        <v>535</v>
      </c>
      <c r="D78">
        <f>'Account Creation'!D78</f>
        <v>0</v>
      </c>
      <c r="E78">
        <f>'Account Creation'!B78</f>
        <v>0</v>
      </c>
      <c r="F78" t="s">
        <v>536</v>
      </c>
      <c r="I78" t="s">
        <v>537</v>
      </c>
      <c r="J78" t="s">
        <v>537</v>
      </c>
      <c r="K78" t="s">
        <v>537</v>
      </c>
      <c r="L78" t="str">
        <f>TRIM('Account Creation'!Q78)</f>
        <v/>
      </c>
      <c r="M78" t="s">
        <v>538</v>
      </c>
      <c r="N78" t="str">
        <f>TEXT('Account Creation'!G78,"mm/dd/yyyy")</f>
        <v>01/00/1900</v>
      </c>
      <c r="O78" t="s">
        <v>462</v>
      </c>
    </row>
    <row r="79" spans="1:15" x14ac:dyDescent="0.25">
      <c r="A79" t="str">
        <f>CONCATENATE('Help Desk'!D79,"@email.wal-mart.com")</f>
        <v>@email.wal-mart.com</v>
      </c>
      <c r="B79" t="str">
        <f>TRIM('Help Desk'!D79)</f>
        <v/>
      </c>
      <c r="C79" t="s">
        <v>535</v>
      </c>
      <c r="D79">
        <f>'Account Creation'!D79</f>
        <v>0</v>
      </c>
      <c r="E79">
        <f>'Account Creation'!B79</f>
        <v>0</v>
      </c>
      <c r="F79" t="s">
        <v>536</v>
      </c>
      <c r="I79" t="s">
        <v>537</v>
      </c>
      <c r="J79" t="s">
        <v>537</v>
      </c>
      <c r="K79" t="s">
        <v>537</v>
      </c>
      <c r="L79" t="str">
        <f>TRIM('Account Creation'!Q79)</f>
        <v/>
      </c>
      <c r="M79" t="s">
        <v>538</v>
      </c>
      <c r="N79" t="str">
        <f>TEXT('Account Creation'!G79,"mm/dd/yyyy")</f>
        <v>01/00/1900</v>
      </c>
      <c r="O79" t="s">
        <v>462</v>
      </c>
    </row>
    <row r="80" spans="1:15" x14ac:dyDescent="0.25">
      <c r="A80" t="str">
        <f>CONCATENATE('Help Desk'!D80,"@email.wal-mart.com")</f>
        <v>@email.wal-mart.com</v>
      </c>
      <c r="B80" t="str">
        <f>TRIM('Help Desk'!D80)</f>
        <v/>
      </c>
      <c r="C80" t="s">
        <v>535</v>
      </c>
      <c r="D80">
        <f>'Account Creation'!D80</f>
        <v>0</v>
      </c>
      <c r="E80">
        <f>'Account Creation'!B80</f>
        <v>0</v>
      </c>
      <c r="F80" t="s">
        <v>536</v>
      </c>
      <c r="I80" t="s">
        <v>537</v>
      </c>
      <c r="J80" t="s">
        <v>537</v>
      </c>
      <c r="K80" t="s">
        <v>537</v>
      </c>
      <c r="L80" t="str">
        <f>TRIM('Account Creation'!Q80)</f>
        <v/>
      </c>
      <c r="M80" t="s">
        <v>538</v>
      </c>
      <c r="N80" t="str">
        <f>TEXT('Account Creation'!G80,"mm/dd/yyyy")</f>
        <v>01/00/1900</v>
      </c>
      <c r="O80" t="s">
        <v>462</v>
      </c>
    </row>
    <row r="81" spans="1:15" x14ac:dyDescent="0.25">
      <c r="A81" t="str">
        <f>CONCATENATE('Help Desk'!D81,"@email.wal-mart.com")</f>
        <v>@email.wal-mart.com</v>
      </c>
      <c r="B81" t="str">
        <f>TRIM('Help Desk'!D81)</f>
        <v/>
      </c>
      <c r="C81" t="s">
        <v>535</v>
      </c>
      <c r="D81">
        <f>'Account Creation'!D81</f>
        <v>0</v>
      </c>
      <c r="E81">
        <f>'Account Creation'!B81</f>
        <v>0</v>
      </c>
      <c r="F81" t="s">
        <v>536</v>
      </c>
      <c r="I81" t="s">
        <v>537</v>
      </c>
      <c r="J81" t="s">
        <v>537</v>
      </c>
      <c r="K81" t="s">
        <v>537</v>
      </c>
      <c r="L81" t="str">
        <f>TRIM('Account Creation'!Q81)</f>
        <v/>
      </c>
      <c r="M81" t="s">
        <v>538</v>
      </c>
      <c r="N81" t="str">
        <f>TEXT('Account Creation'!G81,"mm/dd/yyyy")</f>
        <v>01/00/1900</v>
      </c>
      <c r="O81" t="s">
        <v>462</v>
      </c>
    </row>
    <row r="82" spans="1:15" x14ac:dyDescent="0.25">
      <c r="A82" t="str">
        <f>CONCATENATE('Help Desk'!D82,"@email.wal-mart.com")</f>
        <v>@email.wal-mart.com</v>
      </c>
      <c r="B82" t="str">
        <f>TRIM('Help Desk'!D82)</f>
        <v/>
      </c>
      <c r="C82" t="s">
        <v>535</v>
      </c>
      <c r="D82">
        <f>'Account Creation'!D82</f>
        <v>0</v>
      </c>
      <c r="E82">
        <f>'Account Creation'!B82</f>
        <v>0</v>
      </c>
      <c r="F82" t="s">
        <v>536</v>
      </c>
      <c r="I82" t="s">
        <v>537</v>
      </c>
      <c r="J82" t="s">
        <v>537</v>
      </c>
      <c r="K82" t="s">
        <v>537</v>
      </c>
      <c r="L82" t="str">
        <f>TRIM('Account Creation'!Q82)</f>
        <v/>
      </c>
      <c r="M82" t="s">
        <v>538</v>
      </c>
      <c r="N82" t="str">
        <f>TEXT('Account Creation'!G82,"mm/dd/yyyy")</f>
        <v>01/00/1900</v>
      </c>
      <c r="O82" t="s">
        <v>462</v>
      </c>
    </row>
    <row r="83" spans="1:15" x14ac:dyDescent="0.25">
      <c r="A83" t="str">
        <f>CONCATENATE('Help Desk'!D83,"@email.wal-mart.com")</f>
        <v>@email.wal-mart.com</v>
      </c>
      <c r="B83" t="str">
        <f>TRIM('Help Desk'!D83)</f>
        <v/>
      </c>
      <c r="C83" t="s">
        <v>535</v>
      </c>
      <c r="D83">
        <f>'Account Creation'!D83</f>
        <v>0</v>
      </c>
      <c r="E83">
        <f>'Account Creation'!B83</f>
        <v>0</v>
      </c>
      <c r="F83" t="s">
        <v>536</v>
      </c>
      <c r="I83" t="s">
        <v>537</v>
      </c>
      <c r="J83" t="s">
        <v>537</v>
      </c>
      <c r="K83" t="s">
        <v>537</v>
      </c>
      <c r="L83" t="str">
        <f>TRIM('Account Creation'!Q83)</f>
        <v/>
      </c>
      <c r="M83" t="s">
        <v>538</v>
      </c>
      <c r="N83" t="str">
        <f>TEXT('Account Creation'!G83,"mm/dd/yyyy")</f>
        <v>01/00/1900</v>
      </c>
      <c r="O83" t="s">
        <v>462</v>
      </c>
    </row>
    <row r="84" spans="1:15" x14ac:dyDescent="0.25">
      <c r="A84" t="str">
        <f>CONCATENATE('Help Desk'!D84,"@email.wal-mart.com")</f>
        <v>@email.wal-mart.com</v>
      </c>
      <c r="B84" t="str">
        <f>TRIM('Help Desk'!D84)</f>
        <v/>
      </c>
      <c r="C84" t="s">
        <v>535</v>
      </c>
      <c r="D84">
        <f>'Account Creation'!D84</f>
        <v>0</v>
      </c>
      <c r="E84">
        <f>'Account Creation'!B84</f>
        <v>0</v>
      </c>
      <c r="F84" t="s">
        <v>536</v>
      </c>
      <c r="I84" t="s">
        <v>537</v>
      </c>
      <c r="J84" t="s">
        <v>537</v>
      </c>
      <c r="K84" t="s">
        <v>537</v>
      </c>
      <c r="L84" t="str">
        <f>TRIM('Account Creation'!Q84)</f>
        <v/>
      </c>
      <c r="M84" t="s">
        <v>538</v>
      </c>
      <c r="N84" t="str">
        <f>TEXT('Account Creation'!G84,"mm/dd/yyyy")</f>
        <v>01/00/1900</v>
      </c>
      <c r="O84" t="s">
        <v>462</v>
      </c>
    </row>
    <row r="85" spans="1:15" x14ac:dyDescent="0.25">
      <c r="A85" t="str">
        <f>CONCATENATE('Help Desk'!D85,"@email.wal-mart.com")</f>
        <v>@email.wal-mart.com</v>
      </c>
      <c r="B85" t="str">
        <f>TRIM('Help Desk'!D85)</f>
        <v/>
      </c>
      <c r="C85" t="s">
        <v>535</v>
      </c>
      <c r="D85">
        <f>'Account Creation'!D85</f>
        <v>0</v>
      </c>
      <c r="E85">
        <f>'Account Creation'!B85</f>
        <v>0</v>
      </c>
      <c r="F85" t="s">
        <v>536</v>
      </c>
      <c r="I85" t="s">
        <v>537</v>
      </c>
      <c r="J85" t="s">
        <v>537</v>
      </c>
      <c r="K85" t="s">
        <v>537</v>
      </c>
      <c r="L85" t="str">
        <f>TRIM('Account Creation'!Q85)</f>
        <v/>
      </c>
      <c r="M85" t="s">
        <v>538</v>
      </c>
      <c r="N85" t="str">
        <f>TEXT('Account Creation'!G85,"mm/dd/yyyy")</f>
        <v>01/00/1900</v>
      </c>
      <c r="O85" t="s">
        <v>462</v>
      </c>
    </row>
    <row r="86" spans="1:15" x14ac:dyDescent="0.25">
      <c r="A86" t="str">
        <f>CONCATENATE('Help Desk'!D86,"@email.wal-mart.com")</f>
        <v>@email.wal-mart.com</v>
      </c>
      <c r="B86" t="str">
        <f>TRIM('Help Desk'!D86)</f>
        <v/>
      </c>
      <c r="C86" t="s">
        <v>535</v>
      </c>
      <c r="D86">
        <f>'Account Creation'!D86</f>
        <v>0</v>
      </c>
      <c r="E86">
        <f>'Account Creation'!B86</f>
        <v>0</v>
      </c>
      <c r="F86" t="s">
        <v>536</v>
      </c>
      <c r="I86" t="s">
        <v>537</v>
      </c>
      <c r="J86" t="s">
        <v>537</v>
      </c>
      <c r="K86" t="s">
        <v>537</v>
      </c>
      <c r="L86" t="str">
        <f>TRIM('Account Creation'!Q86)</f>
        <v/>
      </c>
      <c r="M86" t="s">
        <v>538</v>
      </c>
      <c r="N86" t="str">
        <f>TEXT('Account Creation'!G86,"mm/dd/yyyy")</f>
        <v>01/00/1900</v>
      </c>
      <c r="O86" t="s">
        <v>462</v>
      </c>
    </row>
    <row r="87" spans="1:15" x14ac:dyDescent="0.25">
      <c r="A87" t="str">
        <f>CONCATENATE('Help Desk'!D87,"@email.wal-mart.com")</f>
        <v>@email.wal-mart.com</v>
      </c>
      <c r="B87" t="str">
        <f>TRIM('Help Desk'!D87)</f>
        <v/>
      </c>
      <c r="C87" t="s">
        <v>535</v>
      </c>
      <c r="D87">
        <f>'Account Creation'!D87</f>
        <v>0</v>
      </c>
      <c r="E87">
        <f>'Account Creation'!B87</f>
        <v>0</v>
      </c>
      <c r="F87" t="s">
        <v>536</v>
      </c>
      <c r="I87" t="s">
        <v>537</v>
      </c>
      <c r="J87" t="s">
        <v>537</v>
      </c>
      <c r="K87" t="s">
        <v>537</v>
      </c>
      <c r="L87" t="str">
        <f>TRIM('Account Creation'!Q87)</f>
        <v/>
      </c>
      <c r="M87" t="s">
        <v>538</v>
      </c>
      <c r="N87" t="str">
        <f>TEXT('Account Creation'!G87,"mm/dd/yyyy")</f>
        <v>01/00/1900</v>
      </c>
      <c r="O87" t="s">
        <v>462</v>
      </c>
    </row>
    <row r="88" spans="1:15" x14ac:dyDescent="0.25">
      <c r="A88" t="str">
        <f>CONCATENATE('Help Desk'!D88,"@email.wal-mart.com")</f>
        <v>@email.wal-mart.com</v>
      </c>
      <c r="B88" t="str">
        <f>TRIM('Help Desk'!D88)</f>
        <v/>
      </c>
      <c r="C88" t="s">
        <v>535</v>
      </c>
      <c r="D88">
        <f>'Account Creation'!D88</f>
        <v>0</v>
      </c>
      <c r="E88">
        <f>'Account Creation'!B88</f>
        <v>0</v>
      </c>
      <c r="F88" t="s">
        <v>536</v>
      </c>
      <c r="I88" t="s">
        <v>537</v>
      </c>
      <c r="J88" t="s">
        <v>537</v>
      </c>
      <c r="K88" t="s">
        <v>537</v>
      </c>
      <c r="L88" t="str">
        <f>TRIM('Account Creation'!Q88)</f>
        <v/>
      </c>
      <c r="M88" t="s">
        <v>538</v>
      </c>
      <c r="N88" t="str">
        <f>TEXT('Account Creation'!G88,"mm/dd/yyyy")</f>
        <v>01/00/1900</v>
      </c>
      <c r="O88" t="s">
        <v>462</v>
      </c>
    </row>
    <row r="89" spans="1:15" x14ac:dyDescent="0.25">
      <c r="A89" t="str">
        <f>CONCATENATE('Help Desk'!D89,"@email.wal-mart.com")</f>
        <v>@email.wal-mart.com</v>
      </c>
      <c r="B89" t="str">
        <f>TRIM('Help Desk'!D89)</f>
        <v/>
      </c>
      <c r="C89" t="s">
        <v>535</v>
      </c>
      <c r="D89">
        <f>'Account Creation'!D89</f>
        <v>0</v>
      </c>
      <c r="E89">
        <f>'Account Creation'!B89</f>
        <v>0</v>
      </c>
      <c r="F89" t="s">
        <v>536</v>
      </c>
      <c r="I89" t="s">
        <v>537</v>
      </c>
      <c r="J89" t="s">
        <v>537</v>
      </c>
      <c r="K89" t="s">
        <v>537</v>
      </c>
      <c r="L89" t="str">
        <f>TRIM('Account Creation'!Q89)</f>
        <v/>
      </c>
      <c r="M89" t="s">
        <v>538</v>
      </c>
      <c r="N89" t="str">
        <f>TEXT('Account Creation'!G89,"mm/dd/yyyy")</f>
        <v>01/00/1900</v>
      </c>
      <c r="O89" t="s">
        <v>462</v>
      </c>
    </row>
    <row r="90" spans="1:15" x14ac:dyDescent="0.25">
      <c r="A90" t="str">
        <f>CONCATENATE('Help Desk'!D90,"@email.wal-mart.com")</f>
        <v>@email.wal-mart.com</v>
      </c>
      <c r="B90" t="str">
        <f>TRIM('Help Desk'!D90)</f>
        <v/>
      </c>
      <c r="C90" t="s">
        <v>535</v>
      </c>
      <c r="D90">
        <f>'Account Creation'!D90</f>
        <v>0</v>
      </c>
      <c r="E90">
        <f>'Account Creation'!B90</f>
        <v>0</v>
      </c>
      <c r="F90" t="s">
        <v>536</v>
      </c>
      <c r="I90" t="s">
        <v>537</v>
      </c>
      <c r="J90" t="s">
        <v>537</v>
      </c>
      <c r="K90" t="s">
        <v>537</v>
      </c>
      <c r="L90" t="str">
        <f>TRIM('Account Creation'!Q90)</f>
        <v/>
      </c>
      <c r="M90" t="s">
        <v>538</v>
      </c>
      <c r="N90" t="str">
        <f>TEXT('Account Creation'!G90,"mm/dd/yyyy")</f>
        <v>01/00/1900</v>
      </c>
      <c r="O90" t="s">
        <v>462</v>
      </c>
    </row>
    <row r="91" spans="1:15" x14ac:dyDescent="0.25">
      <c r="A91" t="str">
        <f>CONCATENATE('Help Desk'!D91,"@email.wal-mart.com")</f>
        <v>@email.wal-mart.com</v>
      </c>
      <c r="B91" t="str">
        <f>TRIM('Help Desk'!D91)</f>
        <v/>
      </c>
      <c r="C91" t="s">
        <v>535</v>
      </c>
      <c r="D91">
        <f>'Account Creation'!D91</f>
        <v>0</v>
      </c>
      <c r="E91">
        <f>'Account Creation'!B91</f>
        <v>0</v>
      </c>
      <c r="F91" t="s">
        <v>536</v>
      </c>
      <c r="I91" t="s">
        <v>537</v>
      </c>
      <c r="J91" t="s">
        <v>537</v>
      </c>
      <c r="K91" t="s">
        <v>537</v>
      </c>
      <c r="L91" t="str">
        <f>TRIM('Account Creation'!Q91)</f>
        <v/>
      </c>
      <c r="M91" t="s">
        <v>538</v>
      </c>
      <c r="N91" t="str">
        <f>TEXT('Account Creation'!G91,"mm/dd/yyyy")</f>
        <v>01/00/1900</v>
      </c>
      <c r="O91" t="s">
        <v>462</v>
      </c>
    </row>
    <row r="92" spans="1:15" x14ac:dyDescent="0.25">
      <c r="A92" t="str">
        <f>CONCATENATE('Help Desk'!D92,"@email.wal-mart.com")</f>
        <v>@email.wal-mart.com</v>
      </c>
      <c r="B92" t="str">
        <f>TRIM('Help Desk'!D92)</f>
        <v/>
      </c>
      <c r="C92" t="s">
        <v>535</v>
      </c>
      <c r="D92">
        <f>'Account Creation'!D92</f>
        <v>0</v>
      </c>
      <c r="E92">
        <f>'Account Creation'!B92</f>
        <v>0</v>
      </c>
      <c r="F92" t="s">
        <v>536</v>
      </c>
      <c r="I92" t="s">
        <v>537</v>
      </c>
      <c r="J92" t="s">
        <v>537</v>
      </c>
      <c r="K92" t="s">
        <v>537</v>
      </c>
      <c r="L92" t="str">
        <f>TRIM('Account Creation'!Q92)</f>
        <v/>
      </c>
      <c r="M92" t="s">
        <v>538</v>
      </c>
      <c r="N92" t="str">
        <f>TEXT('Account Creation'!G92,"mm/dd/yyyy")</f>
        <v>01/00/1900</v>
      </c>
      <c r="O92" t="s">
        <v>462</v>
      </c>
    </row>
    <row r="93" spans="1:15" x14ac:dyDescent="0.25">
      <c r="A93" t="str">
        <f>CONCATENATE('Help Desk'!D93,"@email.wal-mart.com")</f>
        <v>@email.wal-mart.com</v>
      </c>
      <c r="B93" t="str">
        <f>TRIM('Help Desk'!D93)</f>
        <v/>
      </c>
      <c r="C93" t="s">
        <v>535</v>
      </c>
      <c r="D93">
        <f>'Account Creation'!D93</f>
        <v>0</v>
      </c>
      <c r="E93">
        <f>'Account Creation'!B93</f>
        <v>0</v>
      </c>
      <c r="F93" t="s">
        <v>536</v>
      </c>
      <c r="I93" t="s">
        <v>537</v>
      </c>
      <c r="J93" t="s">
        <v>537</v>
      </c>
      <c r="K93" t="s">
        <v>537</v>
      </c>
      <c r="L93" t="str">
        <f>TRIM('Account Creation'!Q93)</f>
        <v/>
      </c>
      <c r="M93" t="s">
        <v>538</v>
      </c>
      <c r="N93" t="str">
        <f>TEXT('Account Creation'!G93,"mm/dd/yyyy")</f>
        <v>01/00/1900</v>
      </c>
      <c r="O93" t="s">
        <v>462</v>
      </c>
    </row>
    <row r="94" spans="1:15" x14ac:dyDescent="0.25">
      <c r="A94" t="str">
        <f>CONCATENATE('Help Desk'!D94,"@email.wal-mart.com")</f>
        <v>@email.wal-mart.com</v>
      </c>
      <c r="B94" t="str">
        <f>TRIM('Help Desk'!D94)</f>
        <v/>
      </c>
      <c r="C94" t="s">
        <v>535</v>
      </c>
      <c r="D94">
        <f>'Account Creation'!D94</f>
        <v>0</v>
      </c>
      <c r="E94">
        <f>'Account Creation'!B94</f>
        <v>0</v>
      </c>
      <c r="F94" t="s">
        <v>536</v>
      </c>
      <c r="I94" t="s">
        <v>537</v>
      </c>
      <c r="J94" t="s">
        <v>537</v>
      </c>
      <c r="K94" t="s">
        <v>537</v>
      </c>
      <c r="L94" t="str">
        <f>TRIM('Account Creation'!Q94)</f>
        <v/>
      </c>
      <c r="M94" t="s">
        <v>538</v>
      </c>
      <c r="N94" t="str">
        <f>TEXT('Account Creation'!G94,"mm/dd/yyyy")</f>
        <v>01/00/1900</v>
      </c>
      <c r="O94" t="s">
        <v>462</v>
      </c>
    </row>
    <row r="95" spans="1:15" x14ac:dyDescent="0.25">
      <c r="A95" t="str">
        <f>CONCATENATE('Help Desk'!D95,"@email.wal-mart.com")</f>
        <v>@email.wal-mart.com</v>
      </c>
      <c r="B95" t="str">
        <f>TRIM('Help Desk'!D95)</f>
        <v/>
      </c>
      <c r="C95" t="s">
        <v>535</v>
      </c>
      <c r="D95">
        <f>'Account Creation'!D95</f>
        <v>0</v>
      </c>
      <c r="E95">
        <f>'Account Creation'!B95</f>
        <v>0</v>
      </c>
      <c r="F95" t="s">
        <v>536</v>
      </c>
      <c r="I95" t="s">
        <v>537</v>
      </c>
      <c r="J95" t="s">
        <v>537</v>
      </c>
      <c r="K95" t="s">
        <v>537</v>
      </c>
      <c r="L95" t="str">
        <f>TRIM('Account Creation'!Q95)</f>
        <v/>
      </c>
      <c r="M95" t="s">
        <v>538</v>
      </c>
      <c r="N95" t="str">
        <f>TEXT('Account Creation'!G95,"mm/dd/yyyy")</f>
        <v>01/00/1900</v>
      </c>
      <c r="O95" t="s">
        <v>462</v>
      </c>
    </row>
    <row r="96" spans="1:15" x14ac:dyDescent="0.25">
      <c r="A96" t="str">
        <f>CONCATENATE('Help Desk'!D96,"@email.wal-mart.com")</f>
        <v>@email.wal-mart.com</v>
      </c>
      <c r="B96" t="str">
        <f>TRIM('Help Desk'!D96)</f>
        <v/>
      </c>
      <c r="C96" t="s">
        <v>535</v>
      </c>
      <c r="D96">
        <f>'Account Creation'!D96</f>
        <v>0</v>
      </c>
      <c r="E96">
        <f>'Account Creation'!B96</f>
        <v>0</v>
      </c>
      <c r="F96" t="s">
        <v>536</v>
      </c>
      <c r="I96" t="s">
        <v>537</v>
      </c>
      <c r="J96" t="s">
        <v>537</v>
      </c>
      <c r="K96" t="s">
        <v>537</v>
      </c>
      <c r="L96" t="str">
        <f>TRIM('Account Creation'!Q96)</f>
        <v/>
      </c>
      <c r="M96" t="s">
        <v>538</v>
      </c>
      <c r="N96" t="str">
        <f>TEXT('Account Creation'!G96,"mm/dd/yyyy")</f>
        <v>01/00/1900</v>
      </c>
      <c r="O96" t="s">
        <v>462</v>
      </c>
    </row>
    <row r="97" spans="1:15" x14ac:dyDescent="0.25">
      <c r="A97" t="str">
        <f>CONCATENATE('Help Desk'!D97,"@email.wal-mart.com")</f>
        <v>@email.wal-mart.com</v>
      </c>
      <c r="B97" t="str">
        <f>TRIM('Help Desk'!D97)</f>
        <v/>
      </c>
      <c r="C97" t="s">
        <v>535</v>
      </c>
      <c r="D97">
        <f>'Account Creation'!D97</f>
        <v>0</v>
      </c>
      <c r="E97">
        <f>'Account Creation'!B97</f>
        <v>0</v>
      </c>
      <c r="F97" t="s">
        <v>536</v>
      </c>
      <c r="I97" t="s">
        <v>537</v>
      </c>
      <c r="J97" t="s">
        <v>537</v>
      </c>
      <c r="K97" t="s">
        <v>537</v>
      </c>
      <c r="L97" t="str">
        <f>TRIM('Account Creation'!Q97)</f>
        <v/>
      </c>
      <c r="M97" t="s">
        <v>538</v>
      </c>
      <c r="N97" t="str">
        <f>TEXT('Account Creation'!G97,"mm/dd/yyyy")</f>
        <v>01/00/1900</v>
      </c>
      <c r="O97" t="s">
        <v>462</v>
      </c>
    </row>
    <row r="98" spans="1:15" x14ac:dyDescent="0.25">
      <c r="A98" t="str">
        <f>CONCATENATE('Help Desk'!D98,"@email.wal-mart.com")</f>
        <v>@email.wal-mart.com</v>
      </c>
      <c r="B98" t="str">
        <f>TRIM('Help Desk'!D98)</f>
        <v/>
      </c>
      <c r="C98" t="s">
        <v>535</v>
      </c>
      <c r="D98">
        <f>'Account Creation'!D98</f>
        <v>0</v>
      </c>
      <c r="E98">
        <f>'Account Creation'!B98</f>
        <v>0</v>
      </c>
      <c r="F98" t="s">
        <v>536</v>
      </c>
      <c r="I98" t="s">
        <v>537</v>
      </c>
      <c r="J98" t="s">
        <v>537</v>
      </c>
      <c r="K98" t="s">
        <v>537</v>
      </c>
      <c r="L98" t="str">
        <f>TRIM('Account Creation'!Q98)</f>
        <v/>
      </c>
      <c r="M98" t="s">
        <v>538</v>
      </c>
      <c r="N98" t="str">
        <f>TEXT('Account Creation'!G98,"mm/dd/yyyy")</f>
        <v>01/00/1900</v>
      </c>
      <c r="O98" t="s">
        <v>462</v>
      </c>
    </row>
    <row r="99" spans="1:15" x14ac:dyDescent="0.25">
      <c r="A99" t="str">
        <f>CONCATENATE('Help Desk'!D99,"@email.wal-mart.com")</f>
        <v>@email.wal-mart.com</v>
      </c>
      <c r="B99" t="str">
        <f>TRIM('Help Desk'!D99)</f>
        <v/>
      </c>
      <c r="C99" t="s">
        <v>535</v>
      </c>
      <c r="D99">
        <f>'Account Creation'!D99</f>
        <v>0</v>
      </c>
      <c r="E99">
        <f>'Account Creation'!B99</f>
        <v>0</v>
      </c>
      <c r="F99" t="s">
        <v>536</v>
      </c>
      <c r="I99" t="s">
        <v>537</v>
      </c>
      <c r="J99" t="s">
        <v>537</v>
      </c>
      <c r="K99" t="s">
        <v>537</v>
      </c>
      <c r="L99" t="str">
        <f>TRIM('Account Creation'!Q99)</f>
        <v/>
      </c>
      <c r="M99" t="s">
        <v>538</v>
      </c>
      <c r="N99" t="str">
        <f>TEXT('Account Creation'!G99,"mm/dd/yyyy")</f>
        <v>01/00/1900</v>
      </c>
      <c r="O99" t="s">
        <v>462</v>
      </c>
    </row>
    <row r="100" spans="1:15" x14ac:dyDescent="0.25">
      <c r="A100" t="str">
        <f>CONCATENATE('Help Desk'!D100,"@email.wal-mart.com")</f>
        <v>@email.wal-mart.com</v>
      </c>
      <c r="B100" t="str">
        <f>TRIM('Help Desk'!D100)</f>
        <v/>
      </c>
      <c r="C100" t="s">
        <v>535</v>
      </c>
      <c r="D100">
        <f>'Account Creation'!D100</f>
        <v>0</v>
      </c>
      <c r="E100">
        <f>'Account Creation'!B100</f>
        <v>0</v>
      </c>
      <c r="F100" t="s">
        <v>536</v>
      </c>
      <c r="I100" t="s">
        <v>537</v>
      </c>
      <c r="J100" t="s">
        <v>537</v>
      </c>
      <c r="K100" t="s">
        <v>537</v>
      </c>
      <c r="L100" t="str">
        <f>TRIM('Account Creation'!Q100)</f>
        <v/>
      </c>
      <c r="M100" t="s">
        <v>538</v>
      </c>
      <c r="N100" t="str">
        <f>TEXT('Account Creation'!G100,"mm/dd/yyyy")</f>
        <v>01/00/1900</v>
      </c>
      <c r="O100" t="s">
        <v>462</v>
      </c>
    </row>
    <row r="101" spans="1:15" x14ac:dyDescent="0.25">
      <c r="A101" t="str">
        <f>CONCATENATE('Help Desk'!D101,"@email.wal-mart.com")</f>
        <v>@email.wal-mart.com</v>
      </c>
      <c r="B101" t="str">
        <f>TRIM('Help Desk'!D101)</f>
        <v/>
      </c>
      <c r="C101" t="s">
        <v>535</v>
      </c>
      <c r="D101">
        <f>'Account Creation'!D101</f>
        <v>0</v>
      </c>
      <c r="E101">
        <f>'Account Creation'!B101</f>
        <v>0</v>
      </c>
      <c r="F101" t="s">
        <v>536</v>
      </c>
      <c r="I101" t="s">
        <v>537</v>
      </c>
      <c r="J101" t="s">
        <v>537</v>
      </c>
      <c r="K101" t="s">
        <v>537</v>
      </c>
      <c r="L101" t="str">
        <f>TRIM('Account Creation'!Q101)</f>
        <v/>
      </c>
      <c r="M101" t="s">
        <v>538</v>
      </c>
      <c r="N101" t="str">
        <f>TEXT('Account Creation'!G101,"mm/dd/yyyy")</f>
        <v>01/00/1900</v>
      </c>
      <c r="O101" t="s">
        <v>462</v>
      </c>
    </row>
    <row r="102" spans="1:15" x14ac:dyDescent="0.25">
      <c r="A102" t="str">
        <f>CONCATENATE('Help Desk'!D102,"@email.wal-mart.com")</f>
        <v>@email.wal-mart.com</v>
      </c>
      <c r="B102" t="str">
        <f>TRIM('Help Desk'!D102)</f>
        <v/>
      </c>
      <c r="C102" t="s">
        <v>535</v>
      </c>
      <c r="D102">
        <f>'Account Creation'!D102</f>
        <v>0</v>
      </c>
      <c r="E102">
        <f>'Account Creation'!B102</f>
        <v>0</v>
      </c>
      <c r="F102" t="s">
        <v>536</v>
      </c>
      <c r="I102" t="s">
        <v>537</v>
      </c>
      <c r="J102" t="s">
        <v>537</v>
      </c>
      <c r="K102" t="s">
        <v>537</v>
      </c>
      <c r="L102" t="str">
        <f>TRIM('Account Creation'!Q102)</f>
        <v/>
      </c>
      <c r="M102" t="s">
        <v>538</v>
      </c>
      <c r="N102" t="str">
        <f>TEXT('Account Creation'!G102,"mm/dd/yyyy")</f>
        <v>01/00/1900</v>
      </c>
      <c r="O102" t="s">
        <v>462</v>
      </c>
    </row>
    <row r="103" spans="1:15" x14ac:dyDescent="0.25">
      <c r="A103" t="str">
        <f>CONCATENATE('Help Desk'!D103,"@email.wal-mart.com")</f>
        <v>@email.wal-mart.com</v>
      </c>
      <c r="B103" t="str">
        <f>TRIM('Help Desk'!D103)</f>
        <v/>
      </c>
      <c r="C103" t="s">
        <v>535</v>
      </c>
      <c r="D103">
        <f>'Account Creation'!D103</f>
        <v>0</v>
      </c>
      <c r="E103">
        <f>'Account Creation'!B103</f>
        <v>0</v>
      </c>
      <c r="F103" t="s">
        <v>536</v>
      </c>
      <c r="I103" t="s">
        <v>537</v>
      </c>
      <c r="J103" t="s">
        <v>537</v>
      </c>
      <c r="K103" t="s">
        <v>537</v>
      </c>
      <c r="L103" t="str">
        <f>TRIM('Account Creation'!Q103)</f>
        <v/>
      </c>
      <c r="M103" t="s">
        <v>538</v>
      </c>
      <c r="N103" t="str">
        <f>TEXT('Account Creation'!G103,"mm/dd/yyyy")</f>
        <v>01/00/1900</v>
      </c>
      <c r="O103" t="s">
        <v>462</v>
      </c>
    </row>
    <row r="104" spans="1:15" x14ac:dyDescent="0.25">
      <c r="A104" t="str">
        <f>CONCATENATE('Help Desk'!D104,"@email.wal-mart.com")</f>
        <v>@email.wal-mart.com</v>
      </c>
      <c r="B104" t="str">
        <f>TRIM('Help Desk'!D104)</f>
        <v/>
      </c>
      <c r="C104" t="s">
        <v>535</v>
      </c>
      <c r="D104">
        <f>'Account Creation'!D104</f>
        <v>0</v>
      </c>
      <c r="E104">
        <f>'Account Creation'!B104</f>
        <v>0</v>
      </c>
      <c r="F104" t="s">
        <v>536</v>
      </c>
      <c r="I104" t="s">
        <v>537</v>
      </c>
      <c r="J104" t="s">
        <v>537</v>
      </c>
      <c r="K104" t="s">
        <v>537</v>
      </c>
      <c r="L104" t="str">
        <f>TRIM('Account Creation'!Q104)</f>
        <v/>
      </c>
      <c r="M104" t="s">
        <v>538</v>
      </c>
      <c r="N104" t="str">
        <f>TEXT('Account Creation'!G104,"mm/dd/yyyy")</f>
        <v>01/00/1900</v>
      </c>
      <c r="O104" t="s">
        <v>462</v>
      </c>
    </row>
    <row r="105" spans="1:15" x14ac:dyDescent="0.25">
      <c r="A105" t="str">
        <f>CONCATENATE('Help Desk'!D105,"@email.wal-mart.com")</f>
        <v>@email.wal-mart.com</v>
      </c>
      <c r="B105" t="str">
        <f>TRIM('Help Desk'!D105)</f>
        <v/>
      </c>
      <c r="C105" t="s">
        <v>535</v>
      </c>
      <c r="D105">
        <f>'Account Creation'!D105</f>
        <v>0</v>
      </c>
      <c r="E105">
        <f>'Account Creation'!B105</f>
        <v>0</v>
      </c>
      <c r="F105" t="s">
        <v>536</v>
      </c>
      <c r="I105" t="s">
        <v>537</v>
      </c>
      <c r="J105" t="s">
        <v>537</v>
      </c>
      <c r="K105" t="s">
        <v>537</v>
      </c>
      <c r="L105" t="str">
        <f>TRIM('Account Creation'!Q105)</f>
        <v/>
      </c>
      <c r="M105" t="s">
        <v>538</v>
      </c>
      <c r="N105" t="str">
        <f>TEXT('Account Creation'!G105,"mm/dd/yyyy")</f>
        <v>01/00/1900</v>
      </c>
      <c r="O105" t="s">
        <v>462</v>
      </c>
    </row>
    <row r="106" spans="1:15" x14ac:dyDescent="0.25">
      <c r="A106" t="str">
        <f>CONCATENATE('Help Desk'!D106,"@email.wal-mart.com")</f>
        <v>@email.wal-mart.com</v>
      </c>
      <c r="B106" t="str">
        <f>TRIM('Help Desk'!D106)</f>
        <v/>
      </c>
      <c r="C106" t="s">
        <v>535</v>
      </c>
      <c r="D106">
        <f>'Account Creation'!D106</f>
        <v>0</v>
      </c>
      <c r="E106">
        <f>'Account Creation'!B106</f>
        <v>0</v>
      </c>
      <c r="F106" t="s">
        <v>536</v>
      </c>
      <c r="I106" t="s">
        <v>537</v>
      </c>
      <c r="J106" t="s">
        <v>537</v>
      </c>
      <c r="K106" t="s">
        <v>537</v>
      </c>
      <c r="L106" t="str">
        <f>TRIM('Account Creation'!Q106)</f>
        <v/>
      </c>
      <c r="M106" t="s">
        <v>538</v>
      </c>
      <c r="N106" t="str">
        <f>TEXT('Account Creation'!G106,"mm/dd/yyyy")</f>
        <v>01/00/1900</v>
      </c>
      <c r="O106" t="s">
        <v>462</v>
      </c>
    </row>
    <row r="107" spans="1:15" x14ac:dyDescent="0.25">
      <c r="A107" t="str">
        <f>CONCATENATE('Help Desk'!D107,"@email.wal-mart.com")</f>
        <v>@email.wal-mart.com</v>
      </c>
      <c r="B107" t="str">
        <f>TRIM('Help Desk'!D107)</f>
        <v/>
      </c>
      <c r="C107" t="s">
        <v>535</v>
      </c>
      <c r="D107">
        <f>'Account Creation'!D107</f>
        <v>0</v>
      </c>
      <c r="E107">
        <f>'Account Creation'!B107</f>
        <v>0</v>
      </c>
      <c r="F107" t="s">
        <v>536</v>
      </c>
      <c r="I107" t="s">
        <v>537</v>
      </c>
      <c r="J107" t="s">
        <v>537</v>
      </c>
      <c r="K107" t="s">
        <v>537</v>
      </c>
      <c r="L107" t="str">
        <f>TRIM('Account Creation'!Q107)</f>
        <v/>
      </c>
      <c r="M107" t="s">
        <v>538</v>
      </c>
      <c r="N107" t="str">
        <f>TEXT('Account Creation'!G107,"mm/dd/yyyy")</f>
        <v>01/00/1900</v>
      </c>
      <c r="O107" t="s">
        <v>462</v>
      </c>
    </row>
    <row r="108" spans="1:15" x14ac:dyDescent="0.25">
      <c r="A108" t="str">
        <f>CONCATENATE('Help Desk'!D108,"@email.wal-mart.com")</f>
        <v>@email.wal-mart.com</v>
      </c>
      <c r="B108" t="str">
        <f>TRIM('Help Desk'!D108)</f>
        <v/>
      </c>
      <c r="C108" t="s">
        <v>535</v>
      </c>
      <c r="D108">
        <f>'Account Creation'!D108</f>
        <v>0</v>
      </c>
      <c r="E108">
        <f>'Account Creation'!B108</f>
        <v>0</v>
      </c>
      <c r="F108" t="s">
        <v>536</v>
      </c>
      <c r="I108" t="s">
        <v>537</v>
      </c>
      <c r="J108" t="s">
        <v>537</v>
      </c>
      <c r="K108" t="s">
        <v>537</v>
      </c>
      <c r="L108" t="str">
        <f>TRIM('Account Creation'!Q108)</f>
        <v/>
      </c>
      <c r="M108" t="s">
        <v>538</v>
      </c>
      <c r="N108" t="str">
        <f>TEXT('Account Creation'!G108,"mm/dd/yyyy")</f>
        <v>01/00/1900</v>
      </c>
      <c r="O108" t="s">
        <v>462</v>
      </c>
    </row>
    <row r="109" spans="1:15" x14ac:dyDescent="0.25">
      <c r="A109" t="str">
        <f>CONCATENATE('Help Desk'!D109,"@email.wal-mart.com")</f>
        <v>@email.wal-mart.com</v>
      </c>
      <c r="B109" t="str">
        <f>TRIM('Help Desk'!D109)</f>
        <v/>
      </c>
      <c r="C109" t="s">
        <v>535</v>
      </c>
      <c r="D109">
        <f>'Account Creation'!D109</f>
        <v>0</v>
      </c>
      <c r="E109">
        <f>'Account Creation'!B109</f>
        <v>0</v>
      </c>
      <c r="F109" t="s">
        <v>536</v>
      </c>
      <c r="I109" t="s">
        <v>537</v>
      </c>
      <c r="J109" t="s">
        <v>537</v>
      </c>
      <c r="K109" t="s">
        <v>537</v>
      </c>
      <c r="L109" t="str">
        <f>TRIM('Account Creation'!Q109)</f>
        <v/>
      </c>
      <c r="M109" t="s">
        <v>538</v>
      </c>
      <c r="N109" t="str">
        <f>TEXT('Account Creation'!G109,"mm/dd/yyyy")</f>
        <v>01/00/1900</v>
      </c>
      <c r="O109" t="s">
        <v>462</v>
      </c>
    </row>
    <row r="110" spans="1:15" x14ac:dyDescent="0.25">
      <c r="A110" t="str">
        <f>CONCATENATE('Help Desk'!D110,"@email.wal-mart.com")</f>
        <v>@email.wal-mart.com</v>
      </c>
      <c r="B110" t="str">
        <f>TRIM('Help Desk'!D110)</f>
        <v/>
      </c>
      <c r="C110" t="s">
        <v>535</v>
      </c>
      <c r="D110">
        <f>'Account Creation'!D110</f>
        <v>0</v>
      </c>
      <c r="E110">
        <f>'Account Creation'!B110</f>
        <v>0</v>
      </c>
      <c r="F110" t="s">
        <v>536</v>
      </c>
      <c r="I110" t="s">
        <v>537</v>
      </c>
      <c r="J110" t="s">
        <v>537</v>
      </c>
      <c r="K110" t="s">
        <v>537</v>
      </c>
      <c r="L110" t="str">
        <f>TRIM('Account Creation'!Q110)</f>
        <v/>
      </c>
      <c r="M110" t="s">
        <v>538</v>
      </c>
      <c r="N110" t="str">
        <f>TEXT('Account Creation'!G110,"mm/dd/yyyy")</f>
        <v>01/00/1900</v>
      </c>
      <c r="O110" t="s">
        <v>462</v>
      </c>
    </row>
    <row r="111" spans="1:15" x14ac:dyDescent="0.25">
      <c r="A111" t="str">
        <f>CONCATENATE('Help Desk'!D111,"@email.wal-mart.com")</f>
        <v>@email.wal-mart.com</v>
      </c>
      <c r="B111" t="str">
        <f>TRIM('Help Desk'!D111)</f>
        <v/>
      </c>
      <c r="C111" t="s">
        <v>535</v>
      </c>
      <c r="D111">
        <f>'Account Creation'!D111</f>
        <v>0</v>
      </c>
      <c r="E111">
        <f>'Account Creation'!B111</f>
        <v>0</v>
      </c>
      <c r="F111" t="s">
        <v>536</v>
      </c>
      <c r="I111" t="s">
        <v>537</v>
      </c>
      <c r="J111" t="s">
        <v>537</v>
      </c>
      <c r="K111" t="s">
        <v>537</v>
      </c>
      <c r="L111" t="str">
        <f>TRIM('Account Creation'!Q111)</f>
        <v/>
      </c>
      <c r="M111" t="s">
        <v>538</v>
      </c>
      <c r="N111" t="str">
        <f>TEXT('Account Creation'!G111,"mm/dd/yyyy")</f>
        <v>01/00/1900</v>
      </c>
      <c r="O111" t="s">
        <v>462</v>
      </c>
    </row>
    <row r="112" spans="1:15" x14ac:dyDescent="0.25">
      <c r="A112" t="str">
        <f>CONCATENATE('Help Desk'!D112,"@email.wal-mart.com")</f>
        <v>@email.wal-mart.com</v>
      </c>
      <c r="B112" t="str">
        <f>TRIM('Help Desk'!D112)</f>
        <v/>
      </c>
      <c r="C112" t="s">
        <v>535</v>
      </c>
      <c r="D112">
        <f>'Account Creation'!D112</f>
        <v>0</v>
      </c>
      <c r="E112">
        <f>'Account Creation'!B112</f>
        <v>0</v>
      </c>
      <c r="F112" t="s">
        <v>536</v>
      </c>
      <c r="I112" t="s">
        <v>537</v>
      </c>
      <c r="J112" t="s">
        <v>537</v>
      </c>
      <c r="K112" t="s">
        <v>537</v>
      </c>
      <c r="L112" t="str">
        <f>TRIM('Account Creation'!Q112)</f>
        <v/>
      </c>
      <c r="M112" t="s">
        <v>538</v>
      </c>
      <c r="N112" t="str">
        <f>TEXT('Account Creation'!G112,"mm/dd/yyyy")</f>
        <v>01/00/1900</v>
      </c>
      <c r="O112" t="s">
        <v>462</v>
      </c>
    </row>
    <row r="113" spans="1:15" x14ac:dyDescent="0.25">
      <c r="A113" t="str">
        <f>CONCATENATE('Help Desk'!D113,"@email.wal-mart.com")</f>
        <v>@email.wal-mart.com</v>
      </c>
      <c r="B113" t="str">
        <f>TRIM('Help Desk'!D113)</f>
        <v/>
      </c>
      <c r="C113" t="s">
        <v>535</v>
      </c>
      <c r="D113">
        <f>'Account Creation'!D113</f>
        <v>0</v>
      </c>
      <c r="E113">
        <f>'Account Creation'!B113</f>
        <v>0</v>
      </c>
      <c r="F113" t="s">
        <v>536</v>
      </c>
      <c r="I113" t="s">
        <v>537</v>
      </c>
      <c r="J113" t="s">
        <v>537</v>
      </c>
      <c r="K113" t="s">
        <v>537</v>
      </c>
      <c r="L113" t="str">
        <f>TRIM('Account Creation'!Q113)</f>
        <v/>
      </c>
      <c r="M113" t="s">
        <v>538</v>
      </c>
      <c r="N113" t="str">
        <f>TEXT('Account Creation'!G113,"mm/dd/yyyy")</f>
        <v>01/00/1900</v>
      </c>
      <c r="O113" t="s">
        <v>462</v>
      </c>
    </row>
    <row r="114" spans="1:15" x14ac:dyDescent="0.25">
      <c r="A114" t="str">
        <f>CONCATENATE('Help Desk'!D114,"@email.wal-mart.com")</f>
        <v>@email.wal-mart.com</v>
      </c>
      <c r="B114" t="str">
        <f>TRIM('Help Desk'!D114)</f>
        <v/>
      </c>
      <c r="C114" t="s">
        <v>535</v>
      </c>
      <c r="D114">
        <f>'Account Creation'!D114</f>
        <v>0</v>
      </c>
      <c r="E114">
        <f>'Account Creation'!B114</f>
        <v>0</v>
      </c>
      <c r="F114" t="s">
        <v>536</v>
      </c>
      <c r="I114" t="s">
        <v>537</v>
      </c>
      <c r="J114" t="s">
        <v>537</v>
      </c>
      <c r="K114" t="s">
        <v>537</v>
      </c>
      <c r="L114" t="str">
        <f>TRIM('Account Creation'!Q114)</f>
        <v/>
      </c>
      <c r="M114" t="s">
        <v>538</v>
      </c>
      <c r="N114" t="str">
        <f>TEXT('Account Creation'!G114,"mm/dd/yyyy")</f>
        <v>01/00/1900</v>
      </c>
      <c r="O114" t="s">
        <v>462</v>
      </c>
    </row>
    <row r="115" spans="1:15" x14ac:dyDescent="0.25">
      <c r="A115" t="str">
        <f>CONCATENATE('Help Desk'!D115,"@email.wal-mart.com")</f>
        <v>@email.wal-mart.com</v>
      </c>
      <c r="B115" t="str">
        <f>TRIM('Help Desk'!D115)</f>
        <v/>
      </c>
      <c r="C115" t="s">
        <v>535</v>
      </c>
      <c r="D115">
        <f>'Account Creation'!D115</f>
        <v>0</v>
      </c>
      <c r="E115">
        <f>'Account Creation'!B115</f>
        <v>0</v>
      </c>
      <c r="F115" t="s">
        <v>536</v>
      </c>
      <c r="I115" t="s">
        <v>537</v>
      </c>
      <c r="J115" t="s">
        <v>537</v>
      </c>
      <c r="K115" t="s">
        <v>537</v>
      </c>
      <c r="L115" t="str">
        <f>TRIM('Account Creation'!Q115)</f>
        <v/>
      </c>
      <c r="M115" t="s">
        <v>538</v>
      </c>
      <c r="N115" t="str">
        <f>TEXT('Account Creation'!G115,"mm/dd/yyyy")</f>
        <v>01/00/1900</v>
      </c>
      <c r="O115" t="s">
        <v>462</v>
      </c>
    </row>
    <row r="116" spans="1:15" x14ac:dyDescent="0.25">
      <c r="A116" t="str">
        <f>CONCATENATE('Help Desk'!D116,"@email.wal-mart.com")</f>
        <v>@email.wal-mart.com</v>
      </c>
      <c r="B116" t="str">
        <f>TRIM('Help Desk'!D116)</f>
        <v/>
      </c>
      <c r="C116" t="s">
        <v>535</v>
      </c>
      <c r="D116">
        <f>'Account Creation'!D116</f>
        <v>0</v>
      </c>
      <c r="E116">
        <f>'Account Creation'!B116</f>
        <v>0</v>
      </c>
      <c r="F116" t="s">
        <v>536</v>
      </c>
      <c r="I116" t="s">
        <v>537</v>
      </c>
      <c r="J116" t="s">
        <v>537</v>
      </c>
      <c r="K116" t="s">
        <v>537</v>
      </c>
      <c r="L116" t="str">
        <f>TRIM('Account Creation'!Q116)</f>
        <v/>
      </c>
      <c r="M116" t="s">
        <v>538</v>
      </c>
      <c r="N116" t="str">
        <f>TEXT('Account Creation'!G116,"mm/dd/yyyy")</f>
        <v>01/00/1900</v>
      </c>
      <c r="O116" t="s">
        <v>462</v>
      </c>
    </row>
    <row r="117" spans="1:15" x14ac:dyDescent="0.25">
      <c r="A117" t="str">
        <f>CONCATENATE('Help Desk'!D117,"@email.wal-mart.com")</f>
        <v>@email.wal-mart.com</v>
      </c>
      <c r="B117" t="str">
        <f>TRIM('Help Desk'!D117)</f>
        <v/>
      </c>
      <c r="C117" t="s">
        <v>535</v>
      </c>
      <c r="D117">
        <f>'Account Creation'!D117</f>
        <v>0</v>
      </c>
      <c r="E117">
        <f>'Account Creation'!B117</f>
        <v>0</v>
      </c>
      <c r="F117" t="s">
        <v>536</v>
      </c>
      <c r="I117" t="s">
        <v>537</v>
      </c>
      <c r="J117" t="s">
        <v>537</v>
      </c>
      <c r="K117" t="s">
        <v>537</v>
      </c>
      <c r="L117" t="str">
        <f>TRIM('Account Creation'!Q117)</f>
        <v/>
      </c>
      <c r="M117" t="s">
        <v>538</v>
      </c>
      <c r="N117" t="str">
        <f>TEXT('Account Creation'!G117,"mm/dd/yyyy")</f>
        <v>01/00/1900</v>
      </c>
      <c r="O117" t="s">
        <v>462</v>
      </c>
    </row>
    <row r="118" spans="1:15" x14ac:dyDescent="0.25">
      <c r="A118" t="str">
        <f>CONCATENATE('Help Desk'!D118,"@email.wal-mart.com")</f>
        <v>@email.wal-mart.com</v>
      </c>
      <c r="B118" t="str">
        <f>TRIM('Help Desk'!D118)</f>
        <v/>
      </c>
      <c r="C118" t="s">
        <v>535</v>
      </c>
      <c r="D118">
        <f>'Account Creation'!D118</f>
        <v>0</v>
      </c>
      <c r="E118">
        <f>'Account Creation'!B118</f>
        <v>0</v>
      </c>
      <c r="F118" t="s">
        <v>536</v>
      </c>
      <c r="I118" t="s">
        <v>537</v>
      </c>
      <c r="J118" t="s">
        <v>537</v>
      </c>
      <c r="K118" t="s">
        <v>537</v>
      </c>
      <c r="L118" t="str">
        <f>TRIM('Account Creation'!Q118)</f>
        <v/>
      </c>
      <c r="M118" t="s">
        <v>538</v>
      </c>
      <c r="N118" t="str">
        <f>TEXT('Account Creation'!G118,"mm/dd/yyyy")</f>
        <v>01/00/1900</v>
      </c>
      <c r="O118" t="s">
        <v>462</v>
      </c>
    </row>
    <row r="119" spans="1:15" x14ac:dyDescent="0.25">
      <c r="A119" t="str">
        <f>CONCATENATE('Help Desk'!D119,"@email.wal-mart.com")</f>
        <v>@email.wal-mart.com</v>
      </c>
      <c r="B119" t="str">
        <f>TRIM('Help Desk'!D119)</f>
        <v/>
      </c>
      <c r="C119" t="s">
        <v>535</v>
      </c>
      <c r="D119">
        <f>'Account Creation'!D119</f>
        <v>0</v>
      </c>
      <c r="E119">
        <f>'Account Creation'!B119</f>
        <v>0</v>
      </c>
      <c r="F119" t="s">
        <v>536</v>
      </c>
      <c r="I119" t="s">
        <v>537</v>
      </c>
      <c r="J119" t="s">
        <v>537</v>
      </c>
      <c r="K119" t="s">
        <v>537</v>
      </c>
      <c r="L119" t="str">
        <f>TRIM('Account Creation'!Q119)</f>
        <v/>
      </c>
      <c r="M119" t="s">
        <v>538</v>
      </c>
      <c r="N119" t="str">
        <f>TEXT('Account Creation'!G119,"mm/dd/yyyy")</f>
        <v>01/00/1900</v>
      </c>
      <c r="O119" t="s">
        <v>462</v>
      </c>
    </row>
    <row r="120" spans="1:15" x14ac:dyDescent="0.25">
      <c r="A120" t="str">
        <f>CONCATENATE('Help Desk'!D120,"@email.wal-mart.com")</f>
        <v>@email.wal-mart.com</v>
      </c>
      <c r="B120" t="str">
        <f>TRIM('Help Desk'!D120)</f>
        <v/>
      </c>
      <c r="C120" t="s">
        <v>535</v>
      </c>
      <c r="D120">
        <f>'Account Creation'!D120</f>
        <v>0</v>
      </c>
      <c r="E120">
        <f>'Account Creation'!B120</f>
        <v>0</v>
      </c>
      <c r="F120" t="s">
        <v>536</v>
      </c>
      <c r="I120" t="s">
        <v>537</v>
      </c>
      <c r="J120" t="s">
        <v>537</v>
      </c>
      <c r="K120" t="s">
        <v>537</v>
      </c>
      <c r="L120" t="str">
        <f>TRIM('Account Creation'!Q120)</f>
        <v/>
      </c>
      <c r="M120" t="s">
        <v>538</v>
      </c>
      <c r="N120" t="str">
        <f>TEXT('Account Creation'!G120,"mm/dd/yyyy")</f>
        <v>01/00/1900</v>
      </c>
      <c r="O120" t="s">
        <v>462</v>
      </c>
    </row>
    <row r="121" spans="1:15" x14ac:dyDescent="0.25">
      <c r="A121" t="str">
        <f>CONCATENATE('Help Desk'!D121,"@email.wal-mart.com")</f>
        <v>@email.wal-mart.com</v>
      </c>
      <c r="B121" t="str">
        <f>TRIM('Help Desk'!D121)</f>
        <v/>
      </c>
      <c r="C121" t="s">
        <v>535</v>
      </c>
      <c r="D121">
        <f>'Account Creation'!D121</f>
        <v>0</v>
      </c>
      <c r="E121">
        <f>'Account Creation'!B121</f>
        <v>0</v>
      </c>
      <c r="F121" t="s">
        <v>536</v>
      </c>
      <c r="I121" t="s">
        <v>537</v>
      </c>
      <c r="J121" t="s">
        <v>537</v>
      </c>
      <c r="K121" t="s">
        <v>537</v>
      </c>
      <c r="L121" t="str">
        <f>TRIM('Account Creation'!Q121)</f>
        <v/>
      </c>
      <c r="M121" t="s">
        <v>538</v>
      </c>
      <c r="N121" t="str">
        <f>TEXT('Account Creation'!G121,"mm/dd/yyyy")</f>
        <v>01/00/1900</v>
      </c>
      <c r="O121" t="s">
        <v>462</v>
      </c>
    </row>
    <row r="122" spans="1:15" x14ac:dyDescent="0.25">
      <c r="A122" t="str">
        <f>CONCATENATE('Help Desk'!D122,"@email.wal-mart.com")</f>
        <v>@email.wal-mart.com</v>
      </c>
      <c r="B122" t="str">
        <f>TRIM('Help Desk'!D122)</f>
        <v/>
      </c>
      <c r="C122" t="s">
        <v>535</v>
      </c>
      <c r="D122">
        <f>'Account Creation'!D122</f>
        <v>0</v>
      </c>
      <c r="E122">
        <f>'Account Creation'!B122</f>
        <v>0</v>
      </c>
      <c r="F122" t="s">
        <v>536</v>
      </c>
      <c r="I122" t="s">
        <v>537</v>
      </c>
      <c r="J122" t="s">
        <v>537</v>
      </c>
      <c r="K122" t="s">
        <v>537</v>
      </c>
      <c r="L122" t="str">
        <f>TRIM('Account Creation'!Q122)</f>
        <v/>
      </c>
      <c r="M122" t="s">
        <v>538</v>
      </c>
      <c r="N122" t="str">
        <f>TEXT('Account Creation'!G122,"mm/dd/yyyy")</f>
        <v>01/00/1900</v>
      </c>
      <c r="O122" t="s">
        <v>462</v>
      </c>
    </row>
    <row r="123" spans="1:15" x14ac:dyDescent="0.25">
      <c r="A123" t="str">
        <f>CONCATENATE('Help Desk'!D123,"@email.wal-mart.com")</f>
        <v>@email.wal-mart.com</v>
      </c>
      <c r="B123" t="str">
        <f>TRIM('Help Desk'!D123)</f>
        <v/>
      </c>
      <c r="C123" t="s">
        <v>535</v>
      </c>
      <c r="D123">
        <f>'Account Creation'!D123</f>
        <v>0</v>
      </c>
      <c r="E123">
        <f>'Account Creation'!B123</f>
        <v>0</v>
      </c>
      <c r="F123" t="s">
        <v>536</v>
      </c>
      <c r="I123" t="s">
        <v>537</v>
      </c>
      <c r="J123" t="s">
        <v>537</v>
      </c>
      <c r="K123" t="s">
        <v>537</v>
      </c>
      <c r="L123" t="str">
        <f>TRIM('Account Creation'!Q123)</f>
        <v/>
      </c>
      <c r="M123" t="s">
        <v>538</v>
      </c>
      <c r="N123" t="str">
        <f>TEXT('Account Creation'!G123,"mm/dd/yyyy")</f>
        <v>01/00/1900</v>
      </c>
      <c r="O123" t="s">
        <v>462</v>
      </c>
    </row>
    <row r="124" spans="1:15" x14ac:dyDescent="0.25">
      <c r="A124" t="str">
        <f>CONCATENATE('Help Desk'!D124,"@email.wal-mart.com")</f>
        <v>@email.wal-mart.com</v>
      </c>
      <c r="B124" t="str">
        <f>TRIM('Help Desk'!D124)</f>
        <v/>
      </c>
      <c r="C124" t="s">
        <v>535</v>
      </c>
      <c r="D124">
        <f>'Account Creation'!D124</f>
        <v>0</v>
      </c>
      <c r="E124">
        <f>'Account Creation'!B124</f>
        <v>0</v>
      </c>
      <c r="F124" t="s">
        <v>536</v>
      </c>
      <c r="I124" t="s">
        <v>537</v>
      </c>
      <c r="J124" t="s">
        <v>537</v>
      </c>
      <c r="K124" t="s">
        <v>537</v>
      </c>
      <c r="L124" t="str">
        <f>TRIM('Account Creation'!Q124)</f>
        <v/>
      </c>
      <c r="M124" t="s">
        <v>538</v>
      </c>
      <c r="N124" t="str">
        <f>TEXT('Account Creation'!G124,"mm/dd/yyyy")</f>
        <v>01/00/1900</v>
      </c>
      <c r="O124" t="s">
        <v>462</v>
      </c>
    </row>
    <row r="125" spans="1:15" x14ac:dyDescent="0.25">
      <c r="A125" t="str">
        <f>CONCATENATE('Help Desk'!D125,"@email.wal-mart.com")</f>
        <v>@email.wal-mart.com</v>
      </c>
      <c r="B125" t="str">
        <f>TRIM('Help Desk'!D125)</f>
        <v/>
      </c>
      <c r="C125" t="s">
        <v>535</v>
      </c>
      <c r="D125">
        <f>'Account Creation'!D125</f>
        <v>0</v>
      </c>
      <c r="E125">
        <f>'Account Creation'!B125</f>
        <v>0</v>
      </c>
      <c r="F125" t="s">
        <v>536</v>
      </c>
      <c r="I125" t="s">
        <v>537</v>
      </c>
      <c r="J125" t="s">
        <v>537</v>
      </c>
      <c r="K125" t="s">
        <v>537</v>
      </c>
      <c r="L125" t="str">
        <f>TRIM('Account Creation'!Q125)</f>
        <v/>
      </c>
      <c r="M125" t="s">
        <v>538</v>
      </c>
      <c r="N125" t="str">
        <f>TEXT('Account Creation'!G125,"mm/dd/yyyy")</f>
        <v>01/00/1900</v>
      </c>
      <c r="O125" t="s">
        <v>462</v>
      </c>
    </row>
    <row r="126" spans="1:15" x14ac:dyDescent="0.25">
      <c r="A126" t="str">
        <f>CONCATENATE('Help Desk'!D126,"@email.wal-mart.com")</f>
        <v>@email.wal-mart.com</v>
      </c>
      <c r="B126" t="str">
        <f>TRIM('Help Desk'!D126)</f>
        <v/>
      </c>
      <c r="C126" t="s">
        <v>535</v>
      </c>
      <c r="D126">
        <f>'Account Creation'!D126</f>
        <v>0</v>
      </c>
      <c r="E126">
        <f>'Account Creation'!B126</f>
        <v>0</v>
      </c>
      <c r="F126" t="s">
        <v>536</v>
      </c>
      <c r="I126" t="s">
        <v>537</v>
      </c>
      <c r="J126" t="s">
        <v>537</v>
      </c>
      <c r="K126" t="s">
        <v>537</v>
      </c>
      <c r="L126" t="str">
        <f>TRIM('Account Creation'!Q126)</f>
        <v/>
      </c>
      <c r="M126" t="s">
        <v>538</v>
      </c>
      <c r="N126" t="str">
        <f>TEXT('Account Creation'!G126,"mm/dd/yyyy")</f>
        <v>01/00/1900</v>
      </c>
      <c r="O126" t="s">
        <v>462</v>
      </c>
    </row>
    <row r="127" spans="1:15" x14ac:dyDescent="0.25">
      <c r="A127" t="str">
        <f>CONCATENATE('Help Desk'!D127,"@email.wal-mart.com")</f>
        <v>@email.wal-mart.com</v>
      </c>
      <c r="B127" t="str">
        <f>TRIM('Help Desk'!D127)</f>
        <v/>
      </c>
      <c r="C127" t="s">
        <v>535</v>
      </c>
      <c r="D127">
        <f>'Account Creation'!D127</f>
        <v>0</v>
      </c>
      <c r="E127">
        <f>'Account Creation'!B127</f>
        <v>0</v>
      </c>
      <c r="F127" t="s">
        <v>536</v>
      </c>
      <c r="I127" t="s">
        <v>537</v>
      </c>
      <c r="J127" t="s">
        <v>537</v>
      </c>
      <c r="K127" t="s">
        <v>537</v>
      </c>
      <c r="L127" t="str">
        <f>TRIM('Account Creation'!Q127)</f>
        <v/>
      </c>
      <c r="M127" t="s">
        <v>538</v>
      </c>
      <c r="N127" t="str">
        <f>TEXT('Account Creation'!G127,"mm/dd/yyyy")</f>
        <v>01/00/1900</v>
      </c>
      <c r="O127" t="s">
        <v>462</v>
      </c>
    </row>
    <row r="128" spans="1:15" x14ac:dyDescent="0.25">
      <c r="A128" t="str">
        <f>CONCATENATE('Help Desk'!D128,"@email.wal-mart.com")</f>
        <v>@email.wal-mart.com</v>
      </c>
      <c r="B128" t="str">
        <f>TRIM('Help Desk'!D128)</f>
        <v/>
      </c>
      <c r="C128" t="s">
        <v>535</v>
      </c>
      <c r="D128">
        <f>'Account Creation'!D128</f>
        <v>0</v>
      </c>
      <c r="E128">
        <f>'Account Creation'!B128</f>
        <v>0</v>
      </c>
      <c r="F128" t="s">
        <v>536</v>
      </c>
      <c r="I128" t="s">
        <v>537</v>
      </c>
      <c r="J128" t="s">
        <v>537</v>
      </c>
      <c r="K128" t="s">
        <v>537</v>
      </c>
      <c r="L128" t="str">
        <f>TRIM('Account Creation'!Q128)</f>
        <v/>
      </c>
      <c r="M128" t="s">
        <v>538</v>
      </c>
      <c r="N128" t="str">
        <f>TEXT('Account Creation'!G128,"mm/dd/yyyy")</f>
        <v>01/00/1900</v>
      </c>
      <c r="O128" t="s">
        <v>462</v>
      </c>
    </row>
    <row r="129" spans="1:15" x14ac:dyDescent="0.25">
      <c r="A129" t="str">
        <f>CONCATENATE('Help Desk'!D129,"@email.wal-mart.com")</f>
        <v>@email.wal-mart.com</v>
      </c>
      <c r="B129" t="str">
        <f>TRIM('Help Desk'!D129)</f>
        <v/>
      </c>
      <c r="C129" t="s">
        <v>535</v>
      </c>
      <c r="D129">
        <f>'Account Creation'!D129</f>
        <v>0</v>
      </c>
      <c r="E129">
        <f>'Account Creation'!B129</f>
        <v>0</v>
      </c>
      <c r="F129" t="s">
        <v>536</v>
      </c>
      <c r="I129" t="s">
        <v>537</v>
      </c>
      <c r="J129" t="s">
        <v>537</v>
      </c>
      <c r="K129" t="s">
        <v>537</v>
      </c>
      <c r="L129" t="str">
        <f>TRIM('Account Creation'!Q129)</f>
        <v/>
      </c>
      <c r="M129" t="s">
        <v>538</v>
      </c>
      <c r="N129" t="str">
        <f>TEXT('Account Creation'!G129,"mm/dd/yyyy")</f>
        <v>01/00/1900</v>
      </c>
      <c r="O129" t="s">
        <v>462</v>
      </c>
    </row>
    <row r="130" spans="1:15" x14ac:dyDescent="0.25">
      <c r="A130" t="str">
        <f>CONCATENATE('Help Desk'!D130,"@email.wal-mart.com")</f>
        <v>@email.wal-mart.com</v>
      </c>
      <c r="B130" t="str">
        <f>TRIM('Help Desk'!D130)</f>
        <v/>
      </c>
      <c r="C130" t="s">
        <v>535</v>
      </c>
      <c r="D130">
        <f>'Account Creation'!D130</f>
        <v>0</v>
      </c>
      <c r="E130">
        <f>'Account Creation'!B130</f>
        <v>0</v>
      </c>
      <c r="F130" t="s">
        <v>536</v>
      </c>
      <c r="I130" t="s">
        <v>537</v>
      </c>
      <c r="J130" t="s">
        <v>537</v>
      </c>
      <c r="K130" t="s">
        <v>537</v>
      </c>
      <c r="L130" t="str">
        <f>TRIM('Account Creation'!Q130)</f>
        <v/>
      </c>
      <c r="M130" t="s">
        <v>538</v>
      </c>
      <c r="N130" t="str">
        <f>TEXT('Account Creation'!G130,"mm/dd/yyyy")</f>
        <v>01/00/1900</v>
      </c>
      <c r="O130" t="s">
        <v>462</v>
      </c>
    </row>
    <row r="131" spans="1:15" x14ac:dyDescent="0.25">
      <c r="A131" t="str">
        <f>CONCATENATE('Help Desk'!D131,"@email.wal-mart.com")</f>
        <v>@email.wal-mart.com</v>
      </c>
      <c r="B131" t="str">
        <f>TRIM('Help Desk'!D131)</f>
        <v/>
      </c>
      <c r="C131" t="s">
        <v>535</v>
      </c>
      <c r="D131">
        <f>'Account Creation'!D131</f>
        <v>0</v>
      </c>
      <c r="E131">
        <f>'Account Creation'!B131</f>
        <v>0</v>
      </c>
      <c r="F131" t="s">
        <v>536</v>
      </c>
      <c r="I131" t="s">
        <v>537</v>
      </c>
      <c r="J131" t="s">
        <v>537</v>
      </c>
      <c r="K131" t="s">
        <v>537</v>
      </c>
      <c r="L131" t="str">
        <f>TRIM('Account Creation'!Q131)</f>
        <v/>
      </c>
      <c r="M131" t="s">
        <v>538</v>
      </c>
      <c r="N131" t="str">
        <f>TEXT('Account Creation'!G131,"mm/dd/yyyy")</f>
        <v>01/00/1900</v>
      </c>
      <c r="O131" t="s">
        <v>462</v>
      </c>
    </row>
    <row r="132" spans="1:15" x14ac:dyDescent="0.25">
      <c r="A132" t="str">
        <f>CONCATENATE('Help Desk'!D132,"@email.wal-mart.com")</f>
        <v>@email.wal-mart.com</v>
      </c>
      <c r="B132" t="str">
        <f>TRIM('Help Desk'!D132)</f>
        <v/>
      </c>
      <c r="C132" t="s">
        <v>535</v>
      </c>
      <c r="D132">
        <f>'Account Creation'!D132</f>
        <v>0</v>
      </c>
      <c r="E132">
        <f>'Account Creation'!B132</f>
        <v>0</v>
      </c>
      <c r="F132" t="s">
        <v>536</v>
      </c>
      <c r="I132" t="s">
        <v>537</v>
      </c>
      <c r="J132" t="s">
        <v>537</v>
      </c>
      <c r="K132" t="s">
        <v>537</v>
      </c>
      <c r="L132" t="str">
        <f>TRIM('Account Creation'!Q132)</f>
        <v/>
      </c>
      <c r="M132" t="s">
        <v>538</v>
      </c>
      <c r="N132" t="str">
        <f>TEXT('Account Creation'!G132,"mm/dd/yyyy")</f>
        <v>01/00/1900</v>
      </c>
      <c r="O132" t="s">
        <v>462</v>
      </c>
    </row>
    <row r="133" spans="1:15" x14ac:dyDescent="0.25">
      <c r="A133" t="str">
        <f>CONCATENATE('Help Desk'!D133,"@email.wal-mart.com")</f>
        <v>@email.wal-mart.com</v>
      </c>
      <c r="B133" t="str">
        <f>TRIM('Help Desk'!D133)</f>
        <v/>
      </c>
      <c r="C133" t="s">
        <v>535</v>
      </c>
      <c r="D133">
        <f>'Account Creation'!D133</f>
        <v>0</v>
      </c>
      <c r="E133">
        <f>'Account Creation'!B133</f>
        <v>0</v>
      </c>
      <c r="F133" t="s">
        <v>536</v>
      </c>
      <c r="I133" t="s">
        <v>537</v>
      </c>
      <c r="J133" t="s">
        <v>537</v>
      </c>
      <c r="K133" t="s">
        <v>537</v>
      </c>
      <c r="L133" t="str">
        <f>TRIM('Account Creation'!Q133)</f>
        <v/>
      </c>
      <c r="M133" t="s">
        <v>538</v>
      </c>
      <c r="N133" t="str">
        <f>TEXT('Account Creation'!G133,"mm/dd/yyyy")</f>
        <v>01/00/1900</v>
      </c>
      <c r="O133" t="s">
        <v>462</v>
      </c>
    </row>
    <row r="134" spans="1:15" x14ac:dyDescent="0.25">
      <c r="A134" t="str">
        <f>CONCATENATE('Help Desk'!D134,"@email.wal-mart.com")</f>
        <v>@email.wal-mart.com</v>
      </c>
      <c r="B134" t="str">
        <f>TRIM('Help Desk'!D134)</f>
        <v/>
      </c>
      <c r="C134" t="s">
        <v>535</v>
      </c>
      <c r="D134">
        <f>'Account Creation'!D134</f>
        <v>0</v>
      </c>
      <c r="E134">
        <f>'Account Creation'!B134</f>
        <v>0</v>
      </c>
      <c r="F134" t="s">
        <v>536</v>
      </c>
      <c r="I134" t="s">
        <v>537</v>
      </c>
      <c r="J134" t="s">
        <v>537</v>
      </c>
      <c r="K134" t="s">
        <v>537</v>
      </c>
      <c r="L134" t="str">
        <f>TRIM('Account Creation'!Q134)</f>
        <v/>
      </c>
      <c r="M134" t="s">
        <v>538</v>
      </c>
      <c r="N134" t="str">
        <f>TEXT('Account Creation'!G134,"mm/dd/yyyy")</f>
        <v>01/00/1900</v>
      </c>
      <c r="O134" t="s">
        <v>462</v>
      </c>
    </row>
    <row r="135" spans="1:15" x14ac:dyDescent="0.25">
      <c r="A135" t="str">
        <f>CONCATENATE('Help Desk'!D135,"@email.wal-mart.com")</f>
        <v>@email.wal-mart.com</v>
      </c>
      <c r="B135" t="str">
        <f>TRIM('Help Desk'!D135)</f>
        <v/>
      </c>
      <c r="C135" t="s">
        <v>535</v>
      </c>
      <c r="D135">
        <f>'Account Creation'!D135</f>
        <v>0</v>
      </c>
      <c r="E135">
        <f>'Account Creation'!B135</f>
        <v>0</v>
      </c>
      <c r="F135" t="s">
        <v>536</v>
      </c>
      <c r="I135" t="s">
        <v>537</v>
      </c>
      <c r="J135" t="s">
        <v>537</v>
      </c>
      <c r="K135" t="s">
        <v>537</v>
      </c>
      <c r="L135" t="str">
        <f>TRIM('Account Creation'!Q135)</f>
        <v/>
      </c>
      <c r="M135" t="s">
        <v>538</v>
      </c>
      <c r="N135" t="str">
        <f>TEXT('Account Creation'!G135,"mm/dd/yyyy")</f>
        <v>01/00/1900</v>
      </c>
      <c r="O135" t="s">
        <v>462</v>
      </c>
    </row>
    <row r="136" spans="1:15" x14ac:dyDescent="0.25">
      <c r="A136" t="str">
        <f>CONCATENATE('Help Desk'!D136,"@email.wal-mart.com")</f>
        <v>@email.wal-mart.com</v>
      </c>
      <c r="B136" t="str">
        <f>TRIM('Help Desk'!D136)</f>
        <v/>
      </c>
      <c r="C136" t="s">
        <v>535</v>
      </c>
      <c r="D136">
        <f>'Account Creation'!D136</f>
        <v>0</v>
      </c>
      <c r="E136">
        <f>'Account Creation'!B136</f>
        <v>0</v>
      </c>
      <c r="F136" t="s">
        <v>536</v>
      </c>
      <c r="I136" t="s">
        <v>537</v>
      </c>
      <c r="J136" t="s">
        <v>537</v>
      </c>
      <c r="K136" t="s">
        <v>537</v>
      </c>
      <c r="L136" t="str">
        <f>TRIM('Account Creation'!Q136)</f>
        <v/>
      </c>
      <c r="M136" t="s">
        <v>538</v>
      </c>
      <c r="N136" t="str">
        <f>TEXT('Account Creation'!G136,"mm/dd/yyyy")</f>
        <v>01/00/1900</v>
      </c>
      <c r="O136" t="s">
        <v>462</v>
      </c>
    </row>
    <row r="137" spans="1:15" x14ac:dyDescent="0.25">
      <c r="A137" t="str">
        <f>CONCATENATE('Help Desk'!D137,"@email.wal-mart.com")</f>
        <v>@email.wal-mart.com</v>
      </c>
      <c r="B137" t="str">
        <f>TRIM('Help Desk'!D137)</f>
        <v/>
      </c>
      <c r="C137" t="s">
        <v>535</v>
      </c>
      <c r="D137">
        <f>'Account Creation'!D137</f>
        <v>0</v>
      </c>
      <c r="E137">
        <f>'Account Creation'!B137</f>
        <v>0</v>
      </c>
      <c r="F137" t="s">
        <v>536</v>
      </c>
      <c r="I137" t="s">
        <v>537</v>
      </c>
      <c r="J137" t="s">
        <v>537</v>
      </c>
      <c r="K137" t="s">
        <v>537</v>
      </c>
      <c r="L137" t="str">
        <f>TRIM('Account Creation'!Q137)</f>
        <v/>
      </c>
      <c r="M137" t="s">
        <v>538</v>
      </c>
      <c r="N137" t="str">
        <f>TEXT('Account Creation'!G137,"mm/dd/yyyy")</f>
        <v>01/00/1900</v>
      </c>
      <c r="O137" t="s">
        <v>462</v>
      </c>
    </row>
    <row r="138" spans="1:15" x14ac:dyDescent="0.25">
      <c r="A138" t="str">
        <f>CONCATENATE('Help Desk'!D138,"@email.wal-mart.com")</f>
        <v>@email.wal-mart.com</v>
      </c>
      <c r="B138" t="str">
        <f>TRIM('Help Desk'!D138)</f>
        <v/>
      </c>
      <c r="C138" t="s">
        <v>535</v>
      </c>
      <c r="D138">
        <f>'Account Creation'!D138</f>
        <v>0</v>
      </c>
      <c r="E138">
        <f>'Account Creation'!B138</f>
        <v>0</v>
      </c>
      <c r="F138" t="s">
        <v>536</v>
      </c>
      <c r="I138" t="s">
        <v>537</v>
      </c>
      <c r="J138" t="s">
        <v>537</v>
      </c>
      <c r="K138" t="s">
        <v>537</v>
      </c>
      <c r="L138" t="str">
        <f>TRIM('Account Creation'!Q138)</f>
        <v/>
      </c>
      <c r="M138" t="s">
        <v>538</v>
      </c>
      <c r="N138" t="str">
        <f>TEXT('Account Creation'!G138,"mm/dd/yyyy")</f>
        <v>01/00/1900</v>
      </c>
      <c r="O138" t="s">
        <v>462</v>
      </c>
    </row>
    <row r="139" spans="1:15" x14ac:dyDescent="0.25">
      <c r="A139" t="str">
        <f>CONCATENATE('Help Desk'!D139,"@email.wal-mart.com")</f>
        <v>@email.wal-mart.com</v>
      </c>
      <c r="B139" t="str">
        <f>TRIM('Help Desk'!D139)</f>
        <v/>
      </c>
      <c r="C139" t="s">
        <v>535</v>
      </c>
      <c r="D139">
        <f>'Account Creation'!D139</f>
        <v>0</v>
      </c>
      <c r="E139">
        <f>'Account Creation'!B139</f>
        <v>0</v>
      </c>
      <c r="F139" t="s">
        <v>536</v>
      </c>
      <c r="I139" t="s">
        <v>537</v>
      </c>
      <c r="J139" t="s">
        <v>537</v>
      </c>
      <c r="K139" t="s">
        <v>537</v>
      </c>
      <c r="L139" t="str">
        <f>TRIM('Account Creation'!Q139)</f>
        <v/>
      </c>
      <c r="M139" t="s">
        <v>538</v>
      </c>
      <c r="N139" t="str">
        <f>TEXT('Account Creation'!G139,"mm/dd/yyyy")</f>
        <v>01/00/1900</v>
      </c>
      <c r="O139" t="s">
        <v>462</v>
      </c>
    </row>
    <row r="140" spans="1:15" x14ac:dyDescent="0.25">
      <c r="A140" t="str">
        <f>CONCATENATE('Help Desk'!D140,"@email.wal-mart.com")</f>
        <v>@email.wal-mart.com</v>
      </c>
      <c r="B140" t="str">
        <f>TRIM('Help Desk'!D140)</f>
        <v/>
      </c>
      <c r="C140" t="s">
        <v>535</v>
      </c>
      <c r="D140">
        <f>'Account Creation'!D140</f>
        <v>0</v>
      </c>
      <c r="E140">
        <f>'Account Creation'!B140</f>
        <v>0</v>
      </c>
      <c r="F140" t="s">
        <v>536</v>
      </c>
      <c r="I140" t="s">
        <v>537</v>
      </c>
      <c r="J140" t="s">
        <v>537</v>
      </c>
      <c r="K140" t="s">
        <v>537</v>
      </c>
      <c r="L140" t="str">
        <f>TRIM('Account Creation'!Q140)</f>
        <v/>
      </c>
      <c r="M140" t="s">
        <v>538</v>
      </c>
      <c r="N140" t="str">
        <f>TEXT('Account Creation'!G140,"mm/dd/yyyy")</f>
        <v>01/00/1900</v>
      </c>
      <c r="O140" t="s">
        <v>462</v>
      </c>
    </row>
    <row r="141" spans="1:15" x14ac:dyDescent="0.25">
      <c r="A141" t="str">
        <f>CONCATENATE('Help Desk'!D141,"@email.wal-mart.com")</f>
        <v>@email.wal-mart.com</v>
      </c>
      <c r="B141" t="str">
        <f>TRIM('Help Desk'!D141)</f>
        <v/>
      </c>
      <c r="C141" t="s">
        <v>535</v>
      </c>
      <c r="D141">
        <f>'Account Creation'!D141</f>
        <v>0</v>
      </c>
      <c r="E141">
        <f>'Account Creation'!B141</f>
        <v>0</v>
      </c>
      <c r="F141" t="s">
        <v>536</v>
      </c>
      <c r="I141" t="s">
        <v>537</v>
      </c>
      <c r="J141" t="s">
        <v>537</v>
      </c>
      <c r="K141" t="s">
        <v>537</v>
      </c>
      <c r="L141" t="str">
        <f>TRIM('Account Creation'!Q141)</f>
        <v/>
      </c>
      <c r="M141" t="s">
        <v>538</v>
      </c>
      <c r="N141" t="str">
        <f>TEXT('Account Creation'!G141,"mm/dd/yyyy")</f>
        <v>01/00/1900</v>
      </c>
      <c r="O141" t="s">
        <v>462</v>
      </c>
    </row>
    <row r="142" spans="1:15" x14ac:dyDescent="0.25">
      <c r="A142" t="str">
        <f>CONCATENATE('Help Desk'!D142,"@email.wal-mart.com")</f>
        <v>@email.wal-mart.com</v>
      </c>
      <c r="B142" t="str">
        <f>TRIM('Help Desk'!D142)</f>
        <v/>
      </c>
      <c r="C142" t="s">
        <v>535</v>
      </c>
      <c r="D142">
        <f>'Account Creation'!D142</f>
        <v>0</v>
      </c>
      <c r="E142">
        <f>'Account Creation'!B142</f>
        <v>0</v>
      </c>
      <c r="F142" t="s">
        <v>536</v>
      </c>
      <c r="I142" t="s">
        <v>537</v>
      </c>
      <c r="J142" t="s">
        <v>537</v>
      </c>
      <c r="K142" t="s">
        <v>537</v>
      </c>
      <c r="L142" t="str">
        <f>TRIM('Account Creation'!Q142)</f>
        <v/>
      </c>
      <c r="M142" t="s">
        <v>538</v>
      </c>
      <c r="N142" t="str">
        <f>TEXT('Account Creation'!G142,"mm/dd/yyyy")</f>
        <v>01/00/1900</v>
      </c>
      <c r="O142" t="s">
        <v>462</v>
      </c>
    </row>
    <row r="143" spans="1:15" x14ac:dyDescent="0.25">
      <c r="A143" t="str">
        <f>CONCATENATE('Help Desk'!D143,"@email.wal-mart.com")</f>
        <v>@email.wal-mart.com</v>
      </c>
      <c r="B143" t="str">
        <f>TRIM('Help Desk'!D143)</f>
        <v/>
      </c>
      <c r="C143" t="s">
        <v>535</v>
      </c>
      <c r="D143">
        <f>'Account Creation'!D143</f>
        <v>0</v>
      </c>
      <c r="E143">
        <f>'Account Creation'!B143</f>
        <v>0</v>
      </c>
      <c r="F143" t="s">
        <v>536</v>
      </c>
      <c r="I143" t="s">
        <v>537</v>
      </c>
      <c r="J143" t="s">
        <v>537</v>
      </c>
      <c r="K143" t="s">
        <v>537</v>
      </c>
      <c r="L143" t="str">
        <f>TRIM('Account Creation'!Q143)</f>
        <v/>
      </c>
      <c r="M143" t="s">
        <v>538</v>
      </c>
      <c r="N143" t="str">
        <f>TEXT('Account Creation'!G143,"mm/dd/yyyy")</f>
        <v>01/00/1900</v>
      </c>
      <c r="O143" t="s">
        <v>462</v>
      </c>
    </row>
    <row r="144" spans="1:15" x14ac:dyDescent="0.25">
      <c r="A144" t="str">
        <f>CONCATENATE('Help Desk'!D144,"@email.wal-mart.com")</f>
        <v>@email.wal-mart.com</v>
      </c>
      <c r="B144" t="str">
        <f>TRIM('Help Desk'!D144)</f>
        <v/>
      </c>
      <c r="C144" t="s">
        <v>535</v>
      </c>
      <c r="D144">
        <f>'Account Creation'!D144</f>
        <v>0</v>
      </c>
      <c r="E144">
        <f>'Account Creation'!B144</f>
        <v>0</v>
      </c>
      <c r="F144" t="s">
        <v>536</v>
      </c>
      <c r="I144" t="s">
        <v>537</v>
      </c>
      <c r="J144" t="s">
        <v>537</v>
      </c>
      <c r="K144" t="s">
        <v>537</v>
      </c>
      <c r="L144" t="str">
        <f>TRIM('Account Creation'!Q144)</f>
        <v/>
      </c>
      <c r="M144" t="s">
        <v>538</v>
      </c>
      <c r="N144" t="str">
        <f>TEXT('Account Creation'!G144,"mm/dd/yyyy")</f>
        <v>01/00/1900</v>
      </c>
      <c r="O144" t="s">
        <v>462</v>
      </c>
    </row>
    <row r="145" spans="1:15" x14ac:dyDescent="0.25">
      <c r="A145" t="str">
        <f>CONCATENATE('Help Desk'!D145,"@email.wal-mart.com")</f>
        <v>@email.wal-mart.com</v>
      </c>
      <c r="B145" t="str">
        <f>TRIM('Help Desk'!D145)</f>
        <v/>
      </c>
      <c r="C145" t="s">
        <v>535</v>
      </c>
      <c r="D145">
        <f>'Account Creation'!D145</f>
        <v>0</v>
      </c>
      <c r="E145">
        <f>'Account Creation'!B145</f>
        <v>0</v>
      </c>
      <c r="F145" t="s">
        <v>536</v>
      </c>
      <c r="I145" t="s">
        <v>537</v>
      </c>
      <c r="J145" t="s">
        <v>537</v>
      </c>
      <c r="K145" t="s">
        <v>537</v>
      </c>
      <c r="L145" t="str">
        <f>TRIM('Account Creation'!Q145)</f>
        <v/>
      </c>
      <c r="M145" t="s">
        <v>538</v>
      </c>
      <c r="N145" t="str">
        <f>TEXT('Account Creation'!G145,"mm/dd/yyyy")</f>
        <v>01/00/1900</v>
      </c>
      <c r="O145" t="s">
        <v>462</v>
      </c>
    </row>
    <row r="146" spans="1:15" x14ac:dyDescent="0.25">
      <c r="A146" t="str">
        <f>CONCATENATE('Help Desk'!D146,"@email.wal-mart.com")</f>
        <v>@email.wal-mart.com</v>
      </c>
      <c r="B146" t="str">
        <f>TRIM('Help Desk'!D146)</f>
        <v/>
      </c>
      <c r="C146" t="s">
        <v>535</v>
      </c>
      <c r="D146">
        <f>'Account Creation'!D146</f>
        <v>0</v>
      </c>
      <c r="E146">
        <f>'Account Creation'!B146</f>
        <v>0</v>
      </c>
      <c r="F146" t="s">
        <v>536</v>
      </c>
      <c r="I146" t="s">
        <v>537</v>
      </c>
      <c r="J146" t="s">
        <v>537</v>
      </c>
      <c r="K146" t="s">
        <v>537</v>
      </c>
      <c r="L146" t="str">
        <f>TRIM('Account Creation'!Q146)</f>
        <v/>
      </c>
      <c r="M146" t="s">
        <v>538</v>
      </c>
      <c r="N146" t="str">
        <f>TEXT('Account Creation'!G146,"mm/dd/yyyy")</f>
        <v>01/00/1900</v>
      </c>
      <c r="O146" t="s">
        <v>462</v>
      </c>
    </row>
    <row r="147" spans="1:15" x14ac:dyDescent="0.25">
      <c r="A147" t="str">
        <f>CONCATENATE('Help Desk'!D147,"@email.wal-mart.com")</f>
        <v>@email.wal-mart.com</v>
      </c>
      <c r="B147" t="str">
        <f>TRIM('Help Desk'!D147)</f>
        <v/>
      </c>
      <c r="C147" t="s">
        <v>535</v>
      </c>
      <c r="D147">
        <f>'Account Creation'!D147</f>
        <v>0</v>
      </c>
      <c r="E147">
        <f>'Account Creation'!B147</f>
        <v>0</v>
      </c>
      <c r="F147" t="s">
        <v>536</v>
      </c>
      <c r="I147" t="s">
        <v>537</v>
      </c>
      <c r="J147" t="s">
        <v>537</v>
      </c>
      <c r="K147" t="s">
        <v>537</v>
      </c>
      <c r="L147" t="str">
        <f>TRIM('Account Creation'!Q147)</f>
        <v/>
      </c>
      <c r="M147" t="s">
        <v>538</v>
      </c>
      <c r="N147" t="str">
        <f>TEXT('Account Creation'!G147,"mm/dd/yyyy")</f>
        <v>01/00/1900</v>
      </c>
      <c r="O147" t="s">
        <v>462</v>
      </c>
    </row>
    <row r="148" spans="1:15" x14ac:dyDescent="0.25">
      <c r="A148" t="str">
        <f>CONCATENATE('Help Desk'!D148,"@email.wal-mart.com")</f>
        <v>@email.wal-mart.com</v>
      </c>
      <c r="B148" t="str">
        <f>TRIM('Help Desk'!D148)</f>
        <v/>
      </c>
      <c r="C148" t="s">
        <v>535</v>
      </c>
      <c r="D148">
        <f>'Account Creation'!D148</f>
        <v>0</v>
      </c>
      <c r="E148">
        <f>'Account Creation'!B148</f>
        <v>0</v>
      </c>
      <c r="F148" t="s">
        <v>536</v>
      </c>
      <c r="I148" t="s">
        <v>537</v>
      </c>
      <c r="J148" t="s">
        <v>537</v>
      </c>
      <c r="K148" t="s">
        <v>537</v>
      </c>
      <c r="L148" t="str">
        <f>TRIM('Account Creation'!Q148)</f>
        <v/>
      </c>
      <c r="M148" t="s">
        <v>538</v>
      </c>
      <c r="N148" t="str">
        <f>TEXT('Account Creation'!G148,"mm/dd/yyyy")</f>
        <v>01/00/1900</v>
      </c>
      <c r="O148" t="s">
        <v>462</v>
      </c>
    </row>
    <row r="149" spans="1:15" x14ac:dyDescent="0.25">
      <c r="A149" t="str">
        <f>CONCATENATE('Help Desk'!D149,"@email.wal-mart.com")</f>
        <v>@email.wal-mart.com</v>
      </c>
      <c r="B149" t="str">
        <f>TRIM('Help Desk'!D149)</f>
        <v/>
      </c>
      <c r="C149" t="s">
        <v>535</v>
      </c>
      <c r="D149">
        <f>'Account Creation'!D149</f>
        <v>0</v>
      </c>
      <c r="E149">
        <f>'Account Creation'!B149</f>
        <v>0</v>
      </c>
      <c r="F149" t="s">
        <v>536</v>
      </c>
      <c r="I149" t="s">
        <v>537</v>
      </c>
      <c r="J149" t="s">
        <v>537</v>
      </c>
      <c r="K149" t="s">
        <v>537</v>
      </c>
      <c r="L149" t="str">
        <f>TRIM('Account Creation'!Q149)</f>
        <v/>
      </c>
      <c r="M149" t="s">
        <v>538</v>
      </c>
      <c r="N149" t="str">
        <f>TEXT('Account Creation'!G149,"mm/dd/yyyy")</f>
        <v>01/00/1900</v>
      </c>
      <c r="O149" t="s">
        <v>462</v>
      </c>
    </row>
    <row r="150" spans="1:15" x14ac:dyDescent="0.25">
      <c r="A150" t="str">
        <f>CONCATENATE('Help Desk'!D150,"@email.wal-mart.com")</f>
        <v>@email.wal-mart.com</v>
      </c>
      <c r="B150" t="str">
        <f>TRIM('Help Desk'!D150)</f>
        <v/>
      </c>
      <c r="C150" t="s">
        <v>535</v>
      </c>
      <c r="D150">
        <f>'Account Creation'!D150</f>
        <v>0</v>
      </c>
      <c r="E150">
        <f>'Account Creation'!B150</f>
        <v>0</v>
      </c>
      <c r="F150" t="s">
        <v>536</v>
      </c>
      <c r="I150" t="s">
        <v>537</v>
      </c>
      <c r="J150" t="s">
        <v>537</v>
      </c>
      <c r="K150" t="s">
        <v>537</v>
      </c>
      <c r="L150" t="str">
        <f>TRIM('Account Creation'!Q150)</f>
        <v/>
      </c>
      <c r="M150" t="s">
        <v>538</v>
      </c>
      <c r="N150" t="str">
        <f>TEXT('Account Creation'!G150,"mm/dd/yyyy")</f>
        <v>01/00/1900</v>
      </c>
      <c r="O150" t="s">
        <v>462</v>
      </c>
    </row>
    <row r="151" spans="1:15" x14ac:dyDescent="0.25">
      <c r="A151" t="str">
        <f>CONCATENATE('Help Desk'!D151,"@email.wal-mart.com")</f>
        <v>@email.wal-mart.com</v>
      </c>
      <c r="B151" t="str">
        <f>TRIM('Help Desk'!D151)</f>
        <v/>
      </c>
      <c r="C151" t="s">
        <v>535</v>
      </c>
      <c r="D151">
        <f>'Account Creation'!D151</f>
        <v>0</v>
      </c>
      <c r="E151">
        <f>'Account Creation'!B151</f>
        <v>0</v>
      </c>
      <c r="F151" t="s">
        <v>536</v>
      </c>
      <c r="I151" t="s">
        <v>537</v>
      </c>
      <c r="J151" t="s">
        <v>537</v>
      </c>
      <c r="K151" t="s">
        <v>537</v>
      </c>
      <c r="L151" t="str">
        <f>TRIM('Account Creation'!Q151)</f>
        <v/>
      </c>
      <c r="M151" t="s">
        <v>538</v>
      </c>
      <c r="N151" t="str">
        <f>TEXT('Account Creation'!G151,"mm/dd/yyyy")</f>
        <v>01/00/1900</v>
      </c>
      <c r="O151" t="s">
        <v>462</v>
      </c>
    </row>
    <row r="152" spans="1:15" x14ac:dyDescent="0.25">
      <c r="A152" t="str">
        <f>CONCATENATE('Help Desk'!D152,"@email.wal-mart.com")</f>
        <v>@email.wal-mart.com</v>
      </c>
      <c r="B152" t="str">
        <f>TRIM('Help Desk'!D152)</f>
        <v/>
      </c>
      <c r="C152" t="s">
        <v>535</v>
      </c>
      <c r="D152">
        <f>'Account Creation'!D152</f>
        <v>0</v>
      </c>
      <c r="E152">
        <f>'Account Creation'!B152</f>
        <v>0</v>
      </c>
      <c r="F152" t="s">
        <v>536</v>
      </c>
      <c r="I152" t="s">
        <v>537</v>
      </c>
      <c r="J152" t="s">
        <v>537</v>
      </c>
      <c r="K152" t="s">
        <v>537</v>
      </c>
      <c r="L152" t="str">
        <f>TRIM('Account Creation'!Q152)</f>
        <v/>
      </c>
      <c r="M152" t="s">
        <v>538</v>
      </c>
      <c r="N152" t="str">
        <f>TEXT('Account Creation'!G152,"mm/dd/yyyy")</f>
        <v>01/00/1900</v>
      </c>
      <c r="O152" t="s">
        <v>462</v>
      </c>
    </row>
    <row r="153" spans="1:15" x14ac:dyDescent="0.25">
      <c r="A153" t="str">
        <f>CONCATENATE('Help Desk'!D153,"@email.wal-mart.com")</f>
        <v>@email.wal-mart.com</v>
      </c>
      <c r="B153" t="str">
        <f>TRIM('Help Desk'!D153)</f>
        <v/>
      </c>
      <c r="C153" t="s">
        <v>535</v>
      </c>
      <c r="D153">
        <f>'Account Creation'!D153</f>
        <v>0</v>
      </c>
      <c r="E153">
        <f>'Account Creation'!B153</f>
        <v>0</v>
      </c>
      <c r="F153" t="s">
        <v>536</v>
      </c>
      <c r="I153" t="s">
        <v>537</v>
      </c>
      <c r="J153" t="s">
        <v>537</v>
      </c>
      <c r="K153" t="s">
        <v>537</v>
      </c>
      <c r="L153" t="str">
        <f>TRIM('Account Creation'!Q153)</f>
        <v/>
      </c>
      <c r="M153" t="s">
        <v>538</v>
      </c>
      <c r="N153" t="str">
        <f>TEXT('Account Creation'!G153,"mm/dd/yyyy")</f>
        <v>01/00/1900</v>
      </c>
      <c r="O153" t="s">
        <v>462</v>
      </c>
    </row>
    <row r="154" spans="1:15" x14ac:dyDescent="0.25">
      <c r="A154" t="str">
        <f>CONCATENATE('Help Desk'!D154,"@email.wal-mart.com")</f>
        <v>@email.wal-mart.com</v>
      </c>
      <c r="B154" t="str">
        <f>TRIM('Help Desk'!D154)</f>
        <v/>
      </c>
      <c r="C154" t="s">
        <v>535</v>
      </c>
      <c r="D154">
        <f>'Account Creation'!D154</f>
        <v>0</v>
      </c>
      <c r="E154">
        <f>'Account Creation'!B154</f>
        <v>0</v>
      </c>
      <c r="F154" t="s">
        <v>536</v>
      </c>
      <c r="I154" t="s">
        <v>537</v>
      </c>
      <c r="J154" t="s">
        <v>537</v>
      </c>
      <c r="K154" t="s">
        <v>537</v>
      </c>
      <c r="L154" t="str">
        <f>TRIM('Account Creation'!Q154)</f>
        <v/>
      </c>
      <c r="M154" t="s">
        <v>538</v>
      </c>
      <c r="N154" t="str">
        <f>TEXT('Account Creation'!G154,"mm/dd/yyyy")</f>
        <v>01/00/1900</v>
      </c>
      <c r="O154" t="s">
        <v>462</v>
      </c>
    </row>
    <row r="155" spans="1:15" x14ac:dyDescent="0.25">
      <c r="A155" t="str">
        <f>CONCATENATE('Help Desk'!D155,"@email.wal-mart.com")</f>
        <v>@email.wal-mart.com</v>
      </c>
      <c r="B155" t="str">
        <f>TRIM('Help Desk'!D155)</f>
        <v/>
      </c>
      <c r="C155" t="s">
        <v>535</v>
      </c>
      <c r="D155">
        <f>'Account Creation'!D155</f>
        <v>0</v>
      </c>
      <c r="E155">
        <f>'Account Creation'!B155</f>
        <v>0</v>
      </c>
      <c r="F155" t="s">
        <v>536</v>
      </c>
      <c r="I155" t="s">
        <v>537</v>
      </c>
      <c r="J155" t="s">
        <v>537</v>
      </c>
      <c r="K155" t="s">
        <v>537</v>
      </c>
      <c r="L155" t="str">
        <f>TRIM('Account Creation'!Q155)</f>
        <v/>
      </c>
      <c r="M155" t="s">
        <v>538</v>
      </c>
      <c r="N155" t="str">
        <f>TEXT('Account Creation'!G155,"mm/dd/yyyy")</f>
        <v>01/00/1900</v>
      </c>
      <c r="O155" t="s">
        <v>462</v>
      </c>
    </row>
    <row r="156" spans="1:15" x14ac:dyDescent="0.25">
      <c r="A156" t="str">
        <f>CONCATENATE('Help Desk'!D156,"@email.wal-mart.com")</f>
        <v>@email.wal-mart.com</v>
      </c>
      <c r="B156" t="str">
        <f>TRIM('Help Desk'!D156)</f>
        <v/>
      </c>
      <c r="C156" t="s">
        <v>535</v>
      </c>
      <c r="D156">
        <f>'Account Creation'!D156</f>
        <v>0</v>
      </c>
      <c r="E156">
        <f>'Account Creation'!B156</f>
        <v>0</v>
      </c>
      <c r="F156" t="s">
        <v>536</v>
      </c>
      <c r="I156" t="s">
        <v>537</v>
      </c>
      <c r="J156" t="s">
        <v>537</v>
      </c>
      <c r="K156" t="s">
        <v>537</v>
      </c>
      <c r="L156" t="str">
        <f>TRIM('Account Creation'!Q156)</f>
        <v/>
      </c>
      <c r="M156" t="s">
        <v>538</v>
      </c>
      <c r="N156" t="str">
        <f>TEXT('Account Creation'!G156,"mm/dd/yyyy")</f>
        <v>01/00/1900</v>
      </c>
      <c r="O156" t="s">
        <v>462</v>
      </c>
    </row>
    <row r="157" spans="1:15" x14ac:dyDescent="0.25">
      <c r="A157" t="str">
        <f>CONCATENATE('Help Desk'!D157,"@email.wal-mart.com")</f>
        <v>@email.wal-mart.com</v>
      </c>
      <c r="B157" t="str">
        <f>TRIM('Help Desk'!D157)</f>
        <v/>
      </c>
      <c r="C157" t="s">
        <v>535</v>
      </c>
      <c r="D157">
        <f>'Account Creation'!D157</f>
        <v>0</v>
      </c>
      <c r="E157">
        <f>'Account Creation'!B157</f>
        <v>0</v>
      </c>
      <c r="F157" t="s">
        <v>536</v>
      </c>
      <c r="I157" t="s">
        <v>537</v>
      </c>
      <c r="J157" t="s">
        <v>537</v>
      </c>
      <c r="K157" t="s">
        <v>537</v>
      </c>
      <c r="L157" t="str">
        <f>TRIM('Account Creation'!Q157)</f>
        <v/>
      </c>
      <c r="M157" t="s">
        <v>538</v>
      </c>
      <c r="N157" t="str">
        <f>TEXT('Account Creation'!G157,"mm/dd/yyyy")</f>
        <v>01/00/1900</v>
      </c>
      <c r="O157" t="s">
        <v>462</v>
      </c>
    </row>
    <row r="158" spans="1:15" x14ac:dyDescent="0.25">
      <c r="A158" t="str">
        <f>CONCATENATE('Help Desk'!D158,"@email.wal-mart.com")</f>
        <v>@email.wal-mart.com</v>
      </c>
      <c r="B158" t="str">
        <f>TRIM('Help Desk'!D158)</f>
        <v/>
      </c>
      <c r="C158" t="s">
        <v>535</v>
      </c>
      <c r="D158">
        <f>'Account Creation'!D158</f>
        <v>0</v>
      </c>
      <c r="E158">
        <f>'Account Creation'!B158</f>
        <v>0</v>
      </c>
      <c r="F158" t="s">
        <v>536</v>
      </c>
      <c r="I158" t="s">
        <v>537</v>
      </c>
      <c r="J158" t="s">
        <v>537</v>
      </c>
      <c r="K158" t="s">
        <v>537</v>
      </c>
      <c r="L158" t="str">
        <f>TRIM('Account Creation'!Q158)</f>
        <v/>
      </c>
      <c r="M158" t="s">
        <v>538</v>
      </c>
      <c r="N158" t="str">
        <f>TEXT('Account Creation'!G158,"mm/dd/yyyy")</f>
        <v>01/00/1900</v>
      </c>
      <c r="O158" t="s">
        <v>462</v>
      </c>
    </row>
    <row r="159" spans="1:15" x14ac:dyDescent="0.25">
      <c r="A159" t="str">
        <f>CONCATENATE('Help Desk'!D159,"@email.wal-mart.com")</f>
        <v>@email.wal-mart.com</v>
      </c>
      <c r="B159" t="str">
        <f>TRIM('Help Desk'!D159)</f>
        <v/>
      </c>
      <c r="C159" t="s">
        <v>535</v>
      </c>
      <c r="D159">
        <f>'Account Creation'!D159</f>
        <v>0</v>
      </c>
      <c r="E159">
        <f>'Account Creation'!B159</f>
        <v>0</v>
      </c>
      <c r="F159" t="s">
        <v>536</v>
      </c>
      <c r="I159" t="s">
        <v>537</v>
      </c>
      <c r="J159" t="s">
        <v>537</v>
      </c>
      <c r="K159" t="s">
        <v>537</v>
      </c>
      <c r="L159" t="str">
        <f>TRIM('Account Creation'!Q159)</f>
        <v/>
      </c>
      <c r="M159" t="s">
        <v>538</v>
      </c>
      <c r="N159" t="str">
        <f>TEXT('Account Creation'!G159,"mm/dd/yyyy")</f>
        <v>01/00/1900</v>
      </c>
      <c r="O159" t="s">
        <v>462</v>
      </c>
    </row>
    <row r="160" spans="1:15" x14ac:dyDescent="0.25">
      <c r="A160" t="str">
        <f>CONCATENATE('Help Desk'!D160,"@email.wal-mart.com")</f>
        <v>@email.wal-mart.com</v>
      </c>
      <c r="B160" t="str">
        <f>TRIM('Help Desk'!D160)</f>
        <v/>
      </c>
      <c r="C160" t="s">
        <v>535</v>
      </c>
      <c r="D160">
        <f>'Account Creation'!D160</f>
        <v>0</v>
      </c>
      <c r="E160">
        <f>'Account Creation'!B160</f>
        <v>0</v>
      </c>
      <c r="F160" t="s">
        <v>536</v>
      </c>
      <c r="I160" t="s">
        <v>537</v>
      </c>
      <c r="J160" t="s">
        <v>537</v>
      </c>
      <c r="K160" t="s">
        <v>537</v>
      </c>
      <c r="L160" t="str">
        <f>TRIM('Account Creation'!Q160)</f>
        <v/>
      </c>
      <c r="M160" t="s">
        <v>538</v>
      </c>
      <c r="N160" t="str">
        <f>TEXT('Account Creation'!G160,"mm/dd/yyyy")</f>
        <v>01/00/1900</v>
      </c>
      <c r="O160" t="s">
        <v>462</v>
      </c>
    </row>
    <row r="161" spans="1:15" x14ac:dyDescent="0.25">
      <c r="A161" t="str">
        <f>CONCATENATE('Help Desk'!D161,"@email.wal-mart.com")</f>
        <v>@email.wal-mart.com</v>
      </c>
      <c r="B161" t="str">
        <f>TRIM('Help Desk'!D161)</f>
        <v/>
      </c>
      <c r="C161" t="s">
        <v>535</v>
      </c>
      <c r="D161">
        <f>'Account Creation'!D161</f>
        <v>0</v>
      </c>
      <c r="E161">
        <f>'Account Creation'!B161</f>
        <v>0</v>
      </c>
      <c r="F161" t="s">
        <v>536</v>
      </c>
      <c r="I161" t="s">
        <v>537</v>
      </c>
      <c r="J161" t="s">
        <v>537</v>
      </c>
      <c r="K161" t="s">
        <v>537</v>
      </c>
      <c r="L161" t="str">
        <f>TRIM('Account Creation'!Q161)</f>
        <v/>
      </c>
      <c r="M161" t="s">
        <v>538</v>
      </c>
      <c r="N161" t="str">
        <f>TEXT('Account Creation'!G161,"mm/dd/yyyy")</f>
        <v>01/00/1900</v>
      </c>
      <c r="O161" t="s">
        <v>462</v>
      </c>
    </row>
    <row r="162" spans="1:15" x14ac:dyDescent="0.25">
      <c r="A162" t="str">
        <f>CONCATENATE('Help Desk'!D162,"@email.wal-mart.com")</f>
        <v>@email.wal-mart.com</v>
      </c>
      <c r="B162" t="str">
        <f>TRIM('Help Desk'!D162)</f>
        <v/>
      </c>
      <c r="C162" t="s">
        <v>535</v>
      </c>
      <c r="D162">
        <f>'Account Creation'!D162</f>
        <v>0</v>
      </c>
      <c r="E162">
        <f>'Account Creation'!B162</f>
        <v>0</v>
      </c>
      <c r="F162" t="s">
        <v>536</v>
      </c>
      <c r="I162" t="s">
        <v>537</v>
      </c>
      <c r="J162" t="s">
        <v>537</v>
      </c>
      <c r="K162" t="s">
        <v>537</v>
      </c>
      <c r="L162" t="str">
        <f>TRIM('Account Creation'!Q162)</f>
        <v/>
      </c>
      <c r="M162" t="s">
        <v>538</v>
      </c>
      <c r="N162" t="str">
        <f>TEXT('Account Creation'!G162,"mm/dd/yyyy")</f>
        <v>01/00/1900</v>
      </c>
      <c r="O162" t="s">
        <v>462</v>
      </c>
    </row>
    <row r="163" spans="1:15" x14ac:dyDescent="0.25">
      <c r="A163" t="str">
        <f>CONCATENATE('Help Desk'!D163,"@email.wal-mart.com")</f>
        <v>@email.wal-mart.com</v>
      </c>
      <c r="B163" t="str">
        <f>TRIM('Help Desk'!D163)</f>
        <v/>
      </c>
      <c r="C163" t="s">
        <v>535</v>
      </c>
      <c r="D163">
        <f>'Account Creation'!D163</f>
        <v>0</v>
      </c>
      <c r="E163">
        <f>'Account Creation'!B163</f>
        <v>0</v>
      </c>
      <c r="F163" t="s">
        <v>536</v>
      </c>
      <c r="I163" t="s">
        <v>537</v>
      </c>
      <c r="J163" t="s">
        <v>537</v>
      </c>
      <c r="K163" t="s">
        <v>537</v>
      </c>
      <c r="L163" t="str">
        <f>TRIM('Account Creation'!Q163)</f>
        <v/>
      </c>
      <c r="M163" t="s">
        <v>538</v>
      </c>
      <c r="N163" t="str">
        <f>TEXT('Account Creation'!G163,"mm/dd/yyyy")</f>
        <v>01/00/1900</v>
      </c>
      <c r="O163" t="s">
        <v>462</v>
      </c>
    </row>
    <row r="164" spans="1:15" x14ac:dyDescent="0.25">
      <c r="A164" t="str">
        <f>CONCATENATE('Help Desk'!D164,"@email.wal-mart.com")</f>
        <v>@email.wal-mart.com</v>
      </c>
      <c r="B164" t="str">
        <f>TRIM('Help Desk'!D164)</f>
        <v/>
      </c>
      <c r="C164" t="s">
        <v>535</v>
      </c>
      <c r="D164">
        <f>'Account Creation'!D164</f>
        <v>0</v>
      </c>
      <c r="E164">
        <f>'Account Creation'!B164</f>
        <v>0</v>
      </c>
      <c r="F164" t="s">
        <v>536</v>
      </c>
      <c r="I164" t="s">
        <v>537</v>
      </c>
      <c r="J164" t="s">
        <v>537</v>
      </c>
      <c r="K164" t="s">
        <v>537</v>
      </c>
      <c r="L164" t="str">
        <f>TRIM('Account Creation'!Q164)</f>
        <v/>
      </c>
      <c r="M164" t="s">
        <v>538</v>
      </c>
      <c r="N164" t="str">
        <f>TEXT('Account Creation'!G164,"mm/dd/yyyy")</f>
        <v>01/00/1900</v>
      </c>
      <c r="O164" t="s">
        <v>462</v>
      </c>
    </row>
    <row r="165" spans="1:15" x14ac:dyDescent="0.25">
      <c r="A165" t="str">
        <f>CONCATENATE('Help Desk'!D165,"@email.wal-mart.com")</f>
        <v>@email.wal-mart.com</v>
      </c>
      <c r="B165" t="str">
        <f>TRIM('Help Desk'!D165)</f>
        <v/>
      </c>
      <c r="C165" t="s">
        <v>535</v>
      </c>
      <c r="D165">
        <f>'Account Creation'!D165</f>
        <v>0</v>
      </c>
      <c r="E165">
        <f>'Account Creation'!B165</f>
        <v>0</v>
      </c>
      <c r="F165" t="s">
        <v>536</v>
      </c>
      <c r="I165" t="s">
        <v>537</v>
      </c>
      <c r="J165" t="s">
        <v>537</v>
      </c>
      <c r="K165" t="s">
        <v>537</v>
      </c>
      <c r="L165" t="str">
        <f>TRIM('Account Creation'!Q165)</f>
        <v/>
      </c>
      <c r="M165" t="s">
        <v>538</v>
      </c>
      <c r="N165" t="str">
        <f>TEXT('Account Creation'!G165,"mm/dd/yyyy")</f>
        <v>01/00/1900</v>
      </c>
      <c r="O165" t="s">
        <v>462</v>
      </c>
    </row>
    <row r="166" spans="1:15" x14ac:dyDescent="0.25">
      <c r="A166" t="str">
        <f>CONCATENATE('Help Desk'!D166,"@email.wal-mart.com")</f>
        <v>@email.wal-mart.com</v>
      </c>
      <c r="B166" t="str">
        <f>TRIM('Help Desk'!D166)</f>
        <v/>
      </c>
      <c r="C166" t="s">
        <v>535</v>
      </c>
      <c r="D166">
        <f>'Account Creation'!D166</f>
        <v>0</v>
      </c>
      <c r="E166">
        <f>'Account Creation'!B166</f>
        <v>0</v>
      </c>
      <c r="F166" t="s">
        <v>536</v>
      </c>
      <c r="I166" t="s">
        <v>537</v>
      </c>
      <c r="J166" t="s">
        <v>537</v>
      </c>
      <c r="K166" t="s">
        <v>537</v>
      </c>
      <c r="L166" t="str">
        <f>TRIM('Account Creation'!Q166)</f>
        <v/>
      </c>
      <c r="M166" t="s">
        <v>538</v>
      </c>
      <c r="N166" t="str">
        <f>TEXT('Account Creation'!G166,"mm/dd/yyyy")</f>
        <v>01/00/1900</v>
      </c>
      <c r="O166" t="s">
        <v>462</v>
      </c>
    </row>
    <row r="167" spans="1:15" x14ac:dyDescent="0.25">
      <c r="A167" t="str">
        <f>CONCATENATE('Help Desk'!D167,"@email.wal-mart.com")</f>
        <v>@email.wal-mart.com</v>
      </c>
      <c r="B167" t="str">
        <f>TRIM('Help Desk'!D167)</f>
        <v/>
      </c>
      <c r="C167" t="s">
        <v>535</v>
      </c>
      <c r="D167">
        <f>'Account Creation'!D167</f>
        <v>0</v>
      </c>
      <c r="E167">
        <f>'Account Creation'!B167</f>
        <v>0</v>
      </c>
      <c r="F167" t="s">
        <v>536</v>
      </c>
      <c r="I167" t="s">
        <v>537</v>
      </c>
      <c r="J167" t="s">
        <v>537</v>
      </c>
      <c r="K167" t="s">
        <v>537</v>
      </c>
      <c r="L167" t="str">
        <f>TRIM('Account Creation'!Q167)</f>
        <v/>
      </c>
      <c r="M167" t="s">
        <v>538</v>
      </c>
      <c r="N167" t="str">
        <f>TEXT('Account Creation'!G167,"mm/dd/yyyy")</f>
        <v>01/00/1900</v>
      </c>
      <c r="O167" t="s">
        <v>462</v>
      </c>
    </row>
    <row r="168" spans="1:15" x14ac:dyDescent="0.25">
      <c r="A168" t="str">
        <f>CONCATENATE('Help Desk'!D168,"@email.wal-mart.com")</f>
        <v>@email.wal-mart.com</v>
      </c>
      <c r="B168" t="str">
        <f>TRIM('Help Desk'!D168)</f>
        <v/>
      </c>
      <c r="C168" t="s">
        <v>535</v>
      </c>
      <c r="D168">
        <f>'Account Creation'!D168</f>
        <v>0</v>
      </c>
      <c r="E168">
        <f>'Account Creation'!B168</f>
        <v>0</v>
      </c>
      <c r="F168" t="s">
        <v>536</v>
      </c>
      <c r="I168" t="s">
        <v>537</v>
      </c>
      <c r="J168" t="s">
        <v>537</v>
      </c>
      <c r="K168" t="s">
        <v>537</v>
      </c>
      <c r="L168" t="str">
        <f>TRIM('Account Creation'!Q168)</f>
        <v/>
      </c>
      <c r="M168" t="s">
        <v>538</v>
      </c>
      <c r="N168" t="str">
        <f>TEXT('Account Creation'!G168,"mm/dd/yyyy")</f>
        <v>01/00/1900</v>
      </c>
      <c r="O168" t="s">
        <v>462</v>
      </c>
    </row>
    <row r="169" spans="1:15" x14ac:dyDescent="0.25">
      <c r="A169" t="str">
        <f>CONCATENATE('Help Desk'!D169,"@email.wal-mart.com")</f>
        <v>@email.wal-mart.com</v>
      </c>
      <c r="B169" t="str">
        <f>TRIM('Help Desk'!D169)</f>
        <v/>
      </c>
      <c r="C169" t="s">
        <v>535</v>
      </c>
      <c r="D169">
        <f>'Account Creation'!D169</f>
        <v>0</v>
      </c>
      <c r="E169">
        <f>'Account Creation'!B169</f>
        <v>0</v>
      </c>
      <c r="F169" t="s">
        <v>536</v>
      </c>
      <c r="I169" t="s">
        <v>537</v>
      </c>
      <c r="J169" t="s">
        <v>537</v>
      </c>
      <c r="K169" t="s">
        <v>537</v>
      </c>
      <c r="L169" t="str">
        <f>TRIM('Account Creation'!Q169)</f>
        <v/>
      </c>
      <c r="M169" t="s">
        <v>538</v>
      </c>
      <c r="N169" t="str">
        <f>TEXT('Account Creation'!G169,"mm/dd/yyyy")</f>
        <v>01/00/1900</v>
      </c>
      <c r="O169" t="s">
        <v>462</v>
      </c>
    </row>
    <row r="170" spans="1:15" x14ac:dyDescent="0.25">
      <c r="A170" t="str">
        <f>CONCATENATE('Help Desk'!D170,"@email.wal-mart.com")</f>
        <v>@email.wal-mart.com</v>
      </c>
      <c r="B170" t="str">
        <f>TRIM('Help Desk'!D170)</f>
        <v/>
      </c>
      <c r="C170" t="s">
        <v>535</v>
      </c>
      <c r="D170">
        <f>'Account Creation'!D170</f>
        <v>0</v>
      </c>
      <c r="E170">
        <f>'Account Creation'!B170</f>
        <v>0</v>
      </c>
      <c r="F170" t="s">
        <v>536</v>
      </c>
      <c r="I170" t="s">
        <v>537</v>
      </c>
      <c r="J170" t="s">
        <v>537</v>
      </c>
      <c r="K170" t="s">
        <v>537</v>
      </c>
      <c r="L170" t="str">
        <f>TRIM('Account Creation'!Q170)</f>
        <v/>
      </c>
      <c r="M170" t="s">
        <v>538</v>
      </c>
      <c r="N170" t="str">
        <f>TEXT('Account Creation'!G170,"mm/dd/yyyy")</f>
        <v>01/00/1900</v>
      </c>
      <c r="O170" t="s">
        <v>462</v>
      </c>
    </row>
    <row r="171" spans="1:15" x14ac:dyDescent="0.25">
      <c r="A171" t="str">
        <f>CONCATENATE('Help Desk'!D171,"@email.wal-mart.com")</f>
        <v>@email.wal-mart.com</v>
      </c>
      <c r="B171" t="str">
        <f>TRIM('Help Desk'!D171)</f>
        <v/>
      </c>
      <c r="C171" t="s">
        <v>535</v>
      </c>
      <c r="D171">
        <f>'Account Creation'!D171</f>
        <v>0</v>
      </c>
      <c r="E171">
        <f>'Account Creation'!B171</f>
        <v>0</v>
      </c>
      <c r="F171" t="s">
        <v>536</v>
      </c>
      <c r="I171" t="s">
        <v>537</v>
      </c>
      <c r="J171" t="s">
        <v>537</v>
      </c>
      <c r="K171" t="s">
        <v>537</v>
      </c>
      <c r="L171" t="str">
        <f>TRIM('Account Creation'!Q171)</f>
        <v/>
      </c>
      <c r="M171" t="s">
        <v>538</v>
      </c>
      <c r="N171" t="str">
        <f>TEXT('Account Creation'!G171,"mm/dd/yyyy")</f>
        <v>01/00/1900</v>
      </c>
      <c r="O171" t="s">
        <v>462</v>
      </c>
    </row>
    <row r="172" spans="1:15" x14ac:dyDescent="0.25">
      <c r="A172" t="str">
        <f>CONCATENATE('Help Desk'!D172,"@email.wal-mart.com")</f>
        <v>@email.wal-mart.com</v>
      </c>
      <c r="B172" t="str">
        <f>TRIM('Help Desk'!D172)</f>
        <v/>
      </c>
      <c r="C172" t="s">
        <v>535</v>
      </c>
      <c r="D172">
        <f>'Account Creation'!D172</f>
        <v>0</v>
      </c>
      <c r="E172">
        <f>'Account Creation'!B172</f>
        <v>0</v>
      </c>
      <c r="F172" t="s">
        <v>536</v>
      </c>
      <c r="I172" t="s">
        <v>537</v>
      </c>
      <c r="J172" t="s">
        <v>537</v>
      </c>
      <c r="K172" t="s">
        <v>537</v>
      </c>
      <c r="L172" t="str">
        <f>TRIM('Account Creation'!Q172)</f>
        <v/>
      </c>
      <c r="M172" t="s">
        <v>538</v>
      </c>
      <c r="N172" t="str">
        <f>TEXT('Account Creation'!G172,"mm/dd/yyyy")</f>
        <v>01/00/1900</v>
      </c>
      <c r="O172" t="s">
        <v>462</v>
      </c>
    </row>
    <row r="173" spans="1:15" x14ac:dyDescent="0.25">
      <c r="A173" t="str">
        <f>CONCATENATE('Help Desk'!D173,"@email.wal-mart.com")</f>
        <v>@email.wal-mart.com</v>
      </c>
      <c r="B173" t="str">
        <f>TRIM('Help Desk'!D173)</f>
        <v/>
      </c>
      <c r="C173" t="s">
        <v>535</v>
      </c>
      <c r="D173">
        <f>'Account Creation'!D173</f>
        <v>0</v>
      </c>
      <c r="E173">
        <f>'Account Creation'!B173</f>
        <v>0</v>
      </c>
      <c r="F173" t="s">
        <v>536</v>
      </c>
      <c r="I173" t="s">
        <v>537</v>
      </c>
      <c r="J173" t="s">
        <v>537</v>
      </c>
      <c r="K173" t="s">
        <v>537</v>
      </c>
      <c r="L173" t="str">
        <f>TRIM('Account Creation'!Q173)</f>
        <v/>
      </c>
      <c r="M173" t="s">
        <v>538</v>
      </c>
      <c r="N173" t="str">
        <f>TEXT('Account Creation'!G173,"mm/dd/yyyy")</f>
        <v>01/00/1900</v>
      </c>
      <c r="O173" t="s">
        <v>462</v>
      </c>
    </row>
    <row r="174" spans="1:15" x14ac:dyDescent="0.25">
      <c r="A174" t="str">
        <f>CONCATENATE('Help Desk'!D174,"@email.wal-mart.com")</f>
        <v>@email.wal-mart.com</v>
      </c>
      <c r="B174" t="str">
        <f>TRIM('Help Desk'!D174)</f>
        <v/>
      </c>
      <c r="C174" t="s">
        <v>535</v>
      </c>
      <c r="D174">
        <f>'Account Creation'!D174</f>
        <v>0</v>
      </c>
      <c r="E174">
        <f>'Account Creation'!B174</f>
        <v>0</v>
      </c>
      <c r="F174" t="s">
        <v>536</v>
      </c>
      <c r="I174" t="s">
        <v>537</v>
      </c>
      <c r="J174" t="s">
        <v>537</v>
      </c>
      <c r="K174" t="s">
        <v>537</v>
      </c>
      <c r="L174" t="str">
        <f>TRIM('Account Creation'!Q174)</f>
        <v/>
      </c>
      <c r="M174" t="s">
        <v>538</v>
      </c>
      <c r="N174" t="str">
        <f>TEXT('Account Creation'!G174,"mm/dd/yyyy")</f>
        <v>01/00/1900</v>
      </c>
      <c r="O174" t="s">
        <v>462</v>
      </c>
    </row>
    <row r="175" spans="1:15" x14ac:dyDescent="0.25">
      <c r="A175" t="str">
        <f>CONCATENATE('Help Desk'!D175,"@email.wal-mart.com")</f>
        <v>@email.wal-mart.com</v>
      </c>
      <c r="B175" t="str">
        <f>TRIM('Help Desk'!D175)</f>
        <v/>
      </c>
      <c r="C175" t="s">
        <v>535</v>
      </c>
      <c r="D175">
        <f>'Account Creation'!D175</f>
        <v>0</v>
      </c>
      <c r="E175">
        <f>'Account Creation'!B175</f>
        <v>0</v>
      </c>
      <c r="F175" t="s">
        <v>536</v>
      </c>
      <c r="I175" t="s">
        <v>537</v>
      </c>
      <c r="J175" t="s">
        <v>537</v>
      </c>
      <c r="K175" t="s">
        <v>537</v>
      </c>
      <c r="L175" t="str">
        <f>TRIM('Account Creation'!Q175)</f>
        <v/>
      </c>
      <c r="M175" t="s">
        <v>538</v>
      </c>
      <c r="N175" t="str">
        <f>TEXT('Account Creation'!G175,"mm/dd/yyyy")</f>
        <v>01/00/1900</v>
      </c>
      <c r="O175" t="s">
        <v>462</v>
      </c>
    </row>
    <row r="176" spans="1:15" x14ac:dyDescent="0.25">
      <c r="A176" t="str">
        <f>CONCATENATE('Help Desk'!D176,"@email.wal-mart.com")</f>
        <v>@email.wal-mart.com</v>
      </c>
      <c r="B176" t="str">
        <f>TRIM('Help Desk'!D176)</f>
        <v/>
      </c>
      <c r="C176" t="s">
        <v>535</v>
      </c>
      <c r="D176">
        <f>'Account Creation'!D176</f>
        <v>0</v>
      </c>
      <c r="E176">
        <f>'Account Creation'!B176</f>
        <v>0</v>
      </c>
      <c r="F176" t="s">
        <v>536</v>
      </c>
      <c r="I176" t="s">
        <v>537</v>
      </c>
      <c r="J176" t="s">
        <v>537</v>
      </c>
      <c r="K176" t="s">
        <v>537</v>
      </c>
      <c r="L176" t="str">
        <f>TRIM('Account Creation'!Q176)</f>
        <v/>
      </c>
      <c r="M176" t="s">
        <v>538</v>
      </c>
      <c r="N176" t="str">
        <f>TEXT('Account Creation'!G176,"mm/dd/yyyy")</f>
        <v>01/00/1900</v>
      </c>
      <c r="O176" t="s">
        <v>462</v>
      </c>
    </row>
    <row r="177" spans="1:15" x14ac:dyDescent="0.25">
      <c r="A177" t="str">
        <f>CONCATENATE('Help Desk'!D177,"@email.wal-mart.com")</f>
        <v>@email.wal-mart.com</v>
      </c>
      <c r="B177" t="str">
        <f>TRIM('Help Desk'!D177)</f>
        <v/>
      </c>
      <c r="C177" t="s">
        <v>535</v>
      </c>
      <c r="D177">
        <f>'Account Creation'!D177</f>
        <v>0</v>
      </c>
      <c r="E177">
        <f>'Account Creation'!B177</f>
        <v>0</v>
      </c>
      <c r="F177" t="s">
        <v>536</v>
      </c>
      <c r="I177" t="s">
        <v>537</v>
      </c>
      <c r="J177" t="s">
        <v>537</v>
      </c>
      <c r="K177" t="s">
        <v>537</v>
      </c>
      <c r="L177" t="str">
        <f>TRIM('Account Creation'!Q177)</f>
        <v/>
      </c>
      <c r="M177" t="s">
        <v>538</v>
      </c>
      <c r="N177" t="str">
        <f>TEXT('Account Creation'!G177,"mm/dd/yyyy")</f>
        <v>01/00/1900</v>
      </c>
      <c r="O177" t="s">
        <v>462</v>
      </c>
    </row>
    <row r="178" spans="1:15" x14ac:dyDescent="0.25">
      <c r="A178" t="str">
        <f>CONCATENATE('Help Desk'!D178,"@email.wal-mart.com")</f>
        <v>@email.wal-mart.com</v>
      </c>
      <c r="B178" t="str">
        <f>TRIM('Help Desk'!D178)</f>
        <v/>
      </c>
      <c r="C178" t="s">
        <v>535</v>
      </c>
      <c r="D178">
        <f>'Account Creation'!D178</f>
        <v>0</v>
      </c>
      <c r="E178">
        <f>'Account Creation'!B178</f>
        <v>0</v>
      </c>
      <c r="F178" t="s">
        <v>536</v>
      </c>
      <c r="I178" t="s">
        <v>537</v>
      </c>
      <c r="J178" t="s">
        <v>537</v>
      </c>
      <c r="K178" t="s">
        <v>537</v>
      </c>
      <c r="L178" t="str">
        <f>TRIM('Account Creation'!Q178)</f>
        <v/>
      </c>
      <c r="M178" t="s">
        <v>538</v>
      </c>
      <c r="N178" t="str">
        <f>TEXT('Account Creation'!G178,"mm/dd/yyyy")</f>
        <v>01/00/1900</v>
      </c>
      <c r="O178" t="s">
        <v>462</v>
      </c>
    </row>
    <row r="179" spans="1:15" x14ac:dyDescent="0.25">
      <c r="A179" t="str">
        <f>CONCATENATE('Help Desk'!D179,"@email.wal-mart.com")</f>
        <v>@email.wal-mart.com</v>
      </c>
      <c r="B179" t="str">
        <f>TRIM('Help Desk'!D179)</f>
        <v/>
      </c>
      <c r="C179" t="s">
        <v>535</v>
      </c>
      <c r="D179">
        <f>'Account Creation'!D179</f>
        <v>0</v>
      </c>
      <c r="E179">
        <f>'Account Creation'!B179</f>
        <v>0</v>
      </c>
      <c r="F179" t="s">
        <v>536</v>
      </c>
      <c r="I179" t="s">
        <v>537</v>
      </c>
      <c r="J179" t="s">
        <v>537</v>
      </c>
      <c r="K179" t="s">
        <v>537</v>
      </c>
      <c r="L179" t="str">
        <f>TRIM('Account Creation'!Q179)</f>
        <v/>
      </c>
      <c r="M179" t="s">
        <v>538</v>
      </c>
      <c r="N179" t="str">
        <f>TEXT('Account Creation'!G179,"mm/dd/yyyy")</f>
        <v>01/00/1900</v>
      </c>
      <c r="O179" t="s">
        <v>462</v>
      </c>
    </row>
    <row r="180" spans="1:15" x14ac:dyDescent="0.25">
      <c r="A180" t="str">
        <f>CONCATENATE('Help Desk'!D180,"@email.wal-mart.com")</f>
        <v>@email.wal-mart.com</v>
      </c>
      <c r="B180" t="str">
        <f>TRIM('Help Desk'!D180)</f>
        <v/>
      </c>
      <c r="C180" t="s">
        <v>535</v>
      </c>
      <c r="D180">
        <f>'Account Creation'!D180</f>
        <v>0</v>
      </c>
      <c r="E180">
        <f>'Account Creation'!B180</f>
        <v>0</v>
      </c>
      <c r="F180" t="s">
        <v>536</v>
      </c>
      <c r="I180" t="s">
        <v>537</v>
      </c>
      <c r="J180" t="s">
        <v>537</v>
      </c>
      <c r="K180" t="s">
        <v>537</v>
      </c>
      <c r="L180" t="str">
        <f>TRIM('Account Creation'!Q180)</f>
        <v/>
      </c>
      <c r="M180" t="s">
        <v>538</v>
      </c>
      <c r="N180" t="str">
        <f>TEXT('Account Creation'!G180,"mm/dd/yyyy")</f>
        <v>01/00/1900</v>
      </c>
      <c r="O180" t="s">
        <v>462</v>
      </c>
    </row>
    <row r="181" spans="1:15" x14ac:dyDescent="0.25">
      <c r="A181" t="str">
        <f>CONCATENATE('Help Desk'!D181,"@email.wal-mart.com")</f>
        <v>@email.wal-mart.com</v>
      </c>
      <c r="B181" t="str">
        <f>TRIM('Help Desk'!D181)</f>
        <v/>
      </c>
      <c r="C181" t="s">
        <v>535</v>
      </c>
      <c r="D181">
        <f>'Account Creation'!D181</f>
        <v>0</v>
      </c>
      <c r="E181">
        <f>'Account Creation'!B181</f>
        <v>0</v>
      </c>
      <c r="F181" t="s">
        <v>536</v>
      </c>
      <c r="I181" t="s">
        <v>537</v>
      </c>
      <c r="J181" t="s">
        <v>537</v>
      </c>
      <c r="K181" t="s">
        <v>537</v>
      </c>
      <c r="L181" t="str">
        <f>TRIM('Account Creation'!Q181)</f>
        <v/>
      </c>
      <c r="M181" t="s">
        <v>538</v>
      </c>
      <c r="N181" t="str">
        <f>TEXT('Account Creation'!G181,"mm/dd/yyyy")</f>
        <v>01/00/1900</v>
      </c>
      <c r="O181" t="s">
        <v>462</v>
      </c>
    </row>
    <row r="182" spans="1:15" x14ac:dyDescent="0.25">
      <c r="A182" t="str">
        <f>CONCATENATE('Help Desk'!D182,"@email.wal-mart.com")</f>
        <v>@email.wal-mart.com</v>
      </c>
      <c r="B182" t="str">
        <f>TRIM('Help Desk'!D182)</f>
        <v/>
      </c>
      <c r="C182" t="s">
        <v>535</v>
      </c>
      <c r="D182">
        <f>'Account Creation'!D182</f>
        <v>0</v>
      </c>
      <c r="E182">
        <f>'Account Creation'!B182</f>
        <v>0</v>
      </c>
      <c r="F182" t="s">
        <v>536</v>
      </c>
      <c r="I182" t="s">
        <v>537</v>
      </c>
      <c r="J182" t="s">
        <v>537</v>
      </c>
      <c r="K182" t="s">
        <v>537</v>
      </c>
      <c r="L182" t="str">
        <f>TRIM('Account Creation'!Q182)</f>
        <v/>
      </c>
      <c r="M182" t="s">
        <v>538</v>
      </c>
      <c r="N182" t="str">
        <f>TEXT('Account Creation'!G182,"mm/dd/yyyy")</f>
        <v>01/00/1900</v>
      </c>
      <c r="O182" t="s">
        <v>462</v>
      </c>
    </row>
    <row r="183" spans="1:15" x14ac:dyDescent="0.25">
      <c r="A183" t="str">
        <f>CONCATENATE('Help Desk'!D183,"@email.wal-mart.com")</f>
        <v>@email.wal-mart.com</v>
      </c>
      <c r="B183" t="str">
        <f>TRIM('Help Desk'!D183)</f>
        <v/>
      </c>
      <c r="C183" t="s">
        <v>535</v>
      </c>
      <c r="D183">
        <f>'Account Creation'!D183</f>
        <v>0</v>
      </c>
      <c r="E183">
        <f>'Account Creation'!B183</f>
        <v>0</v>
      </c>
      <c r="F183" t="s">
        <v>536</v>
      </c>
      <c r="I183" t="s">
        <v>537</v>
      </c>
      <c r="J183" t="s">
        <v>537</v>
      </c>
      <c r="K183" t="s">
        <v>537</v>
      </c>
      <c r="L183" t="str">
        <f>TRIM('Account Creation'!Q183)</f>
        <v/>
      </c>
      <c r="M183" t="s">
        <v>538</v>
      </c>
      <c r="N183" t="str">
        <f>TEXT('Account Creation'!G183,"mm/dd/yyyy")</f>
        <v>01/00/1900</v>
      </c>
      <c r="O183" t="s">
        <v>462</v>
      </c>
    </row>
    <row r="184" spans="1:15" x14ac:dyDescent="0.25">
      <c r="A184" t="str">
        <f>CONCATENATE('Help Desk'!D184,"@email.wal-mart.com")</f>
        <v>@email.wal-mart.com</v>
      </c>
      <c r="B184" t="str">
        <f>TRIM('Help Desk'!D184)</f>
        <v/>
      </c>
      <c r="C184" t="s">
        <v>535</v>
      </c>
      <c r="D184">
        <f>'Account Creation'!D184</f>
        <v>0</v>
      </c>
      <c r="E184">
        <f>'Account Creation'!B184</f>
        <v>0</v>
      </c>
      <c r="F184" t="s">
        <v>536</v>
      </c>
      <c r="I184" t="s">
        <v>537</v>
      </c>
      <c r="J184" t="s">
        <v>537</v>
      </c>
      <c r="K184" t="s">
        <v>537</v>
      </c>
      <c r="L184" t="str">
        <f>TRIM('Account Creation'!Q184)</f>
        <v/>
      </c>
      <c r="M184" t="s">
        <v>538</v>
      </c>
      <c r="N184" t="str">
        <f>TEXT('Account Creation'!G184,"mm/dd/yyyy")</f>
        <v>01/00/1900</v>
      </c>
      <c r="O184" t="s">
        <v>462</v>
      </c>
    </row>
    <row r="185" spans="1:15" x14ac:dyDescent="0.25">
      <c r="A185" t="str">
        <f>CONCATENATE('Help Desk'!D185,"@email.wal-mart.com")</f>
        <v>@email.wal-mart.com</v>
      </c>
      <c r="B185" t="str">
        <f>TRIM('Help Desk'!D185)</f>
        <v/>
      </c>
      <c r="C185" t="s">
        <v>535</v>
      </c>
      <c r="D185">
        <f>'Account Creation'!D185</f>
        <v>0</v>
      </c>
      <c r="E185">
        <f>'Account Creation'!B185</f>
        <v>0</v>
      </c>
      <c r="F185" t="s">
        <v>536</v>
      </c>
      <c r="I185" t="s">
        <v>537</v>
      </c>
      <c r="J185" t="s">
        <v>537</v>
      </c>
      <c r="K185" t="s">
        <v>537</v>
      </c>
      <c r="L185" t="str">
        <f>TRIM('Account Creation'!Q185)</f>
        <v/>
      </c>
      <c r="M185" t="s">
        <v>538</v>
      </c>
      <c r="N185" t="str">
        <f>TEXT('Account Creation'!G185,"mm/dd/yyyy")</f>
        <v>01/00/1900</v>
      </c>
      <c r="O185" t="s">
        <v>462</v>
      </c>
    </row>
    <row r="186" spans="1:15" x14ac:dyDescent="0.25">
      <c r="A186" t="str">
        <f>CONCATENATE('Help Desk'!D186,"@email.wal-mart.com")</f>
        <v>@email.wal-mart.com</v>
      </c>
      <c r="B186" t="str">
        <f>TRIM('Help Desk'!D186)</f>
        <v/>
      </c>
      <c r="C186" t="s">
        <v>535</v>
      </c>
      <c r="D186">
        <f>'Account Creation'!D186</f>
        <v>0</v>
      </c>
      <c r="E186">
        <f>'Account Creation'!B186</f>
        <v>0</v>
      </c>
      <c r="F186" t="s">
        <v>536</v>
      </c>
      <c r="I186" t="s">
        <v>537</v>
      </c>
      <c r="J186" t="s">
        <v>537</v>
      </c>
      <c r="K186" t="s">
        <v>537</v>
      </c>
      <c r="L186" t="str">
        <f>TRIM('Account Creation'!Q186)</f>
        <v/>
      </c>
      <c r="M186" t="s">
        <v>538</v>
      </c>
      <c r="N186" t="str">
        <f>TEXT('Account Creation'!G186,"mm/dd/yyyy")</f>
        <v>01/00/1900</v>
      </c>
      <c r="O186" t="s">
        <v>462</v>
      </c>
    </row>
    <row r="187" spans="1:15" x14ac:dyDescent="0.25">
      <c r="A187" t="str">
        <f>CONCATENATE('Help Desk'!D187,"@email.wal-mart.com")</f>
        <v>@email.wal-mart.com</v>
      </c>
      <c r="B187" t="str">
        <f>TRIM('Help Desk'!D187)</f>
        <v/>
      </c>
      <c r="C187" t="s">
        <v>535</v>
      </c>
      <c r="D187">
        <f>'Account Creation'!D187</f>
        <v>0</v>
      </c>
      <c r="E187">
        <f>'Account Creation'!B187</f>
        <v>0</v>
      </c>
      <c r="F187" t="s">
        <v>536</v>
      </c>
      <c r="I187" t="s">
        <v>537</v>
      </c>
      <c r="J187" t="s">
        <v>537</v>
      </c>
      <c r="K187" t="s">
        <v>537</v>
      </c>
      <c r="L187" t="str">
        <f>TRIM('Account Creation'!Q187)</f>
        <v/>
      </c>
      <c r="M187" t="s">
        <v>538</v>
      </c>
      <c r="N187" t="str">
        <f>TEXT('Account Creation'!G187,"mm/dd/yyyy")</f>
        <v>01/00/1900</v>
      </c>
      <c r="O187" t="s">
        <v>462</v>
      </c>
    </row>
    <row r="188" spans="1:15" x14ac:dyDescent="0.25">
      <c r="A188" t="str">
        <f>CONCATENATE('Help Desk'!D188,"@email.wal-mart.com")</f>
        <v>@email.wal-mart.com</v>
      </c>
      <c r="B188" t="str">
        <f>TRIM('Help Desk'!D188)</f>
        <v/>
      </c>
      <c r="C188" t="s">
        <v>535</v>
      </c>
      <c r="D188">
        <f>'Account Creation'!D188</f>
        <v>0</v>
      </c>
      <c r="E188">
        <f>'Account Creation'!B188</f>
        <v>0</v>
      </c>
      <c r="F188" t="s">
        <v>536</v>
      </c>
      <c r="I188" t="s">
        <v>537</v>
      </c>
      <c r="J188" t="s">
        <v>537</v>
      </c>
      <c r="K188" t="s">
        <v>537</v>
      </c>
      <c r="L188" t="str">
        <f>TRIM('Account Creation'!Q188)</f>
        <v/>
      </c>
      <c r="M188" t="s">
        <v>538</v>
      </c>
      <c r="N188" t="str">
        <f>TEXT('Account Creation'!G188,"mm/dd/yyyy")</f>
        <v>01/00/1900</v>
      </c>
      <c r="O188" t="s">
        <v>462</v>
      </c>
    </row>
    <row r="189" spans="1:15" x14ac:dyDescent="0.25">
      <c r="A189" t="str">
        <f>CONCATENATE('Help Desk'!D189,"@email.wal-mart.com")</f>
        <v>@email.wal-mart.com</v>
      </c>
      <c r="B189" t="str">
        <f>TRIM('Help Desk'!D189)</f>
        <v/>
      </c>
      <c r="C189" t="s">
        <v>535</v>
      </c>
      <c r="D189">
        <f>'Account Creation'!D189</f>
        <v>0</v>
      </c>
      <c r="E189">
        <f>'Account Creation'!B189</f>
        <v>0</v>
      </c>
      <c r="F189" t="s">
        <v>536</v>
      </c>
      <c r="I189" t="s">
        <v>537</v>
      </c>
      <c r="J189" t="s">
        <v>537</v>
      </c>
      <c r="K189" t="s">
        <v>537</v>
      </c>
      <c r="L189" t="str">
        <f>TRIM('Account Creation'!Q189)</f>
        <v/>
      </c>
      <c r="M189" t="s">
        <v>538</v>
      </c>
      <c r="N189" t="str">
        <f>TEXT('Account Creation'!G189,"mm/dd/yyyy")</f>
        <v>01/00/1900</v>
      </c>
      <c r="O189" t="s">
        <v>462</v>
      </c>
    </row>
    <row r="190" spans="1:15" x14ac:dyDescent="0.25">
      <c r="A190" t="str">
        <f>CONCATENATE('Help Desk'!D190,"@email.wal-mart.com")</f>
        <v>@email.wal-mart.com</v>
      </c>
      <c r="B190" t="str">
        <f>TRIM('Help Desk'!D190)</f>
        <v/>
      </c>
      <c r="C190" t="s">
        <v>535</v>
      </c>
      <c r="D190">
        <f>'Account Creation'!D190</f>
        <v>0</v>
      </c>
      <c r="E190">
        <f>'Account Creation'!B190</f>
        <v>0</v>
      </c>
      <c r="F190" t="s">
        <v>536</v>
      </c>
      <c r="I190" t="s">
        <v>537</v>
      </c>
      <c r="J190" t="s">
        <v>537</v>
      </c>
      <c r="K190" t="s">
        <v>537</v>
      </c>
      <c r="L190" t="str">
        <f>TRIM('Account Creation'!Q190)</f>
        <v/>
      </c>
      <c r="M190" t="s">
        <v>538</v>
      </c>
      <c r="N190" t="str">
        <f>TEXT('Account Creation'!G190,"mm/dd/yyyy")</f>
        <v>01/00/1900</v>
      </c>
      <c r="O190" t="s">
        <v>462</v>
      </c>
    </row>
    <row r="191" spans="1:15" x14ac:dyDescent="0.25">
      <c r="A191" t="str">
        <f>CONCATENATE('Help Desk'!D191,"@email.wal-mart.com")</f>
        <v>@email.wal-mart.com</v>
      </c>
      <c r="B191" t="str">
        <f>TRIM('Help Desk'!D191)</f>
        <v/>
      </c>
      <c r="C191" t="s">
        <v>535</v>
      </c>
      <c r="D191">
        <f>'Account Creation'!D191</f>
        <v>0</v>
      </c>
      <c r="E191">
        <f>'Account Creation'!B191</f>
        <v>0</v>
      </c>
      <c r="F191" t="s">
        <v>536</v>
      </c>
      <c r="I191" t="s">
        <v>537</v>
      </c>
      <c r="J191" t="s">
        <v>537</v>
      </c>
      <c r="K191" t="s">
        <v>537</v>
      </c>
      <c r="L191" t="str">
        <f>TRIM('Account Creation'!Q191)</f>
        <v/>
      </c>
      <c r="M191" t="s">
        <v>538</v>
      </c>
      <c r="N191" t="str">
        <f>TEXT('Account Creation'!G191,"mm/dd/yyyy")</f>
        <v>01/00/1900</v>
      </c>
      <c r="O191" t="s">
        <v>462</v>
      </c>
    </row>
    <row r="192" spans="1:15" x14ac:dyDescent="0.25">
      <c r="A192" t="str">
        <f>CONCATENATE('Help Desk'!D192,"@email.wal-mart.com")</f>
        <v>@email.wal-mart.com</v>
      </c>
      <c r="B192" t="str">
        <f>TRIM('Help Desk'!D192)</f>
        <v/>
      </c>
      <c r="C192" t="s">
        <v>535</v>
      </c>
      <c r="D192">
        <f>'Account Creation'!D192</f>
        <v>0</v>
      </c>
      <c r="E192">
        <f>'Account Creation'!B192</f>
        <v>0</v>
      </c>
      <c r="F192" t="s">
        <v>536</v>
      </c>
      <c r="I192" t="s">
        <v>537</v>
      </c>
      <c r="J192" t="s">
        <v>537</v>
      </c>
      <c r="K192" t="s">
        <v>537</v>
      </c>
      <c r="L192" t="str">
        <f>TRIM('Account Creation'!Q192)</f>
        <v/>
      </c>
      <c r="M192" t="s">
        <v>538</v>
      </c>
      <c r="N192" t="str">
        <f>TEXT('Account Creation'!G192,"mm/dd/yyyy")</f>
        <v>01/00/1900</v>
      </c>
      <c r="O192" t="s">
        <v>462</v>
      </c>
    </row>
    <row r="193" spans="1:15" x14ac:dyDescent="0.25">
      <c r="A193" t="str">
        <f>CONCATENATE('Help Desk'!D193,"@email.wal-mart.com")</f>
        <v>@email.wal-mart.com</v>
      </c>
      <c r="B193" t="str">
        <f>TRIM('Help Desk'!D193)</f>
        <v/>
      </c>
      <c r="C193" t="s">
        <v>535</v>
      </c>
      <c r="D193">
        <f>'Account Creation'!D193</f>
        <v>0</v>
      </c>
      <c r="E193">
        <f>'Account Creation'!B193</f>
        <v>0</v>
      </c>
      <c r="F193" t="s">
        <v>536</v>
      </c>
      <c r="I193" t="s">
        <v>537</v>
      </c>
      <c r="J193" t="s">
        <v>537</v>
      </c>
      <c r="K193" t="s">
        <v>537</v>
      </c>
      <c r="L193" t="str">
        <f>TRIM('Account Creation'!Q193)</f>
        <v/>
      </c>
      <c r="M193" t="s">
        <v>538</v>
      </c>
      <c r="N193" t="str">
        <f>TEXT('Account Creation'!G193,"mm/dd/yyyy")</f>
        <v>01/00/1900</v>
      </c>
      <c r="O193" t="s">
        <v>462</v>
      </c>
    </row>
    <row r="194" spans="1:15" x14ac:dyDescent="0.25">
      <c r="A194" t="str">
        <f>CONCATENATE('Help Desk'!D194,"@email.wal-mart.com")</f>
        <v>@email.wal-mart.com</v>
      </c>
      <c r="B194" t="str">
        <f>TRIM('Help Desk'!D194)</f>
        <v/>
      </c>
      <c r="C194" t="s">
        <v>535</v>
      </c>
      <c r="D194">
        <f>'Account Creation'!D194</f>
        <v>0</v>
      </c>
      <c r="E194">
        <f>'Account Creation'!B194</f>
        <v>0</v>
      </c>
      <c r="F194" t="s">
        <v>536</v>
      </c>
      <c r="I194" t="s">
        <v>537</v>
      </c>
      <c r="J194" t="s">
        <v>537</v>
      </c>
      <c r="K194" t="s">
        <v>537</v>
      </c>
      <c r="L194" t="str">
        <f>TRIM('Account Creation'!Q194)</f>
        <v/>
      </c>
      <c r="M194" t="s">
        <v>538</v>
      </c>
      <c r="N194" t="str">
        <f>TEXT('Account Creation'!G194,"mm/dd/yyyy")</f>
        <v>01/00/1900</v>
      </c>
      <c r="O194" t="s">
        <v>462</v>
      </c>
    </row>
    <row r="195" spans="1:15" x14ac:dyDescent="0.25">
      <c r="A195" t="str">
        <f>CONCATENATE('Help Desk'!D195,"@email.wal-mart.com")</f>
        <v>@email.wal-mart.com</v>
      </c>
      <c r="B195" t="str">
        <f>TRIM('Help Desk'!D195)</f>
        <v/>
      </c>
      <c r="C195" t="s">
        <v>535</v>
      </c>
      <c r="D195">
        <f>'Account Creation'!D195</f>
        <v>0</v>
      </c>
      <c r="E195">
        <f>'Account Creation'!B195</f>
        <v>0</v>
      </c>
      <c r="F195" t="s">
        <v>536</v>
      </c>
      <c r="I195" t="s">
        <v>537</v>
      </c>
      <c r="J195" t="s">
        <v>537</v>
      </c>
      <c r="K195" t="s">
        <v>537</v>
      </c>
      <c r="L195" t="str">
        <f>TRIM('Account Creation'!Q195)</f>
        <v/>
      </c>
      <c r="M195" t="s">
        <v>538</v>
      </c>
      <c r="N195" t="str">
        <f>TEXT('Account Creation'!G195,"mm/dd/yyyy")</f>
        <v>01/00/1900</v>
      </c>
      <c r="O195" t="s">
        <v>462</v>
      </c>
    </row>
    <row r="196" spans="1:15" x14ac:dyDescent="0.25">
      <c r="A196" t="str">
        <f>CONCATENATE('Help Desk'!D196,"@email.wal-mart.com")</f>
        <v>@email.wal-mart.com</v>
      </c>
      <c r="B196" t="str">
        <f>TRIM('Help Desk'!D196)</f>
        <v/>
      </c>
      <c r="C196" t="s">
        <v>535</v>
      </c>
      <c r="D196">
        <f>'Account Creation'!D196</f>
        <v>0</v>
      </c>
      <c r="E196">
        <f>'Account Creation'!B196</f>
        <v>0</v>
      </c>
      <c r="F196" t="s">
        <v>536</v>
      </c>
      <c r="I196" t="s">
        <v>537</v>
      </c>
      <c r="J196" t="s">
        <v>537</v>
      </c>
      <c r="K196" t="s">
        <v>537</v>
      </c>
      <c r="L196" t="str">
        <f>TRIM('Account Creation'!Q196)</f>
        <v/>
      </c>
      <c r="M196" t="s">
        <v>538</v>
      </c>
      <c r="N196" t="str">
        <f>TEXT('Account Creation'!G196,"mm/dd/yyyy")</f>
        <v>01/00/1900</v>
      </c>
      <c r="O196" t="s">
        <v>462</v>
      </c>
    </row>
    <row r="197" spans="1:15" x14ac:dyDescent="0.25">
      <c r="A197" t="str">
        <f>CONCATENATE('Help Desk'!D197,"@email.wal-mart.com")</f>
        <v>@email.wal-mart.com</v>
      </c>
      <c r="B197" t="str">
        <f>TRIM('Help Desk'!D197)</f>
        <v/>
      </c>
      <c r="C197" t="s">
        <v>535</v>
      </c>
      <c r="D197">
        <f>'Account Creation'!D197</f>
        <v>0</v>
      </c>
      <c r="E197">
        <f>'Account Creation'!B197</f>
        <v>0</v>
      </c>
      <c r="F197" t="s">
        <v>536</v>
      </c>
      <c r="I197" t="s">
        <v>537</v>
      </c>
      <c r="J197" t="s">
        <v>537</v>
      </c>
      <c r="K197" t="s">
        <v>537</v>
      </c>
      <c r="L197" t="str">
        <f>TRIM('Account Creation'!Q197)</f>
        <v/>
      </c>
      <c r="M197" t="s">
        <v>538</v>
      </c>
      <c r="N197" t="str">
        <f>TEXT('Account Creation'!G197,"mm/dd/yyyy")</f>
        <v>01/00/1900</v>
      </c>
      <c r="O197" t="s">
        <v>462</v>
      </c>
    </row>
    <row r="198" spans="1:15" x14ac:dyDescent="0.25">
      <c r="A198" t="str">
        <f>CONCATENATE('Help Desk'!D198,"@email.wal-mart.com")</f>
        <v>@email.wal-mart.com</v>
      </c>
      <c r="B198" t="str">
        <f>TRIM('Help Desk'!D198)</f>
        <v/>
      </c>
      <c r="C198" t="s">
        <v>535</v>
      </c>
      <c r="D198">
        <f>'Account Creation'!D198</f>
        <v>0</v>
      </c>
      <c r="E198">
        <f>'Account Creation'!B198</f>
        <v>0</v>
      </c>
      <c r="F198" t="s">
        <v>536</v>
      </c>
      <c r="I198" t="s">
        <v>537</v>
      </c>
      <c r="J198" t="s">
        <v>537</v>
      </c>
      <c r="K198" t="s">
        <v>537</v>
      </c>
      <c r="L198" t="str">
        <f>TRIM('Account Creation'!Q198)</f>
        <v/>
      </c>
      <c r="M198" t="s">
        <v>538</v>
      </c>
      <c r="N198" t="str">
        <f>TEXT('Account Creation'!G198,"mm/dd/yyyy")</f>
        <v>01/00/1900</v>
      </c>
      <c r="O198" t="s">
        <v>462</v>
      </c>
    </row>
    <row r="199" spans="1:15" x14ac:dyDescent="0.25">
      <c r="A199" t="str">
        <f>CONCATENATE('Help Desk'!D199,"@email.wal-mart.com")</f>
        <v>@email.wal-mart.com</v>
      </c>
      <c r="B199" t="str">
        <f>TRIM('Help Desk'!D199)</f>
        <v/>
      </c>
      <c r="C199" t="s">
        <v>535</v>
      </c>
      <c r="D199">
        <f>'Account Creation'!D199</f>
        <v>0</v>
      </c>
      <c r="E199">
        <f>'Account Creation'!B199</f>
        <v>0</v>
      </c>
      <c r="F199" t="s">
        <v>536</v>
      </c>
      <c r="I199" t="s">
        <v>537</v>
      </c>
      <c r="J199" t="s">
        <v>537</v>
      </c>
      <c r="K199" t="s">
        <v>537</v>
      </c>
      <c r="L199" t="str">
        <f>TRIM('Account Creation'!Q199)</f>
        <v/>
      </c>
      <c r="M199" t="s">
        <v>538</v>
      </c>
      <c r="N199" t="str">
        <f>TEXT('Account Creation'!G199,"mm/dd/yyyy")</f>
        <v>01/00/1900</v>
      </c>
      <c r="O199" t="s">
        <v>462</v>
      </c>
    </row>
    <row r="200" spans="1:15" x14ac:dyDescent="0.25">
      <c r="A200" t="str">
        <f>CONCATENATE('Help Desk'!D200,"@email.wal-mart.com")</f>
        <v>@email.wal-mart.com</v>
      </c>
      <c r="B200" t="str">
        <f>TRIM('Help Desk'!D200)</f>
        <v/>
      </c>
      <c r="C200" t="s">
        <v>535</v>
      </c>
      <c r="D200">
        <f>'Account Creation'!D200</f>
        <v>0</v>
      </c>
      <c r="E200">
        <f>'Account Creation'!B200</f>
        <v>0</v>
      </c>
      <c r="F200" t="s">
        <v>536</v>
      </c>
      <c r="I200" t="s">
        <v>537</v>
      </c>
      <c r="J200" t="s">
        <v>537</v>
      </c>
      <c r="K200" t="s">
        <v>537</v>
      </c>
      <c r="L200" t="str">
        <f>TRIM('Account Creation'!Q200)</f>
        <v/>
      </c>
      <c r="M200" t="s">
        <v>538</v>
      </c>
      <c r="N200" t="str">
        <f>TEXT('Account Creation'!G200,"mm/dd/yyyy")</f>
        <v>01/00/1900</v>
      </c>
      <c r="O200" t="s">
        <v>462</v>
      </c>
    </row>
    <row r="201" spans="1:15" x14ac:dyDescent="0.25">
      <c r="A201" t="str">
        <f>CONCATENATE('Help Desk'!D201,"@email.wal-mart.com")</f>
        <v>@email.wal-mart.com</v>
      </c>
      <c r="B201" t="str">
        <f>TRIM('Help Desk'!D201)</f>
        <v/>
      </c>
      <c r="C201" t="s">
        <v>535</v>
      </c>
      <c r="D201">
        <f>'Account Creation'!D201</f>
        <v>0</v>
      </c>
      <c r="E201">
        <f>'Account Creation'!B201</f>
        <v>0</v>
      </c>
      <c r="F201" t="s">
        <v>536</v>
      </c>
      <c r="I201" t="s">
        <v>537</v>
      </c>
      <c r="J201" t="s">
        <v>537</v>
      </c>
      <c r="K201" t="s">
        <v>537</v>
      </c>
      <c r="L201" t="str">
        <f>TRIM('Account Creation'!Q201)</f>
        <v/>
      </c>
      <c r="M201" t="s">
        <v>538</v>
      </c>
      <c r="N201" t="str">
        <f>TEXT('Account Creation'!G201,"mm/dd/yyyy")</f>
        <v>01/00/1900</v>
      </c>
      <c r="O201" t="s">
        <v>462</v>
      </c>
    </row>
    <row r="202" spans="1:15" x14ac:dyDescent="0.25">
      <c r="A202" t="str">
        <f>CONCATENATE('Help Desk'!D202,"@email.wal-mart.com")</f>
        <v>@email.wal-mart.com</v>
      </c>
      <c r="B202" t="str">
        <f>TRIM('Help Desk'!D202)</f>
        <v/>
      </c>
      <c r="C202" t="s">
        <v>535</v>
      </c>
      <c r="D202">
        <f>'Account Creation'!D202</f>
        <v>0</v>
      </c>
      <c r="E202">
        <f>'Account Creation'!B202</f>
        <v>0</v>
      </c>
      <c r="F202" t="s">
        <v>536</v>
      </c>
      <c r="I202" t="s">
        <v>537</v>
      </c>
      <c r="J202" t="s">
        <v>537</v>
      </c>
      <c r="K202" t="s">
        <v>537</v>
      </c>
      <c r="L202" t="str">
        <f>TRIM('Account Creation'!Q202)</f>
        <v/>
      </c>
      <c r="M202" t="s">
        <v>538</v>
      </c>
      <c r="N202" t="str">
        <f>TEXT('Account Creation'!G202,"mm/dd/yyyy")</f>
        <v>01/00/1900</v>
      </c>
      <c r="O202" t="s">
        <v>462</v>
      </c>
    </row>
    <row r="203" spans="1:15" x14ac:dyDescent="0.25">
      <c r="A203" t="str">
        <f>CONCATENATE('Help Desk'!D203,"@email.wal-mart.com")</f>
        <v>@email.wal-mart.com</v>
      </c>
      <c r="B203" t="str">
        <f>TRIM('Help Desk'!D203)</f>
        <v/>
      </c>
      <c r="C203" t="s">
        <v>535</v>
      </c>
      <c r="D203">
        <f>'Account Creation'!D203</f>
        <v>0</v>
      </c>
      <c r="E203">
        <f>'Account Creation'!B203</f>
        <v>0</v>
      </c>
      <c r="F203" t="s">
        <v>536</v>
      </c>
      <c r="I203" t="s">
        <v>537</v>
      </c>
      <c r="J203" t="s">
        <v>537</v>
      </c>
      <c r="K203" t="s">
        <v>537</v>
      </c>
      <c r="L203" t="str">
        <f>TRIM('Account Creation'!Q203)</f>
        <v/>
      </c>
      <c r="M203" t="s">
        <v>538</v>
      </c>
      <c r="N203" t="str">
        <f>TEXT('Account Creation'!G203,"mm/dd/yyyy")</f>
        <v>01/00/1900</v>
      </c>
      <c r="O203" t="s">
        <v>462</v>
      </c>
    </row>
    <row r="204" spans="1:15" x14ac:dyDescent="0.25">
      <c r="A204" t="str">
        <f>CONCATENATE('Help Desk'!D204,"@email.wal-mart.com")</f>
        <v>@email.wal-mart.com</v>
      </c>
      <c r="B204" t="str">
        <f>TRIM('Help Desk'!D204)</f>
        <v/>
      </c>
      <c r="C204" t="s">
        <v>535</v>
      </c>
      <c r="D204">
        <f>'Account Creation'!D204</f>
        <v>0</v>
      </c>
      <c r="E204">
        <f>'Account Creation'!B204</f>
        <v>0</v>
      </c>
      <c r="F204" t="s">
        <v>536</v>
      </c>
      <c r="I204" t="s">
        <v>537</v>
      </c>
      <c r="J204" t="s">
        <v>537</v>
      </c>
      <c r="K204" t="s">
        <v>537</v>
      </c>
      <c r="L204" t="str">
        <f>TRIM('Account Creation'!Q204)</f>
        <v/>
      </c>
      <c r="M204" t="s">
        <v>538</v>
      </c>
      <c r="N204" t="str">
        <f>TEXT('Account Creation'!G204,"mm/dd/yyyy")</f>
        <v>01/00/1900</v>
      </c>
      <c r="O204" t="s">
        <v>462</v>
      </c>
    </row>
    <row r="205" spans="1:15" x14ac:dyDescent="0.25">
      <c r="A205" t="str">
        <f>CONCATENATE('Help Desk'!D205,"@email.wal-mart.com")</f>
        <v>@email.wal-mart.com</v>
      </c>
      <c r="B205" t="str">
        <f>TRIM('Help Desk'!D205)</f>
        <v/>
      </c>
      <c r="C205" t="s">
        <v>535</v>
      </c>
      <c r="D205">
        <f>'Account Creation'!D205</f>
        <v>0</v>
      </c>
      <c r="E205">
        <f>'Account Creation'!B205</f>
        <v>0</v>
      </c>
      <c r="F205" t="s">
        <v>536</v>
      </c>
      <c r="I205" t="s">
        <v>537</v>
      </c>
      <c r="J205" t="s">
        <v>537</v>
      </c>
      <c r="K205" t="s">
        <v>537</v>
      </c>
      <c r="L205" t="str">
        <f>TRIM('Account Creation'!Q205)</f>
        <v/>
      </c>
      <c r="M205" t="s">
        <v>538</v>
      </c>
      <c r="N205" t="str">
        <f>TEXT('Account Creation'!G205,"mm/dd/yyyy")</f>
        <v>01/00/1900</v>
      </c>
      <c r="O205" t="s">
        <v>462</v>
      </c>
    </row>
    <row r="206" spans="1:15" x14ac:dyDescent="0.25">
      <c r="A206" t="str">
        <f>CONCATENATE('Help Desk'!D206,"@email.wal-mart.com")</f>
        <v>@email.wal-mart.com</v>
      </c>
      <c r="B206" t="str">
        <f>TRIM('Help Desk'!D206)</f>
        <v/>
      </c>
      <c r="C206" t="s">
        <v>535</v>
      </c>
      <c r="D206">
        <f>'Account Creation'!D206</f>
        <v>0</v>
      </c>
      <c r="E206">
        <f>'Account Creation'!B206</f>
        <v>0</v>
      </c>
      <c r="F206" t="s">
        <v>536</v>
      </c>
      <c r="I206" t="s">
        <v>537</v>
      </c>
      <c r="J206" t="s">
        <v>537</v>
      </c>
      <c r="K206" t="s">
        <v>537</v>
      </c>
      <c r="L206" t="str">
        <f>TRIM('Account Creation'!Q206)</f>
        <v/>
      </c>
      <c r="M206" t="s">
        <v>538</v>
      </c>
      <c r="N206" t="str">
        <f>TEXT('Account Creation'!G206,"mm/dd/yyyy")</f>
        <v>01/00/1900</v>
      </c>
      <c r="O206" t="s">
        <v>462</v>
      </c>
    </row>
    <row r="207" spans="1:15" x14ac:dyDescent="0.25">
      <c r="A207" t="str">
        <f>CONCATENATE('Help Desk'!D207,"@email.wal-mart.com")</f>
        <v>@email.wal-mart.com</v>
      </c>
      <c r="B207" t="str">
        <f>TRIM('Help Desk'!D207)</f>
        <v/>
      </c>
      <c r="C207" t="s">
        <v>535</v>
      </c>
      <c r="D207">
        <f>'Account Creation'!D207</f>
        <v>0</v>
      </c>
      <c r="E207">
        <f>'Account Creation'!B207</f>
        <v>0</v>
      </c>
      <c r="F207" t="s">
        <v>536</v>
      </c>
      <c r="I207" t="s">
        <v>537</v>
      </c>
      <c r="J207" t="s">
        <v>537</v>
      </c>
      <c r="K207" t="s">
        <v>537</v>
      </c>
      <c r="L207" t="str">
        <f>TRIM('Account Creation'!Q207)</f>
        <v/>
      </c>
      <c r="M207" t="s">
        <v>538</v>
      </c>
      <c r="N207" t="str">
        <f>TEXT('Account Creation'!G207,"mm/dd/yyyy")</f>
        <v>01/00/1900</v>
      </c>
      <c r="O207" t="s">
        <v>462</v>
      </c>
    </row>
    <row r="208" spans="1:15" x14ac:dyDescent="0.25">
      <c r="A208" t="str">
        <f>CONCATENATE('Help Desk'!D208,"@email.wal-mart.com")</f>
        <v>@email.wal-mart.com</v>
      </c>
      <c r="B208" t="str">
        <f>TRIM('Help Desk'!D208)</f>
        <v/>
      </c>
      <c r="C208" t="s">
        <v>535</v>
      </c>
      <c r="D208">
        <f>'Account Creation'!D208</f>
        <v>0</v>
      </c>
      <c r="E208">
        <f>'Account Creation'!B208</f>
        <v>0</v>
      </c>
      <c r="F208" t="s">
        <v>536</v>
      </c>
      <c r="I208" t="s">
        <v>537</v>
      </c>
      <c r="J208" t="s">
        <v>537</v>
      </c>
      <c r="K208" t="s">
        <v>537</v>
      </c>
      <c r="L208" t="str">
        <f>TRIM('Account Creation'!Q208)</f>
        <v/>
      </c>
      <c r="M208" t="s">
        <v>538</v>
      </c>
      <c r="N208" t="str">
        <f>TEXT('Account Creation'!G208,"mm/dd/yyyy")</f>
        <v>01/00/1900</v>
      </c>
      <c r="O208" t="s">
        <v>462</v>
      </c>
    </row>
    <row r="209" spans="1:15" x14ac:dyDescent="0.25">
      <c r="A209" t="str">
        <f>CONCATENATE('Help Desk'!D209,"@email.wal-mart.com")</f>
        <v>@email.wal-mart.com</v>
      </c>
      <c r="B209" t="str">
        <f>TRIM('Help Desk'!D209)</f>
        <v/>
      </c>
      <c r="C209" t="s">
        <v>535</v>
      </c>
      <c r="D209">
        <f>'Account Creation'!D209</f>
        <v>0</v>
      </c>
      <c r="E209">
        <f>'Account Creation'!B209</f>
        <v>0</v>
      </c>
      <c r="F209" t="s">
        <v>536</v>
      </c>
      <c r="I209" t="s">
        <v>537</v>
      </c>
      <c r="J209" t="s">
        <v>537</v>
      </c>
      <c r="K209" t="s">
        <v>537</v>
      </c>
      <c r="L209" t="str">
        <f>TRIM('Account Creation'!Q209)</f>
        <v/>
      </c>
      <c r="M209" t="s">
        <v>538</v>
      </c>
      <c r="N209" t="str">
        <f>TEXT('Account Creation'!G209,"mm/dd/yyyy")</f>
        <v>01/00/1900</v>
      </c>
      <c r="O209" t="s">
        <v>462</v>
      </c>
    </row>
    <row r="210" spans="1:15" x14ac:dyDescent="0.25">
      <c r="A210" t="str">
        <f>CONCATENATE('Help Desk'!D210,"@email.wal-mart.com")</f>
        <v>@email.wal-mart.com</v>
      </c>
      <c r="B210" t="str">
        <f>TRIM('Help Desk'!D210)</f>
        <v/>
      </c>
      <c r="C210" t="s">
        <v>535</v>
      </c>
      <c r="D210">
        <f>'Account Creation'!D210</f>
        <v>0</v>
      </c>
      <c r="E210">
        <f>'Account Creation'!B210</f>
        <v>0</v>
      </c>
      <c r="F210" t="s">
        <v>536</v>
      </c>
      <c r="I210" t="s">
        <v>537</v>
      </c>
      <c r="J210" t="s">
        <v>537</v>
      </c>
      <c r="K210" t="s">
        <v>537</v>
      </c>
      <c r="L210" t="str">
        <f>TRIM('Account Creation'!Q210)</f>
        <v/>
      </c>
      <c r="M210" t="s">
        <v>538</v>
      </c>
      <c r="N210" t="str">
        <f>TEXT('Account Creation'!G210,"mm/dd/yyyy")</f>
        <v>01/00/1900</v>
      </c>
      <c r="O210" t="s">
        <v>462</v>
      </c>
    </row>
    <row r="211" spans="1:15" x14ac:dyDescent="0.25">
      <c r="A211" t="str">
        <f>CONCATENATE('Help Desk'!D211,"@email.wal-mart.com")</f>
        <v>@email.wal-mart.com</v>
      </c>
      <c r="B211" t="str">
        <f>TRIM('Help Desk'!D211)</f>
        <v/>
      </c>
      <c r="C211" t="s">
        <v>535</v>
      </c>
      <c r="D211">
        <f>'Account Creation'!D211</f>
        <v>0</v>
      </c>
      <c r="E211">
        <f>'Account Creation'!B211</f>
        <v>0</v>
      </c>
      <c r="F211" t="s">
        <v>536</v>
      </c>
      <c r="I211" t="s">
        <v>537</v>
      </c>
      <c r="J211" t="s">
        <v>537</v>
      </c>
      <c r="K211" t="s">
        <v>537</v>
      </c>
      <c r="L211" t="str">
        <f>TRIM('Account Creation'!Q211)</f>
        <v/>
      </c>
      <c r="M211" t="s">
        <v>538</v>
      </c>
      <c r="N211" t="str">
        <f>TEXT('Account Creation'!G211,"mm/dd/yyyy")</f>
        <v>01/00/1900</v>
      </c>
      <c r="O211" t="s">
        <v>462</v>
      </c>
    </row>
    <row r="212" spans="1:15" x14ac:dyDescent="0.25">
      <c r="A212" t="str">
        <f>CONCATENATE('Help Desk'!D212,"@email.wal-mart.com")</f>
        <v>@email.wal-mart.com</v>
      </c>
      <c r="B212" t="str">
        <f>TRIM('Help Desk'!D212)</f>
        <v/>
      </c>
      <c r="C212" t="s">
        <v>535</v>
      </c>
      <c r="D212">
        <f>'Account Creation'!D212</f>
        <v>0</v>
      </c>
      <c r="E212">
        <f>'Account Creation'!B212</f>
        <v>0</v>
      </c>
      <c r="F212" t="s">
        <v>536</v>
      </c>
      <c r="I212" t="s">
        <v>537</v>
      </c>
      <c r="J212" t="s">
        <v>537</v>
      </c>
      <c r="K212" t="s">
        <v>537</v>
      </c>
      <c r="L212" t="str">
        <f>TRIM('Account Creation'!Q212)</f>
        <v/>
      </c>
      <c r="M212" t="s">
        <v>538</v>
      </c>
      <c r="N212" t="str">
        <f>TEXT('Account Creation'!G212,"mm/dd/yyyy")</f>
        <v>01/00/1900</v>
      </c>
      <c r="O212" t="s">
        <v>462</v>
      </c>
    </row>
    <row r="213" spans="1:15" x14ac:dyDescent="0.25">
      <c r="A213" t="str">
        <f>CONCATENATE('Help Desk'!D213,"@email.wal-mart.com")</f>
        <v>@email.wal-mart.com</v>
      </c>
      <c r="B213" t="str">
        <f>TRIM('Help Desk'!D213)</f>
        <v/>
      </c>
      <c r="C213" t="s">
        <v>535</v>
      </c>
      <c r="D213">
        <f>'Account Creation'!D213</f>
        <v>0</v>
      </c>
      <c r="E213">
        <f>'Account Creation'!B213</f>
        <v>0</v>
      </c>
      <c r="F213" t="s">
        <v>536</v>
      </c>
      <c r="I213" t="s">
        <v>537</v>
      </c>
      <c r="J213" t="s">
        <v>537</v>
      </c>
      <c r="K213" t="s">
        <v>537</v>
      </c>
      <c r="L213" t="str">
        <f>TRIM('Account Creation'!Q213)</f>
        <v/>
      </c>
      <c r="M213" t="s">
        <v>538</v>
      </c>
      <c r="N213" t="str">
        <f>TEXT('Account Creation'!G213,"mm/dd/yyyy")</f>
        <v>01/00/1900</v>
      </c>
      <c r="O213" t="s">
        <v>462</v>
      </c>
    </row>
    <row r="214" spans="1:15" x14ac:dyDescent="0.25">
      <c r="A214" t="str">
        <f>CONCATENATE('Help Desk'!D214,"@email.wal-mart.com")</f>
        <v>@email.wal-mart.com</v>
      </c>
      <c r="B214" t="str">
        <f>TRIM('Help Desk'!D214)</f>
        <v/>
      </c>
      <c r="C214" t="s">
        <v>535</v>
      </c>
      <c r="D214">
        <f>'Account Creation'!D214</f>
        <v>0</v>
      </c>
      <c r="E214">
        <f>'Account Creation'!B214</f>
        <v>0</v>
      </c>
      <c r="F214" t="s">
        <v>536</v>
      </c>
      <c r="I214" t="s">
        <v>537</v>
      </c>
      <c r="J214" t="s">
        <v>537</v>
      </c>
      <c r="K214" t="s">
        <v>537</v>
      </c>
      <c r="L214" t="str">
        <f>TRIM('Account Creation'!Q214)</f>
        <v/>
      </c>
      <c r="M214" t="s">
        <v>538</v>
      </c>
      <c r="N214" t="str">
        <f>TEXT('Account Creation'!G214,"mm/dd/yyyy")</f>
        <v>01/00/1900</v>
      </c>
      <c r="O214" t="s">
        <v>462</v>
      </c>
    </row>
    <row r="215" spans="1:15" x14ac:dyDescent="0.25">
      <c r="A215" t="str">
        <f>CONCATENATE('Help Desk'!D215,"@email.wal-mart.com")</f>
        <v>@email.wal-mart.com</v>
      </c>
      <c r="B215" t="str">
        <f>TRIM('Help Desk'!D215)</f>
        <v/>
      </c>
      <c r="C215" t="s">
        <v>535</v>
      </c>
      <c r="D215">
        <f>'Account Creation'!D215</f>
        <v>0</v>
      </c>
      <c r="E215">
        <f>'Account Creation'!B215</f>
        <v>0</v>
      </c>
      <c r="F215" t="s">
        <v>536</v>
      </c>
      <c r="I215" t="s">
        <v>537</v>
      </c>
      <c r="J215" t="s">
        <v>537</v>
      </c>
      <c r="K215" t="s">
        <v>537</v>
      </c>
      <c r="L215" t="str">
        <f>TRIM('Account Creation'!Q215)</f>
        <v/>
      </c>
      <c r="M215" t="s">
        <v>538</v>
      </c>
      <c r="N215" t="str">
        <f>TEXT('Account Creation'!G215,"mm/dd/yyyy")</f>
        <v>01/00/1900</v>
      </c>
      <c r="O215" t="s">
        <v>462</v>
      </c>
    </row>
    <row r="216" spans="1:15" x14ac:dyDescent="0.25">
      <c r="A216" t="str">
        <f>CONCATENATE('Help Desk'!D216,"@email.wal-mart.com")</f>
        <v>@email.wal-mart.com</v>
      </c>
      <c r="B216" t="str">
        <f>TRIM('Help Desk'!D216)</f>
        <v/>
      </c>
      <c r="C216" t="s">
        <v>535</v>
      </c>
      <c r="D216">
        <f>'Account Creation'!D216</f>
        <v>0</v>
      </c>
      <c r="E216">
        <f>'Account Creation'!B216</f>
        <v>0</v>
      </c>
      <c r="F216" t="s">
        <v>536</v>
      </c>
      <c r="I216" t="s">
        <v>537</v>
      </c>
      <c r="J216" t="s">
        <v>537</v>
      </c>
      <c r="K216" t="s">
        <v>537</v>
      </c>
      <c r="L216" t="str">
        <f>TRIM('Account Creation'!Q216)</f>
        <v/>
      </c>
      <c r="M216" t="s">
        <v>538</v>
      </c>
      <c r="N216" t="str">
        <f>TEXT('Account Creation'!G216,"mm/dd/yyyy")</f>
        <v>01/00/1900</v>
      </c>
      <c r="O216" t="s">
        <v>462</v>
      </c>
    </row>
    <row r="217" spans="1:15" x14ac:dyDescent="0.25">
      <c r="A217" t="str">
        <f>CONCATENATE('Help Desk'!D217,"@email.wal-mart.com")</f>
        <v>@email.wal-mart.com</v>
      </c>
      <c r="B217" t="str">
        <f>TRIM('Help Desk'!D217)</f>
        <v/>
      </c>
      <c r="C217" t="s">
        <v>535</v>
      </c>
      <c r="D217">
        <f>'Account Creation'!D217</f>
        <v>0</v>
      </c>
      <c r="E217">
        <f>'Account Creation'!B217</f>
        <v>0</v>
      </c>
      <c r="F217" t="s">
        <v>536</v>
      </c>
      <c r="I217" t="s">
        <v>537</v>
      </c>
      <c r="J217" t="s">
        <v>537</v>
      </c>
      <c r="K217" t="s">
        <v>537</v>
      </c>
      <c r="L217" t="str">
        <f>TRIM('Account Creation'!Q217)</f>
        <v/>
      </c>
      <c r="M217" t="s">
        <v>538</v>
      </c>
      <c r="N217" t="str">
        <f>TEXT('Account Creation'!G217,"mm/dd/yyyy")</f>
        <v>01/00/1900</v>
      </c>
      <c r="O217" t="s">
        <v>462</v>
      </c>
    </row>
    <row r="218" spans="1:15" x14ac:dyDescent="0.25">
      <c r="A218" t="str">
        <f>CONCATENATE('Help Desk'!D218,"@email.wal-mart.com")</f>
        <v>@email.wal-mart.com</v>
      </c>
      <c r="B218" t="str">
        <f>TRIM('Help Desk'!D218)</f>
        <v/>
      </c>
      <c r="C218" t="s">
        <v>535</v>
      </c>
      <c r="D218">
        <f>'Account Creation'!D218</f>
        <v>0</v>
      </c>
      <c r="E218">
        <f>'Account Creation'!B218</f>
        <v>0</v>
      </c>
      <c r="F218" t="s">
        <v>536</v>
      </c>
      <c r="I218" t="s">
        <v>537</v>
      </c>
      <c r="J218" t="s">
        <v>537</v>
      </c>
      <c r="K218" t="s">
        <v>537</v>
      </c>
      <c r="L218" t="str">
        <f>TRIM('Account Creation'!Q218)</f>
        <v/>
      </c>
      <c r="M218" t="s">
        <v>538</v>
      </c>
      <c r="N218" t="str">
        <f>TEXT('Account Creation'!G218,"mm/dd/yyyy")</f>
        <v>01/00/1900</v>
      </c>
      <c r="O218" t="s">
        <v>462</v>
      </c>
    </row>
    <row r="219" spans="1:15" x14ac:dyDescent="0.25">
      <c r="A219" t="str">
        <f>CONCATENATE('Help Desk'!D219,"@email.wal-mart.com")</f>
        <v>@email.wal-mart.com</v>
      </c>
      <c r="B219" t="str">
        <f>TRIM('Help Desk'!D219)</f>
        <v/>
      </c>
      <c r="C219" t="s">
        <v>535</v>
      </c>
      <c r="D219">
        <f>'Account Creation'!D219</f>
        <v>0</v>
      </c>
      <c r="E219">
        <f>'Account Creation'!B219</f>
        <v>0</v>
      </c>
      <c r="F219" t="s">
        <v>536</v>
      </c>
      <c r="I219" t="s">
        <v>537</v>
      </c>
      <c r="J219" t="s">
        <v>537</v>
      </c>
      <c r="K219" t="s">
        <v>537</v>
      </c>
      <c r="L219" t="str">
        <f>TRIM('Account Creation'!Q219)</f>
        <v/>
      </c>
      <c r="M219" t="s">
        <v>538</v>
      </c>
      <c r="N219" t="str">
        <f>TEXT('Account Creation'!G219,"mm/dd/yyyy")</f>
        <v>01/00/1900</v>
      </c>
      <c r="O219" t="s">
        <v>462</v>
      </c>
    </row>
    <row r="220" spans="1:15" x14ac:dyDescent="0.25">
      <c r="A220" t="str">
        <f>CONCATENATE('Help Desk'!D220,"@email.wal-mart.com")</f>
        <v>@email.wal-mart.com</v>
      </c>
      <c r="B220" t="str">
        <f>TRIM('Help Desk'!D220)</f>
        <v/>
      </c>
      <c r="C220" t="s">
        <v>535</v>
      </c>
      <c r="D220">
        <f>'Account Creation'!D220</f>
        <v>0</v>
      </c>
      <c r="E220">
        <f>'Account Creation'!B220</f>
        <v>0</v>
      </c>
      <c r="F220" t="s">
        <v>536</v>
      </c>
      <c r="I220" t="s">
        <v>537</v>
      </c>
      <c r="J220" t="s">
        <v>537</v>
      </c>
      <c r="K220" t="s">
        <v>537</v>
      </c>
      <c r="L220" t="str">
        <f>TRIM('Account Creation'!Q220)</f>
        <v/>
      </c>
      <c r="M220" t="s">
        <v>538</v>
      </c>
      <c r="N220" t="str">
        <f>TEXT('Account Creation'!G220,"mm/dd/yyyy")</f>
        <v>01/00/1900</v>
      </c>
      <c r="O220" t="s">
        <v>462</v>
      </c>
    </row>
    <row r="221" spans="1:15" x14ac:dyDescent="0.25">
      <c r="A221" t="str">
        <f>CONCATENATE('Help Desk'!D221,"@email.wal-mart.com")</f>
        <v>@email.wal-mart.com</v>
      </c>
      <c r="B221" t="str">
        <f>TRIM('Help Desk'!D221)</f>
        <v/>
      </c>
      <c r="C221" t="s">
        <v>535</v>
      </c>
      <c r="D221">
        <f>'Account Creation'!D221</f>
        <v>0</v>
      </c>
      <c r="E221">
        <f>'Account Creation'!B221</f>
        <v>0</v>
      </c>
      <c r="F221" t="s">
        <v>536</v>
      </c>
      <c r="I221" t="s">
        <v>537</v>
      </c>
      <c r="J221" t="s">
        <v>537</v>
      </c>
      <c r="K221" t="s">
        <v>537</v>
      </c>
      <c r="L221" t="str">
        <f>TRIM('Account Creation'!Q221)</f>
        <v/>
      </c>
      <c r="M221" t="s">
        <v>538</v>
      </c>
      <c r="N221" t="str">
        <f>TEXT('Account Creation'!G221,"mm/dd/yyyy")</f>
        <v>01/00/1900</v>
      </c>
      <c r="O221" t="s">
        <v>462</v>
      </c>
    </row>
    <row r="222" spans="1:15" x14ac:dyDescent="0.25">
      <c r="A222" t="str">
        <f>CONCATENATE('Help Desk'!D222,"@email.wal-mart.com")</f>
        <v>@email.wal-mart.com</v>
      </c>
      <c r="B222" t="str">
        <f>TRIM('Help Desk'!D222)</f>
        <v/>
      </c>
      <c r="C222" t="s">
        <v>535</v>
      </c>
      <c r="D222">
        <f>'Account Creation'!D222</f>
        <v>0</v>
      </c>
      <c r="E222">
        <f>'Account Creation'!B222</f>
        <v>0</v>
      </c>
      <c r="F222" t="s">
        <v>536</v>
      </c>
      <c r="I222" t="s">
        <v>537</v>
      </c>
      <c r="J222" t="s">
        <v>537</v>
      </c>
      <c r="K222" t="s">
        <v>537</v>
      </c>
      <c r="L222" t="str">
        <f>TRIM('Account Creation'!Q222)</f>
        <v/>
      </c>
      <c r="M222" t="s">
        <v>538</v>
      </c>
      <c r="N222" t="str">
        <f>TEXT('Account Creation'!G222,"mm/dd/yyyy")</f>
        <v>01/00/1900</v>
      </c>
      <c r="O222" t="s">
        <v>462</v>
      </c>
    </row>
    <row r="223" spans="1:15" x14ac:dyDescent="0.25">
      <c r="A223" t="str">
        <f>CONCATENATE('Help Desk'!D223,"@email.wal-mart.com")</f>
        <v>@email.wal-mart.com</v>
      </c>
      <c r="B223" t="str">
        <f>TRIM('Help Desk'!D223)</f>
        <v/>
      </c>
      <c r="C223" t="s">
        <v>535</v>
      </c>
      <c r="D223">
        <f>'Account Creation'!D223</f>
        <v>0</v>
      </c>
      <c r="E223">
        <f>'Account Creation'!B223</f>
        <v>0</v>
      </c>
      <c r="F223" t="s">
        <v>536</v>
      </c>
      <c r="I223" t="s">
        <v>537</v>
      </c>
      <c r="J223" t="s">
        <v>537</v>
      </c>
      <c r="K223" t="s">
        <v>537</v>
      </c>
      <c r="L223" t="str">
        <f>TRIM('Account Creation'!Q223)</f>
        <v/>
      </c>
      <c r="M223" t="s">
        <v>538</v>
      </c>
      <c r="N223" t="str">
        <f>TEXT('Account Creation'!G223,"mm/dd/yyyy")</f>
        <v>01/00/1900</v>
      </c>
      <c r="O223" t="s">
        <v>462</v>
      </c>
    </row>
    <row r="224" spans="1:15" x14ac:dyDescent="0.25">
      <c r="A224" t="str">
        <f>CONCATENATE('Help Desk'!D224,"@email.wal-mart.com")</f>
        <v>@email.wal-mart.com</v>
      </c>
      <c r="B224" t="str">
        <f>TRIM('Help Desk'!D224)</f>
        <v/>
      </c>
      <c r="C224" t="s">
        <v>535</v>
      </c>
      <c r="D224">
        <f>'Account Creation'!D224</f>
        <v>0</v>
      </c>
      <c r="E224">
        <f>'Account Creation'!B224</f>
        <v>0</v>
      </c>
      <c r="F224" t="s">
        <v>536</v>
      </c>
      <c r="I224" t="s">
        <v>537</v>
      </c>
      <c r="J224" t="s">
        <v>537</v>
      </c>
      <c r="K224" t="s">
        <v>537</v>
      </c>
      <c r="L224" t="str">
        <f>TRIM('Account Creation'!Q224)</f>
        <v/>
      </c>
      <c r="M224" t="s">
        <v>538</v>
      </c>
      <c r="N224" t="str">
        <f>TEXT('Account Creation'!G224,"mm/dd/yyyy")</f>
        <v>01/00/1900</v>
      </c>
      <c r="O224" t="s">
        <v>462</v>
      </c>
    </row>
    <row r="225" spans="1:15" x14ac:dyDescent="0.25">
      <c r="A225" t="str">
        <f>CONCATENATE('Help Desk'!D225,"@email.wal-mart.com")</f>
        <v>@email.wal-mart.com</v>
      </c>
      <c r="B225" t="str">
        <f>TRIM('Help Desk'!D225)</f>
        <v/>
      </c>
      <c r="C225" t="s">
        <v>535</v>
      </c>
      <c r="D225">
        <f>'Account Creation'!D225</f>
        <v>0</v>
      </c>
      <c r="E225">
        <f>'Account Creation'!B225</f>
        <v>0</v>
      </c>
      <c r="F225" t="s">
        <v>536</v>
      </c>
      <c r="I225" t="s">
        <v>537</v>
      </c>
      <c r="J225" t="s">
        <v>537</v>
      </c>
      <c r="K225" t="s">
        <v>537</v>
      </c>
      <c r="L225" t="str">
        <f>TRIM('Account Creation'!Q225)</f>
        <v/>
      </c>
      <c r="M225" t="s">
        <v>538</v>
      </c>
      <c r="N225" t="str">
        <f>TEXT('Account Creation'!G225,"mm/dd/yyyy")</f>
        <v>01/00/1900</v>
      </c>
      <c r="O225" t="s">
        <v>462</v>
      </c>
    </row>
    <row r="226" spans="1:15" x14ac:dyDescent="0.25">
      <c r="A226" t="str">
        <f>CONCATENATE('Help Desk'!D226,"@email.wal-mart.com")</f>
        <v>@email.wal-mart.com</v>
      </c>
      <c r="B226" t="str">
        <f>TRIM('Help Desk'!D226)</f>
        <v/>
      </c>
      <c r="C226" t="s">
        <v>535</v>
      </c>
      <c r="D226">
        <f>'Account Creation'!D226</f>
        <v>0</v>
      </c>
      <c r="E226">
        <f>'Account Creation'!B226</f>
        <v>0</v>
      </c>
      <c r="F226" t="s">
        <v>536</v>
      </c>
      <c r="I226" t="s">
        <v>537</v>
      </c>
      <c r="J226" t="s">
        <v>537</v>
      </c>
      <c r="K226" t="s">
        <v>537</v>
      </c>
      <c r="L226" t="str">
        <f>TRIM('Account Creation'!Q226)</f>
        <v/>
      </c>
      <c r="M226" t="s">
        <v>538</v>
      </c>
      <c r="N226" t="str">
        <f>TEXT('Account Creation'!G226,"mm/dd/yyyy")</f>
        <v>01/00/1900</v>
      </c>
      <c r="O226" t="s">
        <v>462</v>
      </c>
    </row>
    <row r="227" spans="1:15" x14ac:dyDescent="0.25">
      <c r="A227" t="str">
        <f>CONCATENATE('Help Desk'!D227,"@email.wal-mart.com")</f>
        <v>@email.wal-mart.com</v>
      </c>
      <c r="B227" t="str">
        <f>TRIM('Help Desk'!D227)</f>
        <v/>
      </c>
      <c r="C227" t="s">
        <v>535</v>
      </c>
      <c r="D227">
        <f>'Account Creation'!D227</f>
        <v>0</v>
      </c>
      <c r="E227">
        <f>'Account Creation'!B227</f>
        <v>0</v>
      </c>
      <c r="F227" t="s">
        <v>536</v>
      </c>
      <c r="I227" t="s">
        <v>537</v>
      </c>
      <c r="J227" t="s">
        <v>537</v>
      </c>
      <c r="K227" t="s">
        <v>537</v>
      </c>
      <c r="L227" t="str">
        <f>TRIM('Account Creation'!Q227)</f>
        <v/>
      </c>
      <c r="M227" t="s">
        <v>538</v>
      </c>
      <c r="N227" t="str">
        <f>TEXT('Account Creation'!G227,"mm/dd/yyyy")</f>
        <v>01/00/1900</v>
      </c>
      <c r="O227" t="s">
        <v>462</v>
      </c>
    </row>
    <row r="228" spans="1:15" x14ac:dyDescent="0.25">
      <c r="A228" t="str">
        <f>CONCATENATE('Help Desk'!D228,"@email.wal-mart.com")</f>
        <v>@email.wal-mart.com</v>
      </c>
      <c r="B228" t="str">
        <f>TRIM('Help Desk'!D228)</f>
        <v/>
      </c>
      <c r="C228" t="s">
        <v>535</v>
      </c>
      <c r="D228">
        <f>'Account Creation'!D228</f>
        <v>0</v>
      </c>
      <c r="E228">
        <f>'Account Creation'!B228</f>
        <v>0</v>
      </c>
      <c r="F228" t="s">
        <v>536</v>
      </c>
      <c r="I228" t="s">
        <v>537</v>
      </c>
      <c r="J228" t="s">
        <v>537</v>
      </c>
      <c r="K228" t="s">
        <v>537</v>
      </c>
      <c r="L228" t="str">
        <f>TRIM('Account Creation'!Q228)</f>
        <v/>
      </c>
      <c r="M228" t="s">
        <v>538</v>
      </c>
      <c r="N228" t="str">
        <f>TEXT('Account Creation'!G228,"mm/dd/yyyy")</f>
        <v>01/00/1900</v>
      </c>
      <c r="O228" t="s">
        <v>462</v>
      </c>
    </row>
    <row r="229" spans="1:15" x14ac:dyDescent="0.25">
      <c r="A229" t="str">
        <f>CONCATENATE('Help Desk'!D229,"@email.wal-mart.com")</f>
        <v>@email.wal-mart.com</v>
      </c>
      <c r="B229" t="str">
        <f>TRIM('Help Desk'!D229)</f>
        <v/>
      </c>
      <c r="C229" t="s">
        <v>535</v>
      </c>
      <c r="D229">
        <f>'Account Creation'!D229</f>
        <v>0</v>
      </c>
      <c r="E229">
        <f>'Account Creation'!B229</f>
        <v>0</v>
      </c>
      <c r="F229" t="s">
        <v>536</v>
      </c>
      <c r="I229" t="s">
        <v>537</v>
      </c>
      <c r="J229" t="s">
        <v>537</v>
      </c>
      <c r="K229" t="s">
        <v>537</v>
      </c>
      <c r="L229" t="str">
        <f>TRIM('Account Creation'!Q229)</f>
        <v/>
      </c>
      <c r="M229" t="s">
        <v>538</v>
      </c>
      <c r="N229" t="str">
        <f>TEXT('Account Creation'!G229,"mm/dd/yyyy")</f>
        <v>01/00/1900</v>
      </c>
      <c r="O229" t="s">
        <v>462</v>
      </c>
    </row>
    <row r="230" spans="1:15" x14ac:dyDescent="0.25">
      <c r="A230" t="str">
        <f>CONCATENATE('Help Desk'!D230,"@email.wal-mart.com")</f>
        <v>@email.wal-mart.com</v>
      </c>
      <c r="B230" t="str">
        <f>TRIM('Help Desk'!D230)</f>
        <v/>
      </c>
      <c r="C230" t="s">
        <v>535</v>
      </c>
      <c r="D230">
        <f>'Account Creation'!D230</f>
        <v>0</v>
      </c>
      <c r="E230">
        <f>'Account Creation'!B230</f>
        <v>0</v>
      </c>
      <c r="F230" t="s">
        <v>536</v>
      </c>
      <c r="I230" t="s">
        <v>537</v>
      </c>
      <c r="J230" t="s">
        <v>537</v>
      </c>
      <c r="K230" t="s">
        <v>537</v>
      </c>
      <c r="L230" t="str">
        <f>TRIM('Account Creation'!Q230)</f>
        <v/>
      </c>
      <c r="M230" t="s">
        <v>538</v>
      </c>
      <c r="N230" t="str">
        <f>TEXT('Account Creation'!G230,"mm/dd/yyyy")</f>
        <v>01/00/1900</v>
      </c>
      <c r="O230" t="s">
        <v>462</v>
      </c>
    </row>
    <row r="231" spans="1:15" x14ac:dyDescent="0.25">
      <c r="A231" t="str">
        <f>CONCATENATE('Help Desk'!D231,"@email.wal-mart.com")</f>
        <v>@email.wal-mart.com</v>
      </c>
      <c r="B231" t="str">
        <f>TRIM('Help Desk'!D231)</f>
        <v/>
      </c>
      <c r="C231" t="s">
        <v>535</v>
      </c>
      <c r="D231">
        <f>'Account Creation'!D231</f>
        <v>0</v>
      </c>
      <c r="E231">
        <f>'Account Creation'!B231</f>
        <v>0</v>
      </c>
      <c r="F231" t="s">
        <v>536</v>
      </c>
      <c r="I231" t="s">
        <v>537</v>
      </c>
      <c r="J231" t="s">
        <v>537</v>
      </c>
      <c r="K231" t="s">
        <v>537</v>
      </c>
      <c r="L231" t="str">
        <f>TRIM('Account Creation'!Q231)</f>
        <v/>
      </c>
      <c r="M231" t="s">
        <v>538</v>
      </c>
      <c r="N231" t="str">
        <f>TEXT('Account Creation'!G231,"mm/dd/yyyy")</f>
        <v>01/00/1900</v>
      </c>
      <c r="O231" t="s">
        <v>462</v>
      </c>
    </row>
    <row r="232" spans="1:15" x14ac:dyDescent="0.25">
      <c r="A232" t="str">
        <f>CONCATENATE('Help Desk'!D232,"@email.wal-mart.com")</f>
        <v>@email.wal-mart.com</v>
      </c>
      <c r="B232" t="str">
        <f>TRIM('Help Desk'!D232)</f>
        <v/>
      </c>
      <c r="C232" t="s">
        <v>535</v>
      </c>
      <c r="D232">
        <f>'Account Creation'!D232</f>
        <v>0</v>
      </c>
      <c r="E232">
        <f>'Account Creation'!B232</f>
        <v>0</v>
      </c>
      <c r="F232" t="s">
        <v>536</v>
      </c>
      <c r="I232" t="s">
        <v>537</v>
      </c>
      <c r="J232" t="s">
        <v>537</v>
      </c>
      <c r="K232" t="s">
        <v>537</v>
      </c>
      <c r="L232" t="str">
        <f>TRIM('Account Creation'!Q232)</f>
        <v/>
      </c>
      <c r="M232" t="s">
        <v>538</v>
      </c>
      <c r="N232" t="str">
        <f>TEXT('Account Creation'!G232,"mm/dd/yyyy")</f>
        <v>01/00/1900</v>
      </c>
      <c r="O232" t="s">
        <v>462</v>
      </c>
    </row>
    <row r="233" spans="1:15" x14ac:dyDescent="0.25">
      <c r="A233" t="str">
        <f>CONCATENATE('Help Desk'!D233,"@email.wal-mart.com")</f>
        <v>@email.wal-mart.com</v>
      </c>
      <c r="B233" t="str">
        <f>TRIM('Help Desk'!D233)</f>
        <v/>
      </c>
      <c r="C233" t="s">
        <v>535</v>
      </c>
      <c r="D233">
        <f>'Account Creation'!D233</f>
        <v>0</v>
      </c>
      <c r="E233">
        <f>'Account Creation'!B233</f>
        <v>0</v>
      </c>
      <c r="F233" t="s">
        <v>536</v>
      </c>
      <c r="I233" t="s">
        <v>537</v>
      </c>
      <c r="J233" t="s">
        <v>537</v>
      </c>
      <c r="K233" t="s">
        <v>537</v>
      </c>
      <c r="L233" t="str">
        <f>TRIM('Account Creation'!Q233)</f>
        <v/>
      </c>
      <c r="M233" t="s">
        <v>538</v>
      </c>
      <c r="N233" t="str">
        <f>TEXT('Account Creation'!G233,"mm/dd/yyyy")</f>
        <v>01/00/1900</v>
      </c>
      <c r="O233" t="s">
        <v>462</v>
      </c>
    </row>
    <row r="234" spans="1:15" x14ac:dyDescent="0.25">
      <c r="A234" t="str">
        <f>CONCATENATE('Help Desk'!D234,"@email.wal-mart.com")</f>
        <v>@email.wal-mart.com</v>
      </c>
      <c r="B234" t="str">
        <f>TRIM('Help Desk'!D234)</f>
        <v/>
      </c>
      <c r="C234" t="s">
        <v>535</v>
      </c>
      <c r="D234">
        <f>'Account Creation'!D234</f>
        <v>0</v>
      </c>
      <c r="E234">
        <f>'Account Creation'!B234</f>
        <v>0</v>
      </c>
      <c r="F234" t="s">
        <v>536</v>
      </c>
      <c r="I234" t="s">
        <v>537</v>
      </c>
      <c r="J234" t="s">
        <v>537</v>
      </c>
      <c r="K234" t="s">
        <v>537</v>
      </c>
      <c r="L234" t="str">
        <f>TRIM('Account Creation'!Q234)</f>
        <v/>
      </c>
      <c r="M234" t="s">
        <v>538</v>
      </c>
      <c r="N234" t="str">
        <f>TEXT('Account Creation'!G234,"mm/dd/yyyy")</f>
        <v>01/00/1900</v>
      </c>
      <c r="O234" t="s">
        <v>462</v>
      </c>
    </row>
    <row r="235" spans="1:15" x14ac:dyDescent="0.25">
      <c r="A235" t="str">
        <f>CONCATENATE('Help Desk'!D235,"@email.wal-mart.com")</f>
        <v>@email.wal-mart.com</v>
      </c>
      <c r="B235" t="str">
        <f>TRIM('Help Desk'!D235)</f>
        <v/>
      </c>
      <c r="C235" t="s">
        <v>535</v>
      </c>
      <c r="D235">
        <f>'Account Creation'!D235</f>
        <v>0</v>
      </c>
      <c r="E235">
        <f>'Account Creation'!B235</f>
        <v>0</v>
      </c>
      <c r="F235" t="s">
        <v>536</v>
      </c>
      <c r="I235" t="s">
        <v>537</v>
      </c>
      <c r="J235" t="s">
        <v>537</v>
      </c>
      <c r="K235" t="s">
        <v>537</v>
      </c>
      <c r="L235" t="str">
        <f>TRIM('Account Creation'!Q235)</f>
        <v/>
      </c>
      <c r="M235" t="s">
        <v>538</v>
      </c>
      <c r="N235" t="str">
        <f>TEXT('Account Creation'!G235,"mm/dd/yyyy")</f>
        <v>01/00/1900</v>
      </c>
      <c r="O235" t="s">
        <v>462</v>
      </c>
    </row>
    <row r="236" spans="1:15" x14ac:dyDescent="0.25">
      <c r="A236" t="str">
        <f>CONCATENATE('Help Desk'!D236,"@email.wal-mart.com")</f>
        <v>@email.wal-mart.com</v>
      </c>
      <c r="B236" t="str">
        <f>TRIM('Help Desk'!D236)</f>
        <v/>
      </c>
      <c r="C236" t="s">
        <v>535</v>
      </c>
      <c r="D236">
        <f>'Account Creation'!D236</f>
        <v>0</v>
      </c>
      <c r="E236">
        <f>'Account Creation'!B236</f>
        <v>0</v>
      </c>
      <c r="F236" t="s">
        <v>536</v>
      </c>
      <c r="I236" t="s">
        <v>537</v>
      </c>
      <c r="J236" t="s">
        <v>537</v>
      </c>
      <c r="K236" t="s">
        <v>537</v>
      </c>
      <c r="L236" t="str">
        <f>TRIM('Account Creation'!Q236)</f>
        <v/>
      </c>
      <c r="M236" t="s">
        <v>538</v>
      </c>
      <c r="N236" t="str">
        <f>TEXT('Account Creation'!G236,"mm/dd/yyyy")</f>
        <v>01/00/1900</v>
      </c>
      <c r="O236" t="s">
        <v>462</v>
      </c>
    </row>
    <row r="237" spans="1:15" x14ac:dyDescent="0.25">
      <c r="A237" t="str">
        <f>CONCATENATE('Help Desk'!D237,"@email.wal-mart.com")</f>
        <v>@email.wal-mart.com</v>
      </c>
      <c r="B237" t="str">
        <f>TRIM('Help Desk'!D237)</f>
        <v/>
      </c>
      <c r="C237" t="s">
        <v>535</v>
      </c>
      <c r="D237">
        <f>'Account Creation'!D237</f>
        <v>0</v>
      </c>
      <c r="E237">
        <f>'Account Creation'!B237</f>
        <v>0</v>
      </c>
      <c r="F237" t="s">
        <v>536</v>
      </c>
      <c r="I237" t="s">
        <v>537</v>
      </c>
      <c r="J237" t="s">
        <v>537</v>
      </c>
      <c r="K237" t="s">
        <v>537</v>
      </c>
      <c r="L237" t="str">
        <f>TRIM('Account Creation'!Q237)</f>
        <v/>
      </c>
      <c r="M237" t="s">
        <v>538</v>
      </c>
      <c r="N237" t="str">
        <f>TEXT('Account Creation'!G237,"mm/dd/yyyy")</f>
        <v>01/00/1900</v>
      </c>
      <c r="O237" t="s">
        <v>462</v>
      </c>
    </row>
    <row r="238" spans="1:15" x14ac:dyDescent="0.25">
      <c r="A238" t="str">
        <f>CONCATENATE('Help Desk'!D238,"@email.wal-mart.com")</f>
        <v>@email.wal-mart.com</v>
      </c>
      <c r="B238" t="str">
        <f>TRIM('Help Desk'!D238)</f>
        <v/>
      </c>
      <c r="C238" t="s">
        <v>535</v>
      </c>
      <c r="D238">
        <f>'Account Creation'!D238</f>
        <v>0</v>
      </c>
      <c r="E238">
        <f>'Account Creation'!B238</f>
        <v>0</v>
      </c>
      <c r="F238" t="s">
        <v>536</v>
      </c>
      <c r="I238" t="s">
        <v>537</v>
      </c>
      <c r="J238" t="s">
        <v>537</v>
      </c>
      <c r="K238" t="s">
        <v>537</v>
      </c>
      <c r="L238" t="str">
        <f>TRIM('Account Creation'!Q238)</f>
        <v/>
      </c>
      <c r="M238" t="s">
        <v>538</v>
      </c>
      <c r="N238" t="str">
        <f>TEXT('Account Creation'!G238,"mm/dd/yyyy")</f>
        <v>01/00/1900</v>
      </c>
      <c r="O238" t="s">
        <v>462</v>
      </c>
    </row>
    <row r="239" spans="1:15" x14ac:dyDescent="0.25">
      <c r="A239" t="str">
        <f>CONCATENATE('Help Desk'!D239,"@email.wal-mart.com")</f>
        <v>@email.wal-mart.com</v>
      </c>
      <c r="B239" t="str">
        <f>TRIM('Help Desk'!D239)</f>
        <v/>
      </c>
      <c r="C239" t="s">
        <v>535</v>
      </c>
      <c r="D239">
        <f>'Account Creation'!D239</f>
        <v>0</v>
      </c>
      <c r="E239">
        <f>'Account Creation'!B239</f>
        <v>0</v>
      </c>
      <c r="F239" t="s">
        <v>536</v>
      </c>
      <c r="I239" t="s">
        <v>537</v>
      </c>
      <c r="J239" t="s">
        <v>537</v>
      </c>
      <c r="K239" t="s">
        <v>537</v>
      </c>
      <c r="L239" t="str">
        <f>TRIM('Account Creation'!Q239)</f>
        <v/>
      </c>
      <c r="M239" t="s">
        <v>538</v>
      </c>
      <c r="N239" t="str">
        <f>TEXT('Account Creation'!G239,"mm/dd/yyyy")</f>
        <v>01/00/1900</v>
      </c>
      <c r="O239" t="s">
        <v>462</v>
      </c>
    </row>
    <row r="240" spans="1:15" x14ac:dyDescent="0.25">
      <c r="A240" t="str">
        <f>CONCATENATE('Help Desk'!D240,"@email.wal-mart.com")</f>
        <v>@email.wal-mart.com</v>
      </c>
      <c r="B240" t="str">
        <f>TRIM('Help Desk'!D240)</f>
        <v/>
      </c>
      <c r="C240" t="s">
        <v>535</v>
      </c>
      <c r="D240">
        <f>'Account Creation'!D240</f>
        <v>0</v>
      </c>
      <c r="E240">
        <f>'Account Creation'!B240</f>
        <v>0</v>
      </c>
      <c r="F240" t="s">
        <v>536</v>
      </c>
      <c r="I240" t="s">
        <v>537</v>
      </c>
      <c r="J240" t="s">
        <v>537</v>
      </c>
      <c r="K240" t="s">
        <v>537</v>
      </c>
      <c r="L240" t="str">
        <f>TRIM('Account Creation'!Q240)</f>
        <v/>
      </c>
      <c r="M240" t="s">
        <v>538</v>
      </c>
      <c r="N240" t="str">
        <f>TEXT('Account Creation'!G240,"mm/dd/yyyy")</f>
        <v>01/00/1900</v>
      </c>
      <c r="O240" t="s">
        <v>462</v>
      </c>
    </row>
    <row r="241" spans="1:15" x14ac:dyDescent="0.25">
      <c r="A241" t="str">
        <f>CONCATENATE('Help Desk'!D241,"@email.wal-mart.com")</f>
        <v>@email.wal-mart.com</v>
      </c>
      <c r="B241" t="str">
        <f>TRIM('Help Desk'!D241)</f>
        <v/>
      </c>
      <c r="C241" t="s">
        <v>535</v>
      </c>
      <c r="D241">
        <f>'Account Creation'!D241</f>
        <v>0</v>
      </c>
      <c r="E241">
        <f>'Account Creation'!B241</f>
        <v>0</v>
      </c>
      <c r="F241" t="s">
        <v>536</v>
      </c>
      <c r="I241" t="s">
        <v>537</v>
      </c>
      <c r="J241" t="s">
        <v>537</v>
      </c>
      <c r="K241" t="s">
        <v>537</v>
      </c>
      <c r="L241" t="str">
        <f>TRIM('Account Creation'!Q241)</f>
        <v/>
      </c>
      <c r="M241" t="s">
        <v>538</v>
      </c>
      <c r="N241" t="str">
        <f>TEXT('Account Creation'!G241,"mm/dd/yyyy")</f>
        <v>01/00/1900</v>
      </c>
      <c r="O241" t="s">
        <v>462</v>
      </c>
    </row>
    <row r="242" spans="1:15" x14ac:dyDescent="0.25">
      <c r="A242" t="str">
        <f>CONCATENATE('Help Desk'!D242,"@email.wal-mart.com")</f>
        <v>@email.wal-mart.com</v>
      </c>
      <c r="B242" t="str">
        <f>TRIM('Help Desk'!D242)</f>
        <v/>
      </c>
      <c r="C242" t="s">
        <v>535</v>
      </c>
      <c r="D242">
        <f>'Account Creation'!D242</f>
        <v>0</v>
      </c>
      <c r="E242">
        <f>'Account Creation'!B242</f>
        <v>0</v>
      </c>
      <c r="F242" t="s">
        <v>536</v>
      </c>
      <c r="I242" t="s">
        <v>537</v>
      </c>
      <c r="J242" t="s">
        <v>537</v>
      </c>
      <c r="K242" t="s">
        <v>537</v>
      </c>
      <c r="L242" t="str">
        <f>TRIM('Account Creation'!Q242)</f>
        <v/>
      </c>
      <c r="M242" t="s">
        <v>538</v>
      </c>
      <c r="N242" t="str">
        <f>TEXT('Account Creation'!G242,"mm/dd/yyyy")</f>
        <v>01/00/1900</v>
      </c>
      <c r="O242" t="s">
        <v>462</v>
      </c>
    </row>
    <row r="243" spans="1:15" x14ac:dyDescent="0.25">
      <c r="A243" t="str">
        <f>CONCATENATE('Help Desk'!D243,"@email.wal-mart.com")</f>
        <v>@email.wal-mart.com</v>
      </c>
      <c r="B243" t="str">
        <f>TRIM('Help Desk'!D243)</f>
        <v/>
      </c>
      <c r="C243" t="s">
        <v>535</v>
      </c>
      <c r="D243">
        <f>'Account Creation'!D243</f>
        <v>0</v>
      </c>
      <c r="E243">
        <f>'Account Creation'!B243</f>
        <v>0</v>
      </c>
      <c r="F243" t="s">
        <v>536</v>
      </c>
      <c r="I243" t="s">
        <v>537</v>
      </c>
      <c r="J243" t="s">
        <v>537</v>
      </c>
      <c r="K243" t="s">
        <v>537</v>
      </c>
      <c r="L243" t="str">
        <f>TRIM('Account Creation'!Q243)</f>
        <v/>
      </c>
      <c r="M243" t="s">
        <v>538</v>
      </c>
      <c r="N243" t="str">
        <f>TEXT('Account Creation'!G243,"mm/dd/yyyy")</f>
        <v>01/00/1900</v>
      </c>
      <c r="O243" t="s">
        <v>462</v>
      </c>
    </row>
    <row r="244" spans="1:15" x14ac:dyDescent="0.25">
      <c r="A244" t="str">
        <f>CONCATENATE('Help Desk'!D244,"@email.wal-mart.com")</f>
        <v>@email.wal-mart.com</v>
      </c>
      <c r="B244" t="str">
        <f>TRIM('Help Desk'!D244)</f>
        <v/>
      </c>
      <c r="C244" t="s">
        <v>535</v>
      </c>
      <c r="D244">
        <f>'Account Creation'!D244</f>
        <v>0</v>
      </c>
      <c r="E244">
        <f>'Account Creation'!B244</f>
        <v>0</v>
      </c>
      <c r="F244" t="s">
        <v>536</v>
      </c>
      <c r="I244" t="s">
        <v>537</v>
      </c>
      <c r="J244" t="s">
        <v>537</v>
      </c>
      <c r="K244" t="s">
        <v>537</v>
      </c>
      <c r="L244" t="str">
        <f>TRIM('Account Creation'!Q244)</f>
        <v/>
      </c>
      <c r="M244" t="s">
        <v>538</v>
      </c>
      <c r="N244" t="str">
        <f>TEXT('Account Creation'!G244,"mm/dd/yyyy")</f>
        <v>01/00/1900</v>
      </c>
      <c r="O244" t="s">
        <v>462</v>
      </c>
    </row>
    <row r="245" spans="1:15" x14ac:dyDescent="0.25">
      <c r="A245" t="str">
        <f>CONCATENATE('Help Desk'!D245,"@email.wal-mart.com")</f>
        <v>@email.wal-mart.com</v>
      </c>
      <c r="B245" t="str">
        <f>TRIM('Help Desk'!D245)</f>
        <v/>
      </c>
      <c r="C245" t="s">
        <v>535</v>
      </c>
      <c r="D245">
        <f>'Account Creation'!D245</f>
        <v>0</v>
      </c>
      <c r="E245">
        <f>'Account Creation'!B245</f>
        <v>0</v>
      </c>
      <c r="F245" t="s">
        <v>536</v>
      </c>
      <c r="I245" t="s">
        <v>537</v>
      </c>
      <c r="J245" t="s">
        <v>537</v>
      </c>
      <c r="K245" t="s">
        <v>537</v>
      </c>
      <c r="L245" t="str">
        <f>TRIM('Account Creation'!Q245)</f>
        <v/>
      </c>
      <c r="M245" t="s">
        <v>538</v>
      </c>
      <c r="N245" t="str">
        <f>TEXT('Account Creation'!G245,"mm/dd/yyyy")</f>
        <v>01/00/1900</v>
      </c>
      <c r="O245" t="s">
        <v>462</v>
      </c>
    </row>
    <row r="246" spans="1:15" x14ac:dyDescent="0.25">
      <c r="A246" t="str">
        <f>CONCATENATE('Help Desk'!D246,"@email.wal-mart.com")</f>
        <v>@email.wal-mart.com</v>
      </c>
      <c r="B246" t="str">
        <f>TRIM('Help Desk'!D246)</f>
        <v/>
      </c>
      <c r="C246" t="s">
        <v>535</v>
      </c>
      <c r="D246">
        <f>'Account Creation'!D246</f>
        <v>0</v>
      </c>
      <c r="E246">
        <f>'Account Creation'!B246</f>
        <v>0</v>
      </c>
      <c r="F246" t="s">
        <v>536</v>
      </c>
      <c r="I246" t="s">
        <v>537</v>
      </c>
      <c r="J246" t="s">
        <v>537</v>
      </c>
      <c r="K246" t="s">
        <v>537</v>
      </c>
      <c r="L246" t="str">
        <f>TRIM('Account Creation'!Q246)</f>
        <v/>
      </c>
      <c r="M246" t="s">
        <v>538</v>
      </c>
      <c r="N246" t="str">
        <f>TEXT('Account Creation'!G246,"mm/dd/yyyy")</f>
        <v>01/00/1900</v>
      </c>
      <c r="O246" t="s">
        <v>462</v>
      </c>
    </row>
    <row r="247" spans="1:15" x14ac:dyDescent="0.25">
      <c r="A247" t="str">
        <f>CONCATENATE('Help Desk'!D247,"@email.wal-mart.com")</f>
        <v>@email.wal-mart.com</v>
      </c>
      <c r="B247" t="str">
        <f>TRIM('Help Desk'!D247)</f>
        <v/>
      </c>
      <c r="C247" t="s">
        <v>535</v>
      </c>
      <c r="D247">
        <f>'Account Creation'!D247</f>
        <v>0</v>
      </c>
      <c r="E247">
        <f>'Account Creation'!B247</f>
        <v>0</v>
      </c>
      <c r="F247" t="s">
        <v>536</v>
      </c>
      <c r="I247" t="s">
        <v>537</v>
      </c>
      <c r="J247" t="s">
        <v>537</v>
      </c>
      <c r="K247" t="s">
        <v>537</v>
      </c>
      <c r="L247" t="str">
        <f>TRIM('Account Creation'!Q247)</f>
        <v/>
      </c>
      <c r="M247" t="s">
        <v>538</v>
      </c>
      <c r="N247" t="str">
        <f>TEXT('Account Creation'!G247,"mm/dd/yyyy")</f>
        <v>01/00/1900</v>
      </c>
      <c r="O247" t="s">
        <v>462</v>
      </c>
    </row>
    <row r="248" spans="1:15" x14ac:dyDescent="0.25">
      <c r="A248" t="str">
        <f>CONCATENATE('Help Desk'!D248,"@email.wal-mart.com")</f>
        <v>@email.wal-mart.com</v>
      </c>
      <c r="B248" t="str">
        <f>TRIM('Help Desk'!D248)</f>
        <v/>
      </c>
      <c r="C248" t="s">
        <v>535</v>
      </c>
      <c r="D248">
        <f>'Account Creation'!D248</f>
        <v>0</v>
      </c>
      <c r="E248">
        <f>'Account Creation'!B248</f>
        <v>0</v>
      </c>
      <c r="F248" t="s">
        <v>536</v>
      </c>
      <c r="I248" t="s">
        <v>537</v>
      </c>
      <c r="J248" t="s">
        <v>537</v>
      </c>
      <c r="K248" t="s">
        <v>537</v>
      </c>
      <c r="L248" t="str">
        <f>TRIM('Account Creation'!Q248)</f>
        <v/>
      </c>
      <c r="M248" t="s">
        <v>538</v>
      </c>
      <c r="N248" t="str">
        <f>TEXT('Account Creation'!G248,"mm/dd/yyyy")</f>
        <v>01/00/1900</v>
      </c>
      <c r="O248" t="s">
        <v>462</v>
      </c>
    </row>
    <row r="249" spans="1:15" x14ac:dyDescent="0.25">
      <c r="A249" t="str">
        <f>CONCATENATE('Help Desk'!D249,"@email.wal-mart.com")</f>
        <v>@email.wal-mart.com</v>
      </c>
      <c r="B249" t="str">
        <f>TRIM('Help Desk'!D249)</f>
        <v/>
      </c>
      <c r="C249" t="s">
        <v>535</v>
      </c>
      <c r="D249">
        <f>'Account Creation'!D249</f>
        <v>0</v>
      </c>
      <c r="E249">
        <f>'Account Creation'!B249</f>
        <v>0</v>
      </c>
      <c r="F249" t="s">
        <v>536</v>
      </c>
      <c r="I249" t="s">
        <v>537</v>
      </c>
      <c r="J249" t="s">
        <v>537</v>
      </c>
      <c r="K249" t="s">
        <v>537</v>
      </c>
      <c r="L249" t="str">
        <f>TRIM('Account Creation'!Q249)</f>
        <v/>
      </c>
      <c r="M249" t="s">
        <v>538</v>
      </c>
      <c r="N249" t="str">
        <f>TEXT('Account Creation'!G249,"mm/dd/yyyy")</f>
        <v>01/00/1900</v>
      </c>
      <c r="O249" t="s">
        <v>462</v>
      </c>
    </row>
    <row r="250" spans="1:15" x14ac:dyDescent="0.25">
      <c r="A250" t="str">
        <f>CONCATENATE('Help Desk'!D250,"@email.wal-mart.com")</f>
        <v>@email.wal-mart.com</v>
      </c>
      <c r="B250" t="str">
        <f>TRIM('Help Desk'!D250)</f>
        <v/>
      </c>
      <c r="C250" t="s">
        <v>535</v>
      </c>
      <c r="D250">
        <f>'Account Creation'!D250</f>
        <v>0</v>
      </c>
      <c r="E250">
        <f>'Account Creation'!B250</f>
        <v>0</v>
      </c>
      <c r="F250" t="s">
        <v>536</v>
      </c>
      <c r="I250" t="s">
        <v>537</v>
      </c>
      <c r="J250" t="s">
        <v>537</v>
      </c>
      <c r="K250" t="s">
        <v>537</v>
      </c>
      <c r="L250" t="str">
        <f>TRIM('Account Creation'!Q250)</f>
        <v/>
      </c>
      <c r="M250" t="s">
        <v>538</v>
      </c>
      <c r="N250" t="str">
        <f>TEXT('Account Creation'!G250,"mm/dd/yyyy")</f>
        <v>01/00/1900</v>
      </c>
      <c r="O250" t="s">
        <v>462</v>
      </c>
    </row>
    <row r="251" spans="1:15" x14ac:dyDescent="0.25">
      <c r="A251" t="str">
        <f>CONCATENATE('Help Desk'!D251,"@email.wal-mart.com")</f>
        <v>@email.wal-mart.com</v>
      </c>
      <c r="B251" t="str">
        <f>TRIM('Help Desk'!D251)</f>
        <v/>
      </c>
      <c r="C251" t="s">
        <v>535</v>
      </c>
      <c r="D251">
        <f>'Account Creation'!D251</f>
        <v>0</v>
      </c>
      <c r="E251">
        <f>'Account Creation'!B251</f>
        <v>0</v>
      </c>
      <c r="F251" t="s">
        <v>536</v>
      </c>
      <c r="I251" t="s">
        <v>537</v>
      </c>
      <c r="J251" t="s">
        <v>537</v>
      </c>
      <c r="K251" t="s">
        <v>537</v>
      </c>
      <c r="L251" t="str">
        <f>TRIM('Account Creation'!Q251)</f>
        <v/>
      </c>
      <c r="M251" t="s">
        <v>538</v>
      </c>
      <c r="N251" t="str">
        <f>TEXT('Account Creation'!G251,"mm/dd/yyyy")</f>
        <v>01/00/1900</v>
      </c>
      <c r="O251" t="s">
        <v>462</v>
      </c>
    </row>
  </sheetData>
  <conditionalFormatting sqref="O2 O5 O8 O11 O14 O17 O20 O23 O26 O29 O32 O35 O38 O41 O44 O47 O50 O53 O56 O59 O62 O65 O68 O71 O74 O77 O80 O83 O86 O89 O92 O95 O98 O101 O104 O107 O110 O113 O116 O119 O122 O125 O128 O131 O134 O137 O140 O143 O146 O149 O152 O155 O158 O161 O164 O167 O170 O173 O176 O179 O182 O185 O188 O191 O194 O197 O200 O203 O206 O209 O212 O215 O218 O221 O224 O227 O230 O233 O236 O239 O242 O245 O248 O251">
    <cfRule type="cellIs" dxfId="16" priority="3" operator="equal">
      <formula>0</formula>
    </cfRule>
  </conditionalFormatting>
  <conditionalFormatting sqref="O3 O6 O9 O12 O15 O18 O21 O24 O27 O30 O33 O36 O39 O42 O45 O48 O51 O54 O57 O60 O63 O66 O69 O72 O75 O78 O81 O84 O87 O90 O93 O96 O99 O102 O105 O108 O111 O114 O117 O120 O123 O126 O129 O132 O135 O138 O141 O144 O147 O150 O153 O156 O159 O162 O165 O168 O171 O174 O177 O180 O183 O186 O189 O192 O195 O198 O201 O204 O207 O210 O213 O216 O219 O222 O225 O228 O231 O234 O237 O240 O243 O246 O249">
    <cfRule type="cellIs" dxfId="15" priority="2" operator="equal">
      <formula>0</formula>
    </cfRule>
  </conditionalFormatting>
  <conditionalFormatting sqref="O4 O7 O10 O13 O16 O19 O22 O25 O28 O31 O34 O37 O40 O43 O46 O49 O52 O55 O58 O61 O64 O67 O70 O73 O76 O79 O82 O85 O88 O91 O94 O97 O100 O103 O106 O109 O112 O115 O118 O121 O124 O127 O130 O133 O136 O139 O142 O145 O148 O151 O154 O157 O160 O163 O166 O169 O172 O175 O178 O181 O184 O187 O190 O193 O196 O199 O202 O205 O208 O211 O214 O217 O220 O223 O226 O229 O232 O235 O238 O241 O244 O247 O250">
    <cfRule type="cellIs" dxfId="14" priority="1" operator="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92246-357F-4E12-B2D2-B998456BA17A}">
  <dimension ref="A1:K16"/>
  <sheetViews>
    <sheetView workbookViewId="0">
      <selection activeCell="A17" sqref="A17:XFD253"/>
    </sheetView>
  </sheetViews>
  <sheetFormatPr defaultRowHeight="15" x14ac:dyDescent="0.25"/>
  <cols>
    <col min="1" max="1" width="10.5703125" style="97" bestFit="1" customWidth="1"/>
    <col min="2" max="2" width="10.42578125" style="97" bestFit="1" customWidth="1"/>
    <col min="3" max="3" width="7.42578125" style="97" bestFit="1" customWidth="1"/>
    <col min="4" max="4" width="14.42578125" style="97" bestFit="1" customWidth="1"/>
    <col min="5" max="5" width="9.28515625" style="97" bestFit="1" customWidth="1"/>
    <col min="6" max="6" width="8.85546875" style="97" bestFit="1" customWidth="1"/>
    <col min="7" max="7" width="15.7109375" style="97" bestFit="1" customWidth="1"/>
    <col min="8" max="8" width="15.140625" style="97" bestFit="1" customWidth="1"/>
    <col min="9" max="9" width="14.140625" style="97" bestFit="1" customWidth="1"/>
    <col min="10" max="16384" width="9.140625" style="97"/>
  </cols>
  <sheetData>
    <row r="1" spans="1:11" x14ac:dyDescent="0.25">
      <c r="A1" s="12" t="s">
        <v>965</v>
      </c>
      <c r="B1" s="12" t="s">
        <v>966</v>
      </c>
      <c r="C1" s="12" t="s">
        <v>967</v>
      </c>
      <c r="D1" s="12" t="s">
        <v>391</v>
      </c>
      <c r="E1" s="12" t="s">
        <v>392</v>
      </c>
      <c r="F1" s="12" t="s">
        <v>393</v>
      </c>
      <c r="G1" s="12" t="s">
        <v>340</v>
      </c>
      <c r="H1" s="12" t="s">
        <v>968</v>
      </c>
      <c r="I1" s="12" t="s">
        <v>969</v>
      </c>
      <c r="J1" s="12" t="s">
        <v>395</v>
      </c>
      <c r="K1" s="12" t="s">
        <v>587</v>
      </c>
    </row>
    <row r="2" spans="1:11" x14ac:dyDescent="0.25">
      <c r="A2" s="97" t="str">
        <f>TRIM('Help Desk'!D2)</f>
        <v>vn54tqf</v>
      </c>
      <c r="B2" s="97" t="str">
        <f>TRIM('Account Creation'!B2)</f>
        <v>Cristian</v>
      </c>
      <c r="C2" s="97" t="str">
        <f>TRIM('Account Creation'!D2)</f>
        <v>Ramirez</v>
      </c>
      <c r="D2" s="97" t="str">
        <f>B2</f>
        <v>Cristian</v>
      </c>
      <c r="E2" s="97">
        <f>'Account Creation'!AG2</f>
        <v>169</v>
      </c>
      <c r="F2" s="97">
        <f>'Account Creation'!AH2</f>
        <v>100978</v>
      </c>
      <c r="G2" s="97" t="str">
        <f>IF(A2="","","1@Walmart")</f>
        <v>1@Walmart</v>
      </c>
      <c r="H2" s="97">
        <f>'Account Creation'!AI2</f>
        <v>0</v>
      </c>
      <c r="J2" s="97">
        <f>IF(A2="","",'VCC_Stores ONLY'!B2)</f>
        <v>0</v>
      </c>
      <c r="K2" s="97" t="str">
        <f>IF('Account Creation'!A2="New","Create","")</f>
        <v/>
      </c>
    </row>
    <row r="3" spans="1:11" x14ac:dyDescent="0.25">
      <c r="A3" s="97" t="str">
        <f>TRIM('Help Desk'!D3)</f>
        <v>vn54tqh</v>
      </c>
      <c r="B3" s="97" t="str">
        <f>TRIM('Account Creation'!B3)</f>
        <v>Claudia</v>
      </c>
      <c r="C3" s="97" t="str">
        <f>TRIM('Account Creation'!D3)</f>
        <v>Garcia</v>
      </c>
      <c r="D3" s="97" t="str">
        <f t="shared" ref="D3:D66" si="0">B3</f>
        <v>Claudia</v>
      </c>
      <c r="E3" s="97">
        <f>'Account Creation'!AG3</f>
        <v>169</v>
      </c>
      <c r="F3" s="97">
        <f>'Account Creation'!AH3</f>
        <v>100978</v>
      </c>
      <c r="G3" s="97" t="str">
        <f t="shared" ref="G3:G66" si="1">IF(A3="","","1@Walmart")</f>
        <v>1@Walmart</v>
      </c>
      <c r="H3" s="97">
        <f>'Account Creation'!AI3</f>
        <v>0</v>
      </c>
      <c r="J3" s="97">
        <f>IF(A3="","",'VCC_Stores ONLY'!B3)</f>
        <v>0</v>
      </c>
    </row>
    <row r="4" spans="1:11" x14ac:dyDescent="0.25">
      <c r="A4" s="97" t="str">
        <f>TRIM('Help Desk'!D4)</f>
        <v>vn54tqj</v>
      </c>
      <c r="B4" s="97" t="str">
        <f>TRIM('Account Creation'!B4)</f>
        <v>Luis</v>
      </c>
      <c r="C4" s="97" t="str">
        <f>TRIM('Account Creation'!D4)</f>
        <v>Hernandez</v>
      </c>
      <c r="D4" s="97" t="str">
        <f t="shared" si="0"/>
        <v>Luis</v>
      </c>
      <c r="E4" s="97">
        <f>'Account Creation'!AG4</f>
        <v>169</v>
      </c>
      <c r="F4" s="97">
        <f>'Account Creation'!AH4</f>
        <v>100978</v>
      </c>
      <c r="G4" s="97" t="str">
        <f t="shared" si="1"/>
        <v>1@Walmart</v>
      </c>
      <c r="H4" s="97">
        <f>'Account Creation'!AI4</f>
        <v>0</v>
      </c>
      <c r="J4" s="97">
        <f>IF(A4="","",'VCC_Stores ONLY'!B4)</f>
        <v>0</v>
      </c>
    </row>
    <row r="5" spans="1:11" x14ac:dyDescent="0.25">
      <c r="A5" s="97" t="str">
        <f>TRIM('Help Desk'!D5)</f>
        <v>vn54tql</v>
      </c>
      <c r="B5" s="97" t="str">
        <f>TRIM('Account Creation'!B5)</f>
        <v>Sofia</v>
      </c>
      <c r="C5" s="97" t="str">
        <f>TRIM('Account Creation'!D5)</f>
        <v>Marroquin</v>
      </c>
      <c r="D5" s="97" t="str">
        <f t="shared" si="0"/>
        <v>Sofia</v>
      </c>
      <c r="E5" s="97">
        <f>'Account Creation'!AG5</f>
        <v>169</v>
      </c>
      <c r="F5" s="97">
        <f>'Account Creation'!AH5</f>
        <v>100978</v>
      </c>
      <c r="G5" s="97" t="str">
        <f t="shared" si="1"/>
        <v>1@Walmart</v>
      </c>
      <c r="H5" s="97">
        <f>'Account Creation'!AI5</f>
        <v>0</v>
      </c>
      <c r="J5" s="97">
        <f>IF(A5="","",'VCC_Stores ONLY'!B5)</f>
        <v>0</v>
      </c>
    </row>
    <row r="6" spans="1:11" x14ac:dyDescent="0.25">
      <c r="A6" s="97" t="str">
        <f>TRIM('Help Desk'!D6)</f>
        <v>vn54tqn</v>
      </c>
      <c r="B6" s="97" t="str">
        <f>TRIM('Account Creation'!B6)</f>
        <v>Guillermo</v>
      </c>
      <c r="C6" s="97" t="str">
        <f>TRIM('Account Creation'!D6)</f>
        <v>Zamora</v>
      </c>
      <c r="D6" s="97" t="str">
        <f t="shared" si="0"/>
        <v>Guillermo</v>
      </c>
      <c r="E6" s="97">
        <f>'Account Creation'!AG6</f>
        <v>169</v>
      </c>
      <c r="F6" s="97">
        <f>'Account Creation'!AH6</f>
        <v>100978</v>
      </c>
      <c r="G6" s="97" t="str">
        <f t="shared" si="1"/>
        <v>1@Walmart</v>
      </c>
      <c r="H6" s="97">
        <f>'Account Creation'!AI6</f>
        <v>0</v>
      </c>
      <c r="J6" s="97">
        <f>IF(A6="","",'VCC_Stores ONLY'!B6)</f>
        <v>0</v>
      </c>
    </row>
    <row r="7" spans="1:11" x14ac:dyDescent="0.25">
      <c r="A7" s="97" t="str">
        <f>TRIM('Help Desk'!D7)</f>
        <v>vn54tqo</v>
      </c>
      <c r="B7" s="97" t="str">
        <f>TRIM('Account Creation'!B7)</f>
        <v>Katherine</v>
      </c>
      <c r="C7" s="97" t="str">
        <f>TRIM('Account Creation'!D7)</f>
        <v>Santizo</v>
      </c>
      <c r="D7" s="97" t="str">
        <f t="shared" si="0"/>
        <v>Katherine</v>
      </c>
      <c r="E7" s="97">
        <f>'Account Creation'!AG7</f>
        <v>169</v>
      </c>
      <c r="F7" s="97">
        <f>'Account Creation'!AH7</f>
        <v>100978</v>
      </c>
      <c r="G7" s="97" t="str">
        <f t="shared" si="1"/>
        <v>1@Walmart</v>
      </c>
      <c r="H7" s="97">
        <f>'Account Creation'!AI7</f>
        <v>0</v>
      </c>
      <c r="J7" s="97">
        <f>IF(A7="","",'VCC_Stores ONLY'!B7)</f>
        <v>0</v>
      </c>
    </row>
    <row r="8" spans="1:11" x14ac:dyDescent="0.25">
      <c r="A8" s="97" t="str">
        <f>TRIM('Help Desk'!D8)</f>
        <v>vn54tqq</v>
      </c>
      <c r="B8" s="97" t="str">
        <f>TRIM('Account Creation'!B8)</f>
        <v>Josue</v>
      </c>
      <c r="C8" s="97" t="str">
        <f>TRIM('Account Creation'!D8)</f>
        <v>Manrique</v>
      </c>
      <c r="D8" s="97" t="str">
        <f t="shared" si="0"/>
        <v>Josue</v>
      </c>
      <c r="E8" s="97">
        <f>'Account Creation'!AG8</f>
        <v>169</v>
      </c>
      <c r="F8" s="97">
        <f>'Account Creation'!AH8</f>
        <v>100978</v>
      </c>
      <c r="G8" s="97" t="str">
        <f t="shared" si="1"/>
        <v>1@Walmart</v>
      </c>
      <c r="H8" s="97">
        <f>'Account Creation'!AI8</f>
        <v>0</v>
      </c>
      <c r="J8" s="97">
        <f>IF(A8="","",'VCC_Stores ONLY'!B8)</f>
        <v>0</v>
      </c>
    </row>
    <row r="9" spans="1:11" x14ac:dyDescent="0.25">
      <c r="A9" s="97" t="str">
        <f>TRIM('Help Desk'!D9)</f>
        <v>vn54tqs</v>
      </c>
      <c r="B9" s="97" t="str">
        <f>TRIM('Account Creation'!B9)</f>
        <v>Kristtel</v>
      </c>
      <c r="C9" s="97" t="str">
        <f>TRIM('Account Creation'!D9)</f>
        <v>Hernandez</v>
      </c>
      <c r="D9" s="97" t="str">
        <f t="shared" si="0"/>
        <v>Kristtel</v>
      </c>
      <c r="E9" s="97">
        <f>'Account Creation'!AG9</f>
        <v>169</v>
      </c>
      <c r="F9" s="97">
        <f>'Account Creation'!AH9</f>
        <v>100978</v>
      </c>
      <c r="G9" s="97" t="str">
        <f t="shared" si="1"/>
        <v>1@Walmart</v>
      </c>
      <c r="H9" s="97">
        <f>'Account Creation'!AI9</f>
        <v>0</v>
      </c>
      <c r="J9" s="97">
        <f>IF(A9="","",'VCC_Stores ONLY'!B9)</f>
        <v>0</v>
      </c>
    </row>
    <row r="10" spans="1:11" x14ac:dyDescent="0.25">
      <c r="A10" s="97" t="str">
        <f>TRIM('Help Desk'!D10)</f>
        <v>vn54tqu</v>
      </c>
      <c r="B10" s="97" t="str">
        <f>TRIM('Account Creation'!B10)</f>
        <v>Juan</v>
      </c>
      <c r="C10" s="97" t="str">
        <f>TRIM('Account Creation'!D10)</f>
        <v>Flores</v>
      </c>
      <c r="D10" s="97" t="str">
        <f t="shared" si="0"/>
        <v>Juan</v>
      </c>
      <c r="E10" s="97">
        <f>'Account Creation'!AG10</f>
        <v>169</v>
      </c>
      <c r="F10" s="97">
        <f>'Account Creation'!AH10</f>
        <v>100978</v>
      </c>
      <c r="G10" s="97" t="str">
        <f t="shared" si="1"/>
        <v>1@Walmart</v>
      </c>
      <c r="H10" s="97">
        <f>'Account Creation'!AI10</f>
        <v>0</v>
      </c>
      <c r="J10" s="97">
        <f>IF(A10="","",'VCC_Stores ONLY'!B10)</f>
        <v>0</v>
      </c>
    </row>
    <row r="11" spans="1:11" x14ac:dyDescent="0.25">
      <c r="A11" s="97" t="str">
        <f>TRIM('Help Desk'!D11)</f>
        <v>vn54tqw</v>
      </c>
      <c r="B11" s="97" t="str">
        <f>TRIM('Account Creation'!B11)</f>
        <v>Gabriel</v>
      </c>
      <c r="C11" s="97" t="str">
        <f>TRIM('Account Creation'!D11)</f>
        <v>Morales</v>
      </c>
      <c r="D11" s="97" t="str">
        <f t="shared" si="0"/>
        <v>Gabriel</v>
      </c>
      <c r="E11" s="97">
        <f>'Account Creation'!AG11</f>
        <v>169</v>
      </c>
      <c r="F11" s="97">
        <f>'Account Creation'!AH11</f>
        <v>100978</v>
      </c>
      <c r="G11" s="97" t="str">
        <f t="shared" si="1"/>
        <v>1@Walmart</v>
      </c>
      <c r="H11" s="97">
        <f>'Account Creation'!AI11</f>
        <v>0</v>
      </c>
      <c r="J11" s="97">
        <f>IF(A11="","",'VCC_Stores ONLY'!B11)</f>
        <v>0</v>
      </c>
    </row>
    <row r="12" spans="1:11" x14ac:dyDescent="0.25">
      <c r="A12" s="97" t="str">
        <f>TRIM('Help Desk'!D12)</f>
        <v>vn54tqy</v>
      </c>
      <c r="B12" s="97" t="str">
        <f>TRIM('Account Creation'!B12)</f>
        <v>Mercedez</v>
      </c>
      <c r="C12" s="97" t="str">
        <f>TRIM('Account Creation'!D12)</f>
        <v>De Leon</v>
      </c>
      <c r="D12" s="97" t="str">
        <f t="shared" si="0"/>
        <v>Mercedez</v>
      </c>
      <c r="E12" s="97">
        <f>'Account Creation'!AG12</f>
        <v>169</v>
      </c>
      <c r="F12" s="97">
        <f>'Account Creation'!AH12</f>
        <v>100978</v>
      </c>
      <c r="G12" s="97" t="str">
        <f t="shared" si="1"/>
        <v>1@Walmart</v>
      </c>
      <c r="H12" s="97">
        <f>'Account Creation'!AI12</f>
        <v>0</v>
      </c>
      <c r="J12" s="97">
        <f>IF(A12="","",'VCC_Stores ONLY'!B12)</f>
        <v>0</v>
      </c>
    </row>
    <row r="13" spans="1:11" x14ac:dyDescent="0.25">
      <c r="A13" s="97" t="str">
        <f>TRIM('Help Desk'!D13)</f>
        <v>vn54tr0</v>
      </c>
      <c r="B13" s="97" t="str">
        <f>TRIM('Account Creation'!B13)</f>
        <v>Eduardo</v>
      </c>
      <c r="C13" s="97" t="str">
        <f>TRIM('Account Creation'!D13)</f>
        <v>Prera</v>
      </c>
      <c r="D13" s="97" t="str">
        <f t="shared" si="0"/>
        <v>Eduardo</v>
      </c>
      <c r="E13" s="97">
        <f>'Account Creation'!AG13</f>
        <v>169</v>
      </c>
      <c r="F13" s="97">
        <f>'Account Creation'!AH13</f>
        <v>100978</v>
      </c>
      <c r="G13" s="97" t="str">
        <f t="shared" si="1"/>
        <v>1@Walmart</v>
      </c>
      <c r="H13" s="97">
        <f>'Account Creation'!AI13</f>
        <v>0</v>
      </c>
      <c r="J13" s="97">
        <f>IF(A13="","",'VCC_Stores ONLY'!B13)</f>
        <v>0</v>
      </c>
    </row>
    <row r="14" spans="1:11" x14ac:dyDescent="0.25">
      <c r="A14" s="97" t="str">
        <f>TRIM('Help Desk'!D14)</f>
        <v>vn54tr2</v>
      </c>
      <c r="B14" s="97" t="str">
        <f>TRIM('Account Creation'!B14)</f>
        <v>Madelin</v>
      </c>
      <c r="C14" s="97" t="str">
        <f>TRIM('Account Creation'!D14)</f>
        <v>Abal</v>
      </c>
      <c r="D14" s="97" t="str">
        <f t="shared" si="0"/>
        <v>Madelin</v>
      </c>
      <c r="E14" s="97">
        <f>'Account Creation'!AG14</f>
        <v>169</v>
      </c>
      <c r="F14" s="97">
        <f>'Account Creation'!AH14</f>
        <v>100978</v>
      </c>
      <c r="G14" s="97" t="str">
        <f t="shared" si="1"/>
        <v>1@Walmart</v>
      </c>
      <c r="H14" s="97">
        <f>'Account Creation'!AI14</f>
        <v>0</v>
      </c>
      <c r="J14" s="97">
        <f>IF(A14="","",'VCC_Stores ONLY'!B14)</f>
        <v>0</v>
      </c>
    </row>
    <row r="15" spans="1:11" x14ac:dyDescent="0.25">
      <c r="A15" s="97" t="str">
        <f>TRIM('Help Desk'!D15)</f>
        <v>vn54tr4</v>
      </c>
      <c r="B15" s="97" t="str">
        <f>TRIM('Account Creation'!B15)</f>
        <v>Dyana</v>
      </c>
      <c r="C15" s="97" t="str">
        <f>TRIM('Account Creation'!D15)</f>
        <v>Calicio</v>
      </c>
      <c r="D15" s="97" t="str">
        <f t="shared" si="0"/>
        <v>Dyana</v>
      </c>
      <c r="E15" s="97">
        <f>'Account Creation'!AG15</f>
        <v>169</v>
      </c>
      <c r="F15" s="97">
        <f>'Account Creation'!AH15</f>
        <v>100978</v>
      </c>
      <c r="G15" s="97" t="str">
        <f t="shared" si="1"/>
        <v>1@Walmart</v>
      </c>
      <c r="H15" s="97">
        <f>'Account Creation'!AI15</f>
        <v>0</v>
      </c>
      <c r="J15" s="97">
        <f>IF(A15="","",'VCC_Stores ONLY'!B15)</f>
        <v>0</v>
      </c>
    </row>
    <row r="16" spans="1:11" x14ac:dyDescent="0.25">
      <c r="A16" s="97" t="str">
        <f>TRIM('Help Desk'!D16)</f>
        <v>vn54tr6</v>
      </c>
      <c r="B16" s="97" t="str">
        <f>TRIM('Account Creation'!B16)</f>
        <v>Sandra</v>
      </c>
      <c r="C16" s="97" t="str">
        <f>TRIM('Account Creation'!D16)</f>
        <v>Arango</v>
      </c>
      <c r="D16" s="97" t="str">
        <f t="shared" si="0"/>
        <v>Sandra</v>
      </c>
      <c r="E16" s="97">
        <f>'Account Creation'!AG16</f>
        <v>169</v>
      </c>
      <c r="F16" s="97">
        <f>'Account Creation'!AH16</f>
        <v>100978</v>
      </c>
      <c r="G16" s="97" t="str">
        <f t="shared" si="1"/>
        <v>1@Walmart</v>
      </c>
      <c r="H16" s="97">
        <f>'Account Creation'!AI16</f>
        <v>0</v>
      </c>
      <c r="J16" s="97">
        <f>IF(A16="","",'VCC_Stores ONLY'!B16)</f>
        <v>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7894-DF10-4534-BDE3-8EED5EECFF52}">
  <sheetPr codeName="Sheet3"/>
  <dimension ref="A1:BV252"/>
  <sheetViews>
    <sheetView workbookViewId="0">
      <selection activeCell="A17" sqref="A17:XFD252"/>
    </sheetView>
  </sheetViews>
  <sheetFormatPr defaultRowHeight="15" x14ac:dyDescent="0.25"/>
  <cols>
    <col min="1" max="1" width="10.140625" bestFit="1" customWidth="1"/>
    <col min="2" max="2" width="28.42578125" bestFit="1" customWidth="1"/>
    <col min="3" max="4" width="10.5703125" bestFit="1" customWidth="1"/>
    <col min="5" max="5" width="29" customWidth="1"/>
    <col min="6" max="6" width="16.85546875" bestFit="1" customWidth="1"/>
    <col min="7" max="7" width="17.7109375" bestFit="1" customWidth="1"/>
    <col min="8" max="8" width="16.42578125" bestFit="1" customWidth="1"/>
    <col min="9" max="9" width="12.85546875" customWidth="1"/>
    <col min="10" max="10" width="15.140625" bestFit="1" customWidth="1"/>
    <col min="11" max="11" width="18.140625" bestFit="1" customWidth="1"/>
    <col min="12" max="12" width="16.7109375" bestFit="1" customWidth="1"/>
    <col min="13" max="17" width="16.5703125" bestFit="1" customWidth="1"/>
    <col min="18" max="20" width="18" bestFit="1" customWidth="1"/>
    <col min="21" max="22" width="19" bestFit="1" customWidth="1"/>
    <col min="23" max="23" width="14.140625" bestFit="1" customWidth="1"/>
    <col min="24" max="24" width="15.28515625" bestFit="1" customWidth="1"/>
    <col min="25" max="25" width="13.42578125" bestFit="1" customWidth="1"/>
    <col min="26" max="26" width="17.85546875" bestFit="1" customWidth="1"/>
    <col min="27" max="35" width="23.140625" bestFit="1" customWidth="1"/>
    <col min="36" max="36" width="24.140625" bestFit="1" customWidth="1"/>
    <col min="37" max="37" width="19.140625" bestFit="1" customWidth="1"/>
    <col min="38" max="38" width="30.140625" bestFit="1" customWidth="1"/>
    <col min="39" max="39" width="15.42578125" bestFit="1" customWidth="1"/>
    <col min="40" max="42" width="23.5703125" bestFit="1" customWidth="1"/>
    <col min="43" max="43" width="35.42578125" bestFit="1" customWidth="1"/>
    <col min="44" max="44" width="29.42578125" bestFit="1" customWidth="1"/>
    <col min="45" max="45" width="49.42578125" bestFit="1" customWidth="1"/>
    <col min="46" max="46" width="19.7109375" bestFit="1" customWidth="1"/>
    <col min="47" max="47" width="18.7109375" bestFit="1" customWidth="1"/>
    <col min="48" max="48" width="29.7109375" bestFit="1" customWidth="1"/>
    <col min="49" max="49" width="33.5703125" bestFit="1" customWidth="1"/>
    <col min="50" max="58" width="50.5703125" bestFit="1" customWidth="1"/>
    <col min="59" max="59" width="51.5703125" bestFit="1" customWidth="1"/>
    <col min="60" max="60" width="52" bestFit="1" customWidth="1"/>
    <col min="61" max="69" width="51.5703125" bestFit="1" customWidth="1"/>
    <col min="70" max="70" width="52" bestFit="1" customWidth="1"/>
    <col min="71" max="74" width="51.5703125" bestFit="1" customWidth="1"/>
    <col min="75" max="75" width="18.28515625" bestFit="1" customWidth="1"/>
    <col min="76" max="76" width="29.85546875" bestFit="1" customWidth="1"/>
  </cols>
  <sheetData>
    <row r="1" spans="1:74" s="12" customFormat="1" x14ac:dyDescent="0.25">
      <c r="A1" s="12" t="s">
        <v>351</v>
      </c>
      <c r="B1" s="12" t="s">
        <v>398</v>
      </c>
      <c r="C1" s="12" t="s">
        <v>2</v>
      </c>
      <c r="D1" s="12" t="s">
        <v>399</v>
      </c>
      <c r="E1" s="12" t="s">
        <v>340</v>
      </c>
      <c r="F1" s="12" t="s">
        <v>400</v>
      </c>
      <c r="G1" s="12" t="s">
        <v>401</v>
      </c>
      <c r="H1" s="12" t="s">
        <v>402</v>
      </c>
      <c r="I1" s="12" t="s">
        <v>403</v>
      </c>
      <c r="J1" s="12" t="s">
        <v>404</v>
      </c>
      <c r="K1" s="12" t="s">
        <v>405</v>
      </c>
      <c r="L1" s="12" t="s">
        <v>406</v>
      </c>
      <c r="M1" s="12" t="s">
        <v>407</v>
      </c>
      <c r="N1" s="12" t="s">
        <v>408</v>
      </c>
      <c r="O1" s="12" t="s">
        <v>409</v>
      </c>
      <c r="P1" s="12" t="s">
        <v>410</v>
      </c>
      <c r="Q1" s="12" t="s">
        <v>411</v>
      </c>
      <c r="R1" s="12" t="s">
        <v>412</v>
      </c>
      <c r="S1" s="12" t="s">
        <v>413</v>
      </c>
      <c r="T1" s="12" t="s">
        <v>414</v>
      </c>
      <c r="U1" s="12" t="s">
        <v>415</v>
      </c>
      <c r="V1" s="12" t="s">
        <v>416</v>
      </c>
      <c r="W1" s="12" t="s">
        <v>417</v>
      </c>
      <c r="X1" s="12" t="s">
        <v>418</v>
      </c>
      <c r="Y1" s="12" t="s">
        <v>419</v>
      </c>
      <c r="Z1" s="12" t="s">
        <v>420</v>
      </c>
      <c r="AA1" s="12" t="s">
        <v>421</v>
      </c>
      <c r="AB1" s="12" t="s">
        <v>422</v>
      </c>
      <c r="AC1" s="12" t="s">
        <v>423</v>
      </c>
      <c r="AD1" s="12" t="s">
        <v>424</v>
      </c>
      <c r="AE1" s="12" t="s">
        <v>425</v>
      </c>
      <c r="AF1" s="12" t="s">
        <v>426</v>
      </c>
      <c r="AG1" s="12" t="s">
        <v>427</v>
      </c>
      <c r="AH1" s="12" t="s">
        <v>428</v>
      </c>
      <c r="AI1" s="12" t="s">
        <v>429</v>
      </c>
      <c r="AJ1" s="12" t="s">
        <v>430</v>
      </c>
      <c r="AK1" s="12" t="s">
        <v>431</v>
      </c>
      <c r="AL1" s="12" t="s">
        <v>432</v>
      </c>
      <c r="AM1" s="12" t="s">
        <v>433</v>
      </c>
      <c r="AN1" s="12" t="s">
        <v>434</v>
      </c>
      <c r="AO1" s="12" t="s">
        <v>435</v>
      </c>
      <c r="AP1" s="12" t="s">
        <v>436</v>
      </c>
      <c r="AQ1" s="12" t="s">
        <v>437</v>
      </c>
      <c r="AR1" s="12" t="s">
        <v>438</v>
      </c>
      <c r="AS1" s="12" t="s">
        <v>439</v>
      </c>
      <c r="AT1" s="12" t="s">
        <v>440</v>
      </c>
      <c r="AU1" s="12" t="s">
        <v>441</v>
      </c>
      <c r="AV1" s="12" t="s">
        <v>637</v>
      </c>
      <c r="AW1" s="12" t="s">
        <v>638</v>
      </c>
      <c r="AX1" s="12" t="s">
        <v>639</v>
      </c>
      <c r="AY1" s="12" t="s">
        <v>640</v>
      </c>
      <c r="AZ1" s="12" t="s">
        <v>641</v>
      </c>
      <c r="BA1" s="12" t="s">
        <v>642</v>
      </c>
      <c r="BB1" s="12" t="s">
        <v>643</v>
      </c>
      <c r="BC1" s="12" t="s">
        <v>644</v>
      </c>
      <c r="BD1" s="12" t="s">
        <v>645</v>
      </c>
      <c r="BE1" s="12" t="s">
        <v>646</v>
      </c>
      <c r="BF1" s="12" t="s">
        <v>647</v>
      </c>
      <c r="BG1" s="12" t="s">
        <v>648</v>
      </c>
      <c r="BH1" s="12" t="s">
        <v>649</v>
      </c>
      <c r="BI1" s="12" t="s">
        <v>650</v>
      </c>
      <c r="BJ1" s="12" t="s">
        <v>651</v>
      </c>
      <c r="BK1" s="12" t="s">
        <v>652</v>
      </c>
      <c r="BL1" s="12" t="s">
        <v>442</v>
      </c>
      <c r="BM1" s="12" t="s">
        <v>443</v>
      </c>
      <c r="BN1" s="12" t="s">
        <v>444</v>
      </c>
      <c r="BO1" s="12" t="s">
        <v>445</v>
      </c>
      <c r="BP1" s="12" t="s">
        <v>446</v>
      </c>
      <c r="BQ1" s="12" t="s">
        <v>447</v>
      </c>
      <c r="BR1" s="12" t="s">
        <v>448</v>
      </c>
      <c r="BS1" s="12" t="s">
        <v>449</v>
      </c>
      <c r="BT1" s="12" t="s">
        <v>450</v>
      </c>
      <c r="BU1" s="12" t="s">
        <v>451</v>
      </c>
      <c r="BV1" s="12" t="s">
        <v>452</v>
      </c>
    </row>
    <row r="2" spans="1:74" x14ac:dyDescent="0.25">
      <c r="A2" t="str">
        <f>TRIM('Help Desk'!D2)</f>
        <v>vn54tqf</v>
      </c>
      <c r="B2" t="str">
        <f>CONCATENATE('Help Desk'!D2,"@email.wal-mart.com")</f>
        <v>vn54tqf@email.wal-mart.com</v>
      </c>
      <c r="C2" t="str">
        <f>TRIM(CONCATENATE('Help Desk'!C2&amp;" "&amp;'Help Desk'!B2))</f>
        <v>Cristian Jose</v>
      </c>
      <c r="D2" t="str">
        <f>TRIM('Help Desk'!A2)</f>
        <v>Ramirez</v>
      </c>
      <c r="E2" t="s">
        <v>453</v>
      </c>
      <c r="I2" t="str">
        <f>'Account Creation'!AJ2</f>
        <v>Team Lead</v>
      </c>
      <c r="AL2" t="b">
        <v>1</v>
      </c>
      <c r="AU2" t="str">
        <f>'Account Creation'!AM2</f>
        <v>m0b017c</v>
      </c>
      <c r="AV2" t="str">
        <f>TEXT('Account Creation'!G2,"mm/dd/yyyy")</f>
        <v>10/17/2022</v>
      </c>
      <c r="AW2" s="1" t="str">
        <f ca="1">TEXT(TODAY(),"mm/dd/yyyy")</f>
        <v>10/12/2022</v>
      </c>
      <c r="AX2" t="s">
        <v>454</v>
      </c>
      <c r="AY2" t="str">
        <f>TRIM('Account Creation'!N2)</f>
        <v>Sucely Aldana</v>
      </c>
      <c r="AZ2" t="str">
        <f>'Account Creation'!AL2</f>
        <v>GUA</v>
      </c>
      <c r="BA2" t="str">
        <f>TRIM('Account Creation'!AK2)</f>
        <v>GTM</v>
      </c>
      <c r="BB2" t="str">
        <f>'Account Creation'!AN2</f>
        <v>Digital</v>
      </c>
      <c r="BC2" t="str">
        <f>'Account Creation'!AO2</f>
        <v>WMCOM</v>
      </c>
      <c r="BD2" t="str">
        <f>'Account Creation'!AV2</f>
        <v>Tier 1</v>
      </c>
      <c r="BE2" t="b">
        <f>'Account Creation'!AQ2</f>
        <v>0</v>
      </c>
      <c r="BF2" t="b">
        <f>'Account Creation'!AR2</f>
        <v>1</v>
      </c>
      <c r="BG2" t="b">
        <f>'Account Creation'!AS2</f>
        <v>0</v>
      </c>
      <c r="BH2" t="b">
        <f>'Account Creation'!AU2</f>
        <v>0</v>
      </c>
      <c r="BI2" t="b">
        <f>'Account Creation'!AT2</f>
        <v>0</v>
      </c>
      <c r="BJ2" t="s">
        <v>629</v>
      </c>
      <c r="BK2" t="str">
        <f>'Account Creation'!AP2</f>
        <v>24-7Intouch</v>
      </c>
    </row>
    <row r="3" spans="1:74" x14ac:dyDescent="0.25">
      <c r="A3" t="str">
        <f>TRIM('Help Desk'!D3)</f>
        <v>vn54tqh</v>
      </c>
      <c r="B3" t="str">
        <f>CONCATENATE('Help Desk'!D3,"@email.wal-mart.com")</f>
        <v>vn54tqh@email.wal-mart.com</v>
      </c>
      <c r="C3" t="str">
        <f>TRIM(CONCATENATE('Help Desk'!C3&amp;" "&amp;'Help Desk'!B3))</f>
        <v>Claudia Gabriela</v>
      </c>
      <c r="D3" t="str">
        <f>TRIM('Help Desk'!A3)</f>
        <v>Garcia</v>
      </c>
      <c r="E3" t="s">
        <v>453</v>
      </c>
      <c r="I3" t="str">
        <f>'Account Creation'!AJ3</f>
        <v>Team Lead</v>
      </c>
      <c r="AL3" t="b">
        <v>1</v>
      </c>
      <c r="AU3" t="str">
        <f>'Account Creation'!AM3</f>
        <v>m0b017c</v>
      </c>
      <c r="AV3" t="str">
        <f>TEXT('Account Creation'!G3,"mm/dd/yyyy")</f>
        <v>10/17/2022</v>
      </c>
      <c r="AW3" s="1" t="str">
        <f t="shared" ref="AW3:AW66" ca="1" si="0">TEXT(TODAY(),"mm/dd/yyyy")</f>
        <v>10/12/2022</v>
      </c>
      <c r="AX3" t="s">
        <v>454</v>
      </c>
      <c r="AY3" t="str">
        <f>TRIM('Account Creation'!N3)</f>
        <v>Sucely Aldana</v>
      </c>
      <c r="AZ3" t="str">
        <f>'Account Creation'!AL3</f>
        <v>GUA</v>
      </c>
      <c r="BA3" t="str">
        <f>TRIM('Account Creation'!AK3)</f>
        <v>GTM</v>
      </c>
      <c r="BB3" t="str">
        <f>'Account Creation'!AN3</f>
        <v>Digital</v>
      </c>
      <c r="BC3" t="str">
        <f>'Account Creation'!AO3</f>
        <v>WMCOM</v>
      </c>
      <c r="BD3" t="str">
        <f>'Account Creation'!AV3</f>
        <v>Tier 1</v>
      </c>
      <c r="BE3" t="b">
        <f>'Account Creation'!AQ3</f>
        <v>0</v>
      </c>
      <c r="BF3" t="b">
        <f>'Account Creation'!AR3</f>
        <v>1</v>
      </c>
      <c r="BG3" t="b">
        <f>'Account Creation'!AS3</f>
        <v>0</v>
      </c>
      <c r="BH3" t="b">
        <f>'Account Creation'!AU3</f>
        <v>0</v>
      </c>
      <c r="BI3" t="b">
        <f>'Account Creation'!AT3</f>
        <v>0</v>
      </c>
      <c r="BJ3" t="s">
        <v>629</v>
      </c>
      <c r="BK3" t="str">
        <f>'Account Creation'!AP3</f>
        <v>24-7Intouch</v>
      </c>
    </row>
    <row r="4" spans="1:74" x14ac:dyDescent="0.25">
      <c r="A4" t="str">
        <f>TRIM('Help Desk'!D4)</f>
        <v>vn54tqj</v>
      </c>
      <c r="B4" t="str">
        <f>CONCATENATE('Help Desk'!D4,"@email.wal-mart.com")</f>
        <v>vn54tqj@email.wal-mart.com</v>
      </c>
      <c r="C4" t="str">
        <f>TRIM(CONCATENATE('Help Desk'!C4&amp;" "&amp;'Help Desk'!B4))</f>
        <v>Luis Fernando</v>
      </c>
      <c r="D4" t="str">
        <f>TRIM('Help Desk'!A4)</f>
        <v>Hernandez</v>
      </c>
      <c r="E4" t="s">
        <v>453</v>
      </c>
      <c r="I4" t="str">
        <f>'Account Creation'!AJ4</f>
        <v>Team Lead</v>
      </c>
      <c r="AL4" t="b">
        <v>1</v>
      </c>
      <c r="AU4" t="str">
        <f>'Account Creation'!AM4</f>
        <v>m0b017c</v>
      </c>
      <c r="AV4" t="str">
        <f>TEXT('Account Creation'!G4,"mm/dd/yyyy")</f>
        <v>10/17/2022</v>
      </c>
      <c r="AW4" s="1" t="str">
        <f t="shared" ca="1" si="0"/>
        <v>10/12/2022</v>
      </c>
      <c r="AX4" t="s">
        <v>454</v>
      </c>
      <c r="AY4" t="str">
        <f>TRIM('Account Creation'!N4)</f>
        <v>Sucely Aldana</v>
      </c>
      <c r="AZ4" t="str">
        <f>'Account Creation'!AL4</f>
        <v>GUA</v>
      </c>
      <c r="BA4" t="str">
        <f>TRIM('Account Creation'!AK4)</f>
        <v>GTM</v>
      </c>
      <c r="BB4" t="str">
        <f>'Account Creation'!AN4</f>
        <v>Digital</v>
      </c>
      <c r="BC4" t="str">
        <f>'Account Creation'!AO4</f>
        <v>WMCOM</v>
      </c>
      <c r="BD4" t="str">
        <f>'Account Creation'!AV4</f>
        <v>Tier 1</v>
      </c>
      <c r="BE4" t="b">
        <f>'Account Creation'!AQ4</f>
        <v>0</v>
      </c>
      <c r="BF4" t="b">
        <f>'Account Creation'!AR4</f>
        <v>1</v>
      </c>
      <c r="BG4" t="b">
        <f>'Account Creation'!AS4</f>
        <v>0</v>
      </c>
      <c r="BH4" t="b">
        <f>'Account Creation'!AU4</f>
        <v>0</v>
      </c>
      <c r="BI4" t="b">
        <f>'Account Creation'!AT4</f>
        <v>0</v>
      </c>
      <c r="BJ4" t="s">
        <v>629</v>
      </c>
      <c r="BK4" t="str">
        <f>'Account Creation'!AP4</f>
        <v>24-7Intouch</v>
      </c>
    </row>
    <row r="5" spans="1:74" x14ac:dyDescent="0.25">
      <c r="A5" t="str">
        <f>TRIM('Help Desk'!D5)</f>
        <v>vn54tql</v>
      </c>
      <c r="B5" t="str">
        <f>CONCATENATE('Help Desk'!D5,"@email.wal-mart.com")</f>
        <v>vn54tql@email.wal-mart.com</v>
      </c>
      <c r="C5" t="str">
        <f>TRIM(CONCATENATE('Help Desk'!C5&amp;" "&amp;'Help Desk'!B5))</f>
        <v>Sofia Bernice</v>
      </c>
      <c r="D5" t="str">
        <f>TRIM('Help Desk'!A5)</f>
        <v>Marroquin</v>
      </c>
      <c r="E5" t="s">
        <v>453</v>
      </c>
      <c r="I5" t="str">
        <f>'Account Creation'!AJ5</f>
        <v>Team Lead</v>
      </c>
      <c r="AL5" t="b">
        <v>1</v>
      </c>
      <c r="AU5" t="str">
        <f>'Account Creation'!AM5</f>
        <v>m0b017c</v>
      </c>
      <c r="AV5" t="str">
        <f>TEXT('Account Creation'!G5,"mm/dd/yyyy")</f>
        <v>10/17/2022</v>
      </c>
      <c r="AW5" s="1" t="str">
        <f t="shared" ca="1" si="0"/>
        <v>10/12/2022</v>
      </c>
      <c r="AX5" t="s">
        <v>454</v>
      </c>
      <c r="AY5" t="str">
        <f>TRIM('Account Creation'!N5)</f>
        <v>Sucely Aldana</v>
      </c>
      <c r="AZ5" t="str">
        <f>'Account Creation'!AL5</f>
        <v>GUA</v>
      </c>
      <c r="BA5" t="str">
        <f>TRIM('Account Creation'!AK5)</f>
        <v>GTM</v>
      </c>
      <c r="BB5" t="str">
        <f>'Account Creation'!AN5</f>
        <v>Digital</v>
      </c>
      <c r="BC5" t="str">
        <f>'Account Creation'!AO5</f>
        <v>WMCOM</v>
      </c>
      <c r="BD5" t="str">
        <f>'Account Creation'!AV5</f>
        <v>Tier 1</v>
      </c>
      <c r="BE5" t="b">
        <f>'Account Creation'!AQ5</f>
        <v>0</v>
      </c>
      <c r="BF5" t="b">
        <f>'Account Creation'!AR5</f>
        <v>1</v>
      </c>
      <c r="BG5" t="b">
        <f>'Account Creation'!AS5</f>
        <v>0</v>
      </c>
      <c r="BH5" t="b">
        <f>'Account Creation'!AU5</f>
        <v>0</v>
      </c>
      <c r="BI5" t="b">
        <f>'Account Creation'!AT5</f>
        <v>0</v>
      </c>
      <c r="BJ5" t="s">
        <v>629</v>
      </c>
      <c r="BK5" t="str">
        <f>'Account Creation'!AP5</f>
        <v>24-7Intouch</v>
      </c>
    </row>
    <row r="6" spans="1:74" x14ac:dyDescent="0.25">
      <c r="A6" t="str">
        <f>TRIM('Help Desk'!D6)</f>
        <v>vn54tqn</v>
      </c>
      <c r="B6" t="str">
        <f>CONCATENATE('Help Desk'!D6,"@email.wal-mart.com")</f>
        <v>vn54tqn@email.wal-mart.com</v>
      </c>
      <c r="C6" t="str">
        <f>TRIM(CONCATENATE('Help Desk'!C6&amp;" "&amp;'Help Desk'!B6))</f>
        <v>Guillermo Benjamin</v>
      </c>
      <c r="D6" t="str">
        <f>TRIM('Help Desk'!A6)</f>
        <v>Zamora</v>
      </c>
      <c r="E6" t="s">
        <v>453</v>
      </c>
      <c r="I6" t="str">
        <f>'Account Creation'!AJ6</f>
        <v>Team Lead</v>
      </c>
      <c r="AL6" t="b">
        <v>1</v>
      </c>
      <c r="AU6" t="str">
        <f>'Account Creation'!AM6</f>
        <v>m0b017c</v>
      </c>
      <c r="AV6" t="str">
        <f>TEXT('Account Creation'!G6,"mm/dd/yyyy")</f>
        <v>10/17/2022</v>
      </c>
      <c r="AW6" s="1" t="str">
        <f t="shared" ca="1" si="0"/>
        <v>10/12/2022</v>
      </c>
      <c r="AX6" t="s">
        <v>454</v>
      </c>
      <c r="AY6" t="str">
        <f>TRIM('Account Creation'!N6)</f>
        <v>Sucely Aldana</v>
      </c>
      <c r="AZ6" t="str">
        <f>'Account Creation'!AL6</f>
        <v>GUA</v>
      </c>
      <c r="BA6" t="str">
        <f>TRIM('Account Creation'!AK6)</f>
        <v>GTM</v>
      </c>
      <c r="BB6" t="str">
        <f>'Account Creation'!AN6</f>
        <v>Digital</v>
      </c>
      <c r="BC6" t="str">
        <f>'Account Creation'!AO6</f>
        <v>WMCOM</v>
      </c>
      <c r="BD6" t="str">
        <f>'Account Creation'!AV6</f>
        <v>Tier 1</v>
      </c>
      <c r="BE6" t="b">
        <f>'Account Creation'!AQ6</f>
        <v>0</v>
      </c>
      <c r="BF6" t="b">
        <f>'Account Creation'!AR6</f>
        <v>1</v>
      </c>
      <c r="BG6" t="b">
        <f>'Account Creation'!AS6</f>
        <v>0</v>
      </c>
      <c r="BH6" t="b">
        <f>'Account Creation'!AU6</f>
        <v>0</v>
      </c>
      <c r="BI6" t="b">
        <f>'Account Creation'!AT6</f>
        <v>0</v>
      </c>
      <c r="BJ6" t="s">
        <v>629</v>
      </c>
      <c r="BK6" t="str">
        <f>'Account Creation'!AP6</f>
        <v>24-7Intouch</v>
      </c>
    </row>
    <row r="7" spans="1:74" x14ac:dyDescent="0.25">
      <c r="A7" t="str">
        <f>TRIM('Help Desk'!D7)</f>
        <v>vn54tqo</v>
      </c>
      <c r="B7" t="str">
        <f>CONCATENATE('Help Desk'!D7,"@email.wal-mart.com")</f>
        <v>vn54tqo@email.wal-mart.com</v>
      </c>
      <c r="C7" t="str">
        <f>TRIM(CONCATENATE('Help Desk'!C7&amp;" "&amp;'Help Desk'!B7))</f>
        <v>Katherine Gabriela</v>
      </c>
      <c r="D7" t="str">
        <f>TRIM('Help Desk'!A7)</f>
        <v>Santizo</v>
      </c>
      <c r="E7" t="s">
        <v>453</v>
      </c>
      <c r="I7" t="str">
        <f>'Account Creation'!AJ7</f>
        <v>Team Lead</v>
      </c>
      <c r="AL7" t="b">
        <v>1</v>
      </c>
      <c r="AU7" t="str">
        <f>'Account Creation'!AM7</f>
        <v>m0b017c</v>
      </c>
      <c r="AV7" t="str">
        <f>TEXT('Account Creation'!G7,"mm/dd/yyyy")</f>
        <v>10/17/2022</v>
      </c>
      <c r="AW7" s="1" t="str">
        <f t="shared" ca="1" si="0"/>
        <v>10/12/2022</v>
      </c>
      <c r="AX7" t="s">
        <v>454</v>
      </c>
      <c r="AY7" t="str">
        <f>TRIM('Account Creation'!N7)</f>
        <v>Sucely Aldana</v>
      </c>
      <c r="AZ7" t="str">
        <f>'Account Creation'!AL7</f>
        <v>GUA</v>
      </c>
      <c r="BA7" t="str">
        <f>TRIM('Account Creation'!AK7)</f>
        <v>GTM</v>
      </c>
      <c r="BB7" t="str">
        <f>'Account Creation'!AN7</f>
        <v>Digital</v>
      </c>
      <c r="BC7" t="str">
        <f>'Account Creation'!AO7</f>
        <v>WMCOM</v>
      </c>
      <c r="BD7" t="str">
        <f>'Account Creation'!AV7</f>
        <v>Tier 1</v>
      </c>
      <c r="BE7" t="b">
        <f>'Account Creation'!AQ7</f>
        <v>0</v>
      </c>
      <c r="BF7" t="b">
        <f>'Account Creation'!AR7</f>
        <v>1</v>
      </c>
      <c r="BG7" t="b">
        <f>'Account Creation'!AS7</f>
        <v>0</v>
      </c>
      <c r="BH7" t="b">
        <f>'Account Creation'!AU7</f>
        <v>0</v>
      </c>
      <c r="BI7" t="b">
        <f>'Account Creation'!AT7</f>
        <v>0</v>
      </c>
      <c r="BJ7" t="s">
        <v>629</v>
      </c>
      <c r="BK7" t="str">
        <f>'Account Creation'!AP7</f>
        <v>24-7Intouch</v>
      </c>
    </row>
    <row r="8" spans="1:74" x14ac:dyDescent="0.25">
      <c r="A8" t="str">
        <f>TRIM('Help Desk'!D8)</f>
        <v>vn54tqq</v>
      </c>
      <c r="B8" t="str">
        <f>CONCATENATE('Help Desk'!D8,"@email.wal-mart.com")</f>
        <v>vn54tqq@email.wal-mart.com</v>
      </c>
      <c r="C8" t="str">
        <f>TRIM(CONCATENATE('Help Desk'!C8&amp;" "&amp;'Help Desk'!B8))</f>
        <v>Josue David</v>
      </c>
      <c r="D8" t="str">
        <f>TRIM('Help Desk'!A8)</f>
        <v>Manrique</v>
      </c>
      <c r="E8" t="s">
        <v>453</v>
      </c>
      <c r="I8" t="str">
        <f>'Account Creation'!AJ8</f>
        <v>Team Lead</v>
      </c>
      <c r="AL8" t="b">
        <v>1</v>
      </c>
      <c r="AU8" t="str">
        <f>'Account Creation'!AM8</f>
        <v>m0b017c</v>
      </c>
      <c r="AV8" t="str">
        <f>TEXT('Account Creation'!G8,"mm/dd/yyyy")</f>
        <v>10/17/2022</v>
      </c>
      <c r="AW8" s="1" t="str">
        <f t="shared" ca="1" si="0"/>
        <v>10/12/2022</v>
      </c>
      <c r="AX8" t="s">
        <v>454</v>
      </c>
      <c r="AY8" t="str">
        <f>TRIM('Account Creation'!N8)</f>
        <v>Sucely Aldana</v>
      </c>
      <c r="AZ8" t="str">
        <f>'Account Creation'!AL8</f>
        <v>GUA</v>
      </c>
      <c r="BA8" t="str">
        <f>TRIM('Account Creation'!AK8)</f>
        <v>GTM</v>
      </c>
      <c r="BB8" t="str">
        <f>'Account Creation'!AN8</f>
        <v>Digital</v>
      </c>
      <c r="BC8" t="str">
        <f>'Account Creation'!AO8</f>
        <v>WMCOM</v>
      </c>
      <c r="BD8" t="str">
        <f>'Account Creation'!AV8</f>
        <v>Tier 1</v>
      </c>
      <c r="BE8" t="b">
        <f>'Account Creation'!AQ8</f>
        <v>0</v>
      </c>
      <c r="BF8" t="b">
        <f>'Account Creation'!AR8</f>
        <v>1</v>
      </c>
      <c r="BG8" t="b">
        <f>'Account Creation'!AS8</f>
        <v>0</v>
      </c>
      <c r="BH8" t="b">
        <f>'Account Creation'!AU8</f>
        <v>0</v>
      </c>
      <c r="BI8" t="b">
        <f>'Account Creation'!AT8</f>
        <v>0</v>
      </c>
      <c r="BJ8" t="s">
        <v>629</v>
      </c>
      <c r="BK8" t="str">
        <f>'Account Creation'!AP8</f>
        <v>24-7Intouch</v>
      </c>
    </row>
    <row r="9" spans="1:74" x14ac:dyDescent="0.25">
      <c r="A9" t="str">
        <f>TRIM('Help Desk'!D9)</f>
        <v>vn54tqs</v>
      </c>
      <c r="B9" t="str">
        <f>CONCATENATE('Help Desk'!D9,"@email.wal-mart.com")</f>
        <v>vn54tqs@email.wal-mart.com</v>
      </c>
      <c r="C9" t="str">
        <f>TRIM(CONCATENATE('Help Desk'!C9&amp;" "&amp;'Help Desk'!B9))</f>
        <v>Kristtel Carolina</v>
      </c>
      <c r="D9" t="str">
        <f>TRIM('Help Desk'!A9)</f>
        <v>Hernandez</v>
      </c>
      <c r="E9" t="s">
        <v>453</v>
      </c>
      <c r="I9" t="str">
        <f>'Account Creation'!AJ9</f>
        <v>Team Lead</v>
      </c>
      <c r="AL9" t="b">
        <v>1</v>
      </c>
      <c r="AU9" t="str">
        <f>'Account Creation'!AM9</f>
        <v>m0b017c</v>
      </c>
      <c r="AV9" t="str">
        <f>TEXT('Account Creation'!G9,"mm/dd/yyyy")</f>
        <v>10/17/2022</v>
      </c>
      <c r="AW9" s="1" t="str">
        <f t="shared" ca="1" si="0"/>
        <v>10/12/2022</v>
      </c>
      <c r="AX9" t="s">
        <v>454</v>
      </c>
      <c r="AY9" t="str">
        <f>TRIM('Account Creation'!N9)</f>
        <v>Sucely Aldana</v>
      </c>
      <c r="AZ9" t="str">
        <f>'Account Creation'!AL9</f>
        <v>GUA</v>
      </c>
      <c r="BA9" t="str">
        <f>TRIM('Account Creation'!AK9)</f>
        <v>GTM</v>
      </c>
      <c r="BB9" t="str">
        <f>'Account Creation'!AN9</f>
        <v>Digital</v>
      </c>
      <c r="BC9" t="str">
        <f>'Account Creation'!AO9</f>
        <v>WMCOM</v>
      </c>
      <c r="BD9" t="str">
        <f>'Account Creation'!AV9</f>
        <v>Tier 1</v>
      </c>
      <c r="BE9" t="b">
        <f>'Account Creation'!AQ9</f>
        <v>0</v>
      </c>
      <c r="BF9" t="b">
        <f>'Account Creation'!AR9</f>
        <v>1</v>
      </c>
      <c r="BG9" t="b">
        <f>'Account Creation'!AS9</f>
        <v>0</v>
      </c>
      <c r="BH9" t="b">
        <f>'Account Creation'!AU9</f>
        <v>0</v>
      </c>
      <c r="BI9" t="b">
        <f>'Account Creation'!AT9</f>
        <v>0</v>
      </c>
      <c r="BJ9" t="s">
        <v>629</v>
      </c>
      <c r="BK9" t="str">
        <f>'Account Creation'!AP9</f>
        <v>24-7Intouch</v>
      </c>
    </row>
    <row r="10" spans="1:74" x14ac:dyDescent="0.25">
      <c r="A10" t="str">
        <f>TRIM('Help Desk'!D10)</f>
        <v>vn54tqu</v>
      </c>
      <c r="B10" t="str">
        <f>CONCATENATE('Help Desk'!D10,"@email.wal-mart.com")</f>
        <v>vn54tqu@email.wal-mart.com</v>
      </c>
      <c r="C10" t="str">
        <f>TRIM(CONCATENATE('Help Desk'!C10&amp;" "&amp;'Help Desk'!B10))</f>
        <v>Juan Pablo</v>
      </c>
      <c r="D10" t="str">
        <f>TRIM('Help Desk'!A10)</f>
        <v>Flores</v>
      </c>
      <c r="E10" t="s">
        <v>453</v>
      </c>
      <c r="I10" t="str">
        <f>'Account Creation'!AJ10</f>
        <v>Team Lead</v>
      </c>
      <c r="AL10" t="b">
        <v>1</v>
      </c>
      <c r="AU10" t="str">
        <f>'Account Creation'!AM10</f>
        <v>m0b017c</v>
      </c>
      <c r="AV10" t="str">
        <f>TEXT('Account Creation'!G10,"mm/dd/yyyy")</f>
        <v>10/17/2022</v>
      </c>
      <c r="AW10" s="1" t="str">
        <f t="shared" ca="1" si="0"/>
        <v>10/12/2022</v>
      </c>
      <c r="AX10" t="s">
        <v>454</v>
      </c>
      <c r="AY10" t="str">
        <f>TRIM('Account Creation'!N10)</f>
        <v>Sucely Aldana</v>
      </c>
      <c r="AZ10" t="str">
        <f>'Account Creation'!AL10</f>
        <v>GUA</v>
      </c>
      <c r="BA10" t="str">
        <f>TRIM('Account Creation'!AK10)</f>
        <v>GTM</v>
      </c>
      <c r="BB10" t="str">
        <f>'Account Creation'!AN10</f>
        <v>Digital</v>
      </c>
      <c r="BC10" t="str">
        <f>'Account Creation'!AO10</f>
        <v>WMCOM</v>
      </c>
      <c r="BD10" t="str">
        <f>'Account Creation'!AV10</f>
        <v>Tier 1</v>
      </c>
      <c r="BE10" t="b">
        <f>'Account Creation'!AQ10</f>
        <v>0</v>
      </c>
      <c r="BF10" t="b">
        <f>'Account Creation'!AR10</f>
        <v>1</v>
      </c>
      <c r="BG10" t="b">
        <f>'Account Creation'!AS10</f>
        <v>0</v>
      </c>
      <c r="BH10" t="b">
        <f>'Account Creation'!AU10</f>
        <v>0</v>
      </c>
      <c r="BI10" t="b">
        <f>'Account Creation'!AT10</f>
        <v>0</v>
      </c>
      <c r="BJ10" t="s">
        <v>629</v>
      </c>
      <c r="BK10" t="str">
        <f>'Account Creation'!AP10</f>
        <v>24-7Intouch</v>
      </c>
    </row>
    <row r="11" spans="1:74" x14ac:dyDescent="0.25">
      <c r="A11" t="str">
        <f>TRIM('Help Desk'!D11)</f>
        <v>vn54tqw</v>
      </c>
      <c r="B11" t="str">
        <f>CONCATENATE('Help Desk'!D11,"@email.wal-mart.com")</f>
        <v>vn54tqw@email.wal-mart.com</v>
      </c>
      <c r="C11" t="str">
        <f>TRIM(CONCATENATE('Help Desk'!C11&amp;" "&amp;'Help Desk'!B11))</f>
        <v>Gabriel Adolfo</v>
      </c>
      <c r="D11" t="str">
        <f>TRIM('Help Desk'!A11)</f>
        <v>Morales</v>
      </c>
      <c r="E11" t="s">
        <v>453</v>
      </c>
      <c r="I11" t="str">
        <f>'Account Creation'!AJ11</f>
        <v>Team Lead</v>
      </c>
      <c r="AL11" t="b">
        <v>1</v>
      </c>
      <c r="AU11" t="str">
        <f>'Account Creation'!AM11</f>
        <v>m0b017c</v>
      </c>
      <c r="AV11" t="str">
        <f>TEXT('Account Creation'!G11,"mm/dd/yyyy")</f>
        <v>10/17/2022</v>
      </c>
      <c r="AW11" s="1" t="str">
        <f t="shared" ca="1" si="0"/>
        <v>10/12/2022</v>
      </c>
      <c r="AX11" t="s">
        <v>454</v>
      </c>
      <c r="AY11" t="str">
        <f>TRIM('Account Creation'!N11)</f>
        <v>Sucely Aldana</v>
      </c>
      <c r="AZ11" t="str">
        <f>'Account Creation'!AL11</f>
        <v>GUA</v>
      </c>
      <c r="BA11" t="str">
        <f>TRIM('Account Creation'!AK11)</f>
        <v>GTM</v>
      </c>
      <c r="BB11" t="str">
        <f>'Account Creation'!AN11</f>
        <v>Digital</v>
      </c>
      <c r="BC11" t="str">
        <f>'Account Creation'!AO11</f>
        <v>WMCOM</v>
      </c>
      <c r="BD11" t="str">
        <f>'Account Creation'!AV11</f>
        <v>Tier 1</v>
      </c>
      <c r="BE11" t="b">
        <f>'Account Creation'!AQ11</f>
        <v>0</v>
      </c>
      <c r="BF11" t="b">
        <f>'Account Creation'!AR11</f>
        <v>1</v>
      </c>
      <c r="BG11" t="b">
        <f>'Account Creation'!AS11</f>
        <v>0</v>
      </c>
      <c r="BH11" t="b">
        <f>'Account Creation'!AU11</f>
        <v>0</v>
      </c>
      <c r="BI11" t="b">
        <f>'Account Creation'!AT11</f>
        <v>0</v>
      </c>
      <c r="BJ11" t="s">
        <v>629</v>
      </c>
      <c r="BK11" t="str">
        <f>'Account Creation'!AP11</f>
        <v>24-7Intouch</v>
      </c>
    </row>
    <row r="12" spans="1:74" x14ac:dyDescent="0.25">
      <c r="A12" t="str">
        <f>TRIM('Help Desk'!D12)</f>
        <v>vn54tqy</v>
      </c>
      <c r="B12" t="str">
        <f>CONCATENATE('Help Desk'!D12,"@email.wal-mart.com")</f>
        <v>vn54tqy@email.wal-mart.com</v>
      </c>
      <c r="C12" t="str">
        <f>TRIM(CONCATENATE('Help Desk'!C12&amp;" "&amp;'Help Desk'!B12))</f>
        <v>Mercedez Isabel</v>
      </c>
      <c r="D12" t="str">
        <f>TRIM('Help Desk'!A12)</f>
        <v>De Leon</v>
      </c>
      <c r="E12" t="s">
        <v>453</v>
      </c>
      <c r="I12" t="str">
        <f>'Account Creation'!AJ12</f>
        <v>Team Lead</v>
      </c>
      <c r="AL12" t="b">
        <v>1</v>
      </c>
      <c r="AU12" t="str">
        <f>'Account Creation'!AM12</f>
        <v>m0b017c</v>
      </c>
      <c r="AV12" t="str">
        <f>TEXT('Account Creation'!G12,"mm/dd/yyyy")</f>
        <v>10/17/2022</v>
      </c>
      <c r="AW12" s="1" t="str">
        <f t="shared" ca="1" si="0"/>
        <v>10/12/2022</v>
      </c>
      <c r="AX12" t="s">
        <v>454</v>
      </c>
      <c r="AY12" t="str">
        <f>TRIM('Account Creation'!N12)</f>
        <v>Sucely Aldana</v>
      </c>
      <c r="AZ12" t="str">
        <f>'Account Creation'!AL12</f>
        <v>GUA</v>
      </c>
      <c r="BA12" t="str">
        <f>TRIM('Account Creation'!AK12)</f>
        <v>GTM</v>
      </c>
      <c r="BB12" t="str">
        <f>'Account Creation'!AN12</f>
        <v>Digital</v>
      </c>
      <c r="BC12" t="str">
        <f>'Account Creation'!AO12</f>
        <v>WMCOM</v>
      </c>
      <c r="BD12" t="str">
        <f>'Account Creation'!AV12</f>
        <v>Tier 1</v>
      </c>
      <c r="BE12" t="b">
        <f>'Account Creation'!AQ12</f>
        <v>0</v>
      </c>
      <c r="BF12" t="b">
        <f>'Account Creation'!AR12</f>
        <v>1</v>
      </c>
      <c r="BG12" t="b">
        <f>'Account Creation'!AS12</f>
        <v>0</v>
      </c>
      <c r="BH12" t="b">
        <f>'Account Creation'!AU12</f>
        <v>0</v>
      </c>
      <c r="BI12" t="b">
        <f>'Account Creation'!AT12</f>
        <v>0</v>
      </c>
      <c r="BJ12" t="s">
        <v>629</v>
      </c>
      <c r="BK12" t="str">
        <f>'Account Creation'!AP12</f>
        <v>24-7Intouch</v>
      </c>
    </row>
    <row r="13" spans="1:74" x14ac:dyDescent="0.25">
      <c r="A13" t="str">
        <f>TRIM('Help Desk'!D13)</f>
        <v>vn54tr0</v>
      </c>
      <c r="B13" t="str">
        <f>CONCATENATE('Help Desk'!D13,"@email.wal-mart.com")</f>
        <v>vn54tr0@email.wal-mart.com</v>
      </c>
      <c r="C13" t="str">
        <f>TRIM(CONCATENATE('Help Desk'!C13&amp;" "&amp;'Help Desk'!B13))</f>
        <v>Eduardo Andres</v>
      </c>
      <c r="D13" t="str">
        <f>TRIM('Help Desk'!A13)</f>
        <v>Prera</v>
      </c>
      <c r="E13" t="s">
        <v>453</v>
      </c>
      <c r="I13" t="str">
        <f>'Account Creation'!AJ13</f>
        <v>Team Lead</v>
      </c>
      <c r="AL13" t="b">
        <v>1</v>
      </c>
      <c r="AU13" t="str">
        <f>'Account Creation'!AM13</f>
        <v>m0b017c</v>
      </c>
      <c r="AV13" t="str">
        <f>TEXT('Account Creation'!G13,"mm/dd/yyyy")</f>
        <v>10/17/2022</v>
      </c>
      <c r="AW13" s="1" t="str">
        <f t="shared" ca="1" si="0"/>
        <v>10/12/2022</v>
      </c>
      <c r="AX13" t="s">
        <v>454</v>
      </c>
      <c r="AY13" t="str">
        <f>TRIM('Account Creation'!N13)</f>
        <v>Sucely Aldana</v>
      </c>
      <c r="AZ13" t="str">
        <f>'Account Creation'!AL13</f>
        <v>GUA</v>
      </c>
      <c r="BA13" t="str">
        <f>TRIM('Account Creation'!AK13)</f>
        <v>GTM</v>
      </c>
      <c r="BB13" t="str">
        <f>'Account Creation'!AN13</f>
        <v>Digital</v>
      </c>
      <c r="BC13" t="str">
        <f>'Account Creation'!AO13</f>
        <v>WMCOM</v>
      </c>
      <c r="BD13" t="str">
        <f>'Account Creation'!AV13</f>
        <v>Tier 1</v>
      </c>
      <c r="BE13" t="b">
        <f>'Account Creation'!AQ13</f>
        <v>0</v>
      </c>
      <c r="BF13" t="b">
        <f>'Account Creation'!AR13</f>
        <v>1</v>
      </c>
      <c r="BG13" t="b">
        <f>'Account Creation'!AS13</f>
        <v>0</v>
      </c>
      <c r="BH13" t="b">
        <f>'Account Creation'!AU13</f>
        <v>0</v>
      </c>
      <c r="BI13" t="b">
        <f>'Account Creation'!AT13</f>
        <v>0</v>
      </c>
      <c r="BJ13" t="s">
        <v>629</v>
      </c>
      <c r="BK13" t="str">
        <f>'Account Creation'!AP13</f>
        <v>24-7Intouch</v>
      </c>
    </row>
    <row r="14" spans="1:74" x14ac:dyDescent="0.25">
      <c r="A14" t="str">
        <f>TRIM('Help Desk'!D14)</f>
        <v>vn54tr2</v>
      </c>
      <c r="B14" t="str">
        <f>CONCATENATE('Help Desk'!D14,"@email.wal-mart.com")</f>
        <v>vn54tr2@email.wal-mart.com</v>
      </c>
      <c r="C14" t="str">
        <f>TRIM(CONCATENATE('Help Desk'!C14&amp;" "&amp;'Help Desk'!B14))</f>
        <v>Madelin Johana</v>
      </c>
      <c r="D14" t="str">
        <f>TRIM('Help Desk'!A14)</f>
        <v>Abal</v>
      </c>
      <c r="E14" t="s">
        <v>453</v>
      </c>
      <c r="I14" t="str">
        <f>'Account Creation'!AJ14</f>
        <v>Team Lead</v>
      </c>
      <c r="AL14" t="b">
        <v>1</v>
      </c>
      <c r="AU14" t="str">
        <f>'Account Creation'!AM14</f>
        <v>m0b017c</v>
      </c>
      <c r="AV14" t="str">
        <f>TEXT('Account Creation'!G14,"mm/dd/yyyy")</f>
        <v>10/17/2022</v>
      </c>
      <c r="AW14" s="1" t="str">
        <f t="shared" ca="1" si="0"/>
        <v>10/12/2022</v>
      </c>
      <c r="AX14" t="s">
        <v>454</v>
      </c>
      <c r="AY14" t="str">
        <f>TRIM('Account Creation'!N14)</f>
        <v>Sucely Aldana</v>
      </c>
      <c r="AZ14" t="str">
        <f>'Account Creation'!AL14</f>
        <v>GUA</v>
      </c>
      <c r="BA14" t="str">
        <f>TRIM('Account Creation'!AK14)</f>
        <v>GTM</v>
      </c>
      <c r="BB14" t="str">
        <f>'Account Creation'!AN14</f>
        <v>Digital</v>
      </c>
      <c r="BC14" t="str">
        <f>'Account Creation'!AO14</f>
        <v>WMCOM</v>
      </c>
      <c r="BD14" t="str">
        <f>'Account Creation'!AV14</f>
        <v>Tier 1</v>
      </c>
      <c r="BE14" t="b">
        <f>'Account Creation'!AQ14</f>
        <v>0</v>
      </c>
      <c r="BF14" t="b">
        <f>'Account Creation'!AR14</f>
        <v>1</v>
      </c>
      <c r="BG14" t="b">
        <f>'Account Creation'!AS14</f>
        <v>0</v>
      </c>
      <c r="BH14" t="b">
        <f>'Account Creation'!AU14</f>
        <v>0</v>
      </c>
      <c r="BI14" t="b">
        <f>'Account Creation'!AT14</f>
        <v>0</v>
      </c>
      <c r="BJ14" t="s">
        <v>629</v>
      </c>
      <c r="BK14" t="str">
        <f>'Account Creation'!AP14</f>
        <v>24-7Intouch</v>
      </c>
    </row>
    <row r="15" spans="1:74" x14ac:dyDescent="0.25">
      <c r="A15" t="str">
        <f>TRIM('Help Desk'!D15)</f>
        <v>vn54tr4</v>
      </c>
      <c r="B15" t="str">
        <f>CONCATENATE('Help Desk'!D15,"@email.wal-mart.com")</f>
        <v>vn54tr4@email.wal-mart.com</v>
      </c>
      <c r="C15" t="str">
        <f>TRIM(CONCATENATE('Help Desk'!C15&amp;" "&amp;'Help Desk'!B15))</f>
        <v>Dyana Priscila</v>
      </c>
      <c r="D15" t="str">
        <f>TRIM('Help Desk'!A15)</f>
        <v>Calicio</v>
      </c>
      <c r="E15" t="s">
        <v>453</v>
      </c>
      <c r="I15" t="str">
        <f>'Account Creation'!AJ15</f>
        <v>Team Lead</v>
      </c>
      <c r="AL15" t="b">
        <v>1</v>
      </c>
      <c r="AU15" t="str">
        <f>'Account Creation'!AM15</f>
        <v>m0b017c</v>
      </c>
      <c r="AV15" t="str">
        <f>TEXT('Account Creation'!G15,"mm/dd/yyyy")</f>
        <v>10/17/2022</v>
      </c>
      <c r="AW15" s="1" t="str">
        <f t="shared" ca="1" si="0"/>
        <v>10/12/2022</v>
      </c>
      <c r="AX15" t="s">
        <v>454</v>
      </c>
      <c r="AY15" t="str">
        <f>TRIM('Account Creation'!N15)</f>
        <v>Sucely Aldana</v>
      </c>
      <c r="AZ15" t="str">
        <f>'Account Creation'!AL15</f>
        <v>GUA</v>
      </c>
      <c r="BA15" t="str">
        <f>TRIM('Account Creation'!AK15)</f>
        <v>GTM</v>
      </c>
      <c r="BB15" t="str">
        <f>'Account Creation'!AN15</f>
        <v>Digital</v>
      </c>
      <c r="BC15" t="str">
        <f>'Account Creation'!AO15</f>
        <v>WMCOM</v>
      </c>
      <c r="BD15" t="str">
        <f>'Account Creation'!AV15</f>
        <v>Tier 1</v>
      </c>
      <c r="BE15" t="b">
        <f>'Account Creation'!AQ15</f>
        <v>0</v>
      </c>
      <c r="BF15" t="b">
        <f>'Account Creation'!AR15</f>
        <v>1</v>
      </c>
      <c r="BG15" t="b">
        <f>'Account Creation'!AS15</f>
        <v>0</v>
      </c>
      <c r="BH15" t="b">
        <f>'Account Creation'!AU15</f>
        <v>0</v>
      </c>
      <c r="BI15" t="b">
        <f>'Account Creation'!AT15</f>
        <v>0</v>
      </c>
      <c r="BJ15" t="s">
        <v>629</v>
      </c>
      <c r="BK15" t="str">
        <f>'Account Creation'!AP15</f>
        <v>24-7Intouch</v>
      </c>
    </row>
    <row r="16" spans="1:74" x14ac:dyDescent="0.25">
      <c r="A16" t="str">
        <f>TRIM('Help Desk'!D16)</f>
        <v>vn54tr6</v>
      </c>
      <c r="B16" t="str">
        <f>CONCATENATE('Help Desk'!D16,"@email.wal-mart.com")</f>
        <v>vn54tr6@email.wal-mart.com</v>
      </c>
      <c r="C16" t="str">
        <f>TRIM(CONCATENATE('Help Desk'!C16&amp;" "&amp;'Help Desk'!B16))</f>
        <v>Sandra Virginia</v>
      </c>
      <c r="D16" t="str">
        <f>TRIM('Help Desk'!A16)</f>
        <v>Arango</v>
      </c>
      <c r="E16" t="s">
        <v>453</v>
      </c>
      <c r="I16" t="str">
        <f>'Account Creation'!AJ16</f>
        <v>Team Lead</v>
      </c>
      <c r="AL16" t="b">
        <v>1</v>
      </c>
      <c r="AU16" t="str">
        <f>'Account Creation'!AM16</f>
        <v>m0b017c</v>
      </c>
      <c r="AV16" t="str">
        <f>TEXT('Account Creation'!G16,"mm/dd/yyyy")</f>
        <v>10/17/2022</v>
      </c>
      <c r="AW16" s="1" t="str">
        <f t="shared" ca="1" si="0"/>
        <v>10/12/2022</v>
      </c>
      <c r="AX16" t="s">
        <v>454</v>
      </c>
      <c r="AY16" t="str">
        <f>TRIM('Account Creation'!N16)</f>
        <v>Sucely Aldana</v>
      </c>
      <c r="AZ16" t="str">
        <f>'Account Creation'!AL16</f>
        <v>GUA</v>
      </c>
      <c r="BA16" t="str">
        <f>TRIM('Account Creation'!AK16)</f>
        <v>GTM</v>
      </c>
      <c r="BB16" t="str">
        <f>'Account Creation'!AN16</f>
        <v>Digital</v>
      </c>
      <c r="BC16" t="str">
        <f>'Account Creation'!AO16</f>
        <v>WMCOM</v>
      </c>
      <c r="BD16" t="str">
        <f>'Account Creation'!AV16</f>
        <v>Tier 1</v>
      </c>
      <c r="BE16" t="b">
        <f>'Account Creation'!AQ16</f>
        <v>0</v>
      </c>
      <c r="BF16" t="b">
        <f>'Account Creation'!AR16</f>
        <v>1</v>
      </c>
      <c r="BG16" t="b">
        <f>'Account Creation'!AS16</f>
        <v>0</v>
      </c>
      <c r="BH16" t="b">
        <f>'Account Creation'!AU16</f>
        <v>0</v>
      </c>
      <c r="BI16" t="b">
        <f>'Account Creation'!AT16</f>
        <v>0</v>
      </c>
      <c r="BJ16" t="s">
        <v>629</v>
      </c>
      <c r="BK16" t="str">
        <f>'Account Creation'!AP16</f>
        <v>24-7Intouch</v>
      </c>
    </row>
    <row r="17" spans="49:49" x14ac:dyDescent="0.25">
      <c r="AW17" s="1"/>
    </row>
    <row r="18" spans="49:49" x14ac:dyDescent="0.25">
      <c r="AW18" s="1"/>
    </row>
    <row r="19" spans="49:49" x14ac:dyDescent="0.25">
      <c r="AW19" s="1"/>
    </row>
    <row r="20" spans="49:49" x14ac:dyDescent="0.25">
      <c r="AW20" s="1"/>
    </row>
    <row r="21" spans="49:49" x14ac:dyDescent="0.25">
      <c r="AW21" s="1"/>
    </row>
    <row r="22" spans="49:49" x14ac:dyDescent="0.25">
      <c r="AW22" s="1"/>
    </row>
    <row r="23" spans="49:49" x14ac:dyDescent="0.25">
      <c r="AW23" s="1"/>
    </row>
    <row r="24" spans="49:49" x14ac:dyDescent="0.25">
      <c r="AW24" s="1"/>
    </row>
    <row r="25" spans="49:49" x14ac:dyDescent="0.25">
      <c r="AW25" s="1"/>
    </row>
    <row r="26" spans="49:49" x14ac:dyDescent="0.25">
      <c r="AW26" s="1"/>
    </row>
    <row r="27" spans="49:49" x14ac:dyDescent="0.25">
      <c r="AW27" s="1"/>
    </row>
    <row r="28" spans="49:49" x14ac:dyDescent="0.25">
      <c r="AW28" s="1"/>
    </row>
    <row r="29" spans="49:49" x14ac:dyDescent="0.25">
      <c r="AW29" s="1"/>
    </row>
    <row r="30" spans="49:49" x14ac:dyDescent="0.25">
      <c r="AW30" s="1"/>
    </row>
    <row r="31" spans="49:49" x14ac:dyDescent="0.25">
      <c r="AW31" s="1"/>
    </row>
    <row r="32" spans="49:49" x14ac:dyDescent="0.25">
      <c r="AW32" s="1"/>
    </row>
    <row r="33" spans="49:49" x14ac:dyDescent="0.25">
      <c r="AW33" s="1"/>
    </row>
    <row r="34" spans="49:49" x14ac:dyDescent="0.25">
      <c r="AW34" s="1"/>
    </row>
    <row r="35" spans="49:49" x14ac:dyDescent="0.25">
      <c r="AW35" s="1"/>
    </row>
    <row r="36" spans="49:49" x14ac:dyDescent="0.25">
      <c r="AW36" s="1"/>
    </row>
    <row r="37" spans="49:49" x14ac:dyDescent="0.25">
      <c r="AW37" s="1"/>
    </row>
    <row r="38" spans="49:49" x14ac:dyDescent="0.25">
      <c r="AW38" s="1"/>
    </row>
    <row r="39" spans="49:49" x14ac:dyDescent="0.25">
      <c r="AW39" s="1"/>
    </row>
    <row r="40" spans="49:49" x14ac:dyDescent="0.25">
      <c r="AW40" s="1"/>
    </row>
    <row r="41" spans="49:49" x14ac:dyDescent="0.25">
      <c r="AW41" s="1"/>
    </row>
    <row r="42" spans="49:49" x14ac:dyDescent="0.25">
      <c r="AW42" s="1"/>
    </row>
    <row r="43" spans="49:49" x14ac:dyDescent="0.25">
      <c r="AW43" s="1"/>
    </row>
    <row r="44" spans="49:49" x14ac:dyDescent="0.25">
      <c r="AW44" s="1"/>
    </row>
    <row r="45" spans="49:49" x14ac:dyDescent="0.25">
      <c r="AW45" s="1"/>
    </row>
    <row r="46" spans="49:49" x14ac:dyDescent="0.25">
      <c r="AW46" s="1"/>
    </row>
    <row r="47" spans="49:49" x14ac:dyDescent="0.25">
      <c r="AW47" s="1"/>
    </row>
    <row r="48" spans="49:49" x14ac:dyDescent="0.25">
      <c r="AW48" s="1"/>
    </row>
    <row r="49" spans="49:49" x14ac:dyDescent="0.25">
      <c r="AW49" s="1"/>
    </row>
    <row r="50" spans="49:49" x14ac:dyDescent="0.25">
      <c r="AW50" s="1"/>
    </row>
    <row r="51" spans="49:49" x14ac:dyDescent="0.25">
      <c r="AW51" s="1"/>
    </row>
    <row r="52" spans="49:49" x14ac:dyDescent="0.25">
      <c r="AW52" s="1"/>
    </row>
    <row r="53" spans="49:49" x14ac:dyDescent="0.25">
      <c r="AW53" s="1"/>
    </row>
    <row r="54" spans="49:49" x14ac:dyDescent="0.25">
      <c r="AW54" s="1"/>
    </row>
    <row r="55" spans="49:49" x14ac:dyDescent="0.25">
      <c r="AW55" s="1"/>
    </row>
    <row r="56" spans="49:49" x14ac:dyDescent="0.25">
      <c r="AW56" s="1"/>
    </row>
    <row r="57" spans="49:49" x14ac:dyDescent="0.25">
      <c r="AW57" s="1"/>
    </row>
    <row r="58" spans="49:49" x14ac:dyDescent="0.25">
      <c r="AW58" s="1"/>
    </row>
    <row r="59" spans="49:49" x14ac:dyDescent="0.25">
      <c r="AW59" s="1"/>
    </row>
    <row r="60" spans="49:49" x14ac:dyDescent="0.25">
      <c r="AW60" s="1"/>
    </row>
    <row r="61" spans="49:49" x14ac:dyDescent="0.25">
      <c r="AW61" s="1"/>
    </row>
    <row r="62" spans="49:49" x14ac:dyDescent="0.25">
      <c r="AW62" s="1"/>
    </row>
    <row r="63" spans="49:49" x14ac:dyDescent="0.25">
      <c r="AW63" s="1"/>
    </row>
    <row r="64" spans="49:49" x14ac:dyDescent="0.25">
      <c r="AW64" s="1"/>
    </row>
    <row r="65" spans="49:49" x14ac:dyDescent="0.25">
      <c r="AW65" s="1"/>
    </row>
    <row r="66" spans="49:49" x14ac:dyDescent="0.25">
      <c r="AW66" s="1"/>
    </row>
    <row r="67" spans="49:49" x14ac:dyDescent="0.25">
      <c r="AW67" s="1"/>
    </row>
    <row r="68" spans="49:49" x14ac:dyDescent="0.25">
      <c r="AW68" s="1"/>
    </row>
    <row r="69" spans="49:49" x14ac:dyDescent="0.25">
      <c r="AW69" s="1"/>
    </row>
    <row r="70" spans="49:49" x14ac:dyDescent="0.25">
      <c r="AW70" s="1"/>
    </row>
    <row r="71" spans="49:49" x14ac:dyDescent="0.25">
      <c r="AW71" s="1"/>
    </row>
    <row r="72" spans="49:49" x14ac:dyDescent="0.25">
      <c r="AW72" s="1"/>
    </row>
    <row r="73" spans="49:49" x14ac:dyDescent="0.25">
      <c r="AW73" s="1"/>
    </row>
    <row r="74" spans="49:49" x14ac:dyDescent="0.25">
      <c r="AW74" s="1"/>
    </row>
    <row r="75" spans="49:49" x14ac:dyDescent="0.25">
      <c r="AW75" s="1"/>
    </row>
    <row r="76" spans="49:49" x14ac:dyDescent="0.25">
      <c r="AW76" s="1"/>
    </row>
    <row r="77" spans="49:49" x14ac:dyDescent="0.25">
      <c r="AW77" s="1"/>
    </row>
    <row r="78" spans="49:49" x14ac:dyDescent="0.25">
      <c r="AW78" s="1"/>
    </row>
    <row r="79" spans="49:49" x14ac:dyDescent="0.25">
      <c r="AW79" s="1"/>
    </row>
    <row r="80" spans="49:49" x14ac:dyDescent="0.25">
      <c r="AW80" s="1"/>
    </row>
    <row r="81" spans="49:49" x14ac:dyDescent="0.25">
      <c r="AW81" s="1"/>
    </row>
    <row r="82" spans="49:49" x14ac:dyDescent="0.25">
      <c r="AW82" s="1"/>
    </row>
    <row r="83" spans="49:49" x14ac:dyDescent="0.25">
      <c r="AW83" s="1"/>
    </row>
    <row r="84" spans="49:49" x14ac:dyDescent="0.25">
      <c r="AW84" s="1"/>
    </row>
    <row r="85" spans="49:49" x14ac:dyDescent="0.25">
      <c r="AW85" s="1"/>
    </row>
    <row r="86" spans="49:49" x14ac:dyDescent="0.25">
      <c r="AW86" s="1"/>
    </row>
    <row r="87" spans="49:49" x14ac:dyDescent="0.25">
      <c r="AW87" s="1"/>
    </row>
    <row r="88" spans="49:49" x14ac:dyDescent="0.25">
      <c r="AW88" s="1"/>
    </row>
    <row r="89" spans="49:49" x14ac:dyDescent="0.25">
      <c r="AW89" s="1"/>
    </row>
    <row r="90" spans="49:49" x14ac:dyDescent="0.25">
      <c r="AW90" s="1"/>
    </row>
    <row r="91" spans="49:49" x14ac:dyDescent="0.25">
      <c r="AW91" s="1"/>
    </row>
    <row r="92" spans="49:49" x14ac:dyDescent="0.25">
      <c r="AW92" s="1"/>
    </row>
    <row r="93" spans="49:49" x14ac:dyDescent="0.25">
      <c r="AW93" s="1"/>
    </row>
    <row r="94" spans="49:49" x14ac:dyDescent="0.25">
      <c r="AW94" s="1"/>
    </row>
    <row r="95" spans="49:49" x14ac:dyDescent="0.25">
      <c r="AW95" s="1"/>
    </row>
    <row r="96" spans="49:49" x14ac:dyDescent="0.25">
      <c r="AW96" s="1"/>
    </row>
    <row r="97" spans="49:49" x14ac:dyDescent="0.25">
      <c r="AW97" s="1"/>
    </row>
    <row r="98" spans="49:49" x14ac:dyDescent="0.25">
      <c r="AW98" s="1"/>
    </row>
    <row r="99" spans="49:49" x14ac:dyDescent="0.25">
      <c r="AW99" s="1"/>
    </row>
    <row r="100" spans="49:49" x14ac:dyDescent="0.25">
      <c r="AW100" s="1"/>
    </row>
    <row r="101" spans="49:49" x14ac:dyDescent="0.25">
      <c r="AW101" s="1"/>
    </row>
    <row r="102" spans="49:49" x14ac:dyDescent="0.25">
      <c r="AW102" s="1"/>
    </row>
    <row r="103" spans="49:49" x14ac:dyDescent="0.25">
      <c r="AW103" s="1"/>
    </row>
    <row r="104" spans="49:49" x14ac:dyDescent="0.25">
      <c r="AW104" s="1"/>
    </row>
    <row r="105" spans="49:49" x14ac:dyDescent="0.25">
      <c r="AW105" s="1"/>
    </row>
    <row r="106" spans="49:49" x14ac:dyDescent="0.25">
      <c r="AW106" s="1"/>
    </row>
    <row r="107" spans="49:49" x14ac:dyDescent="0.25">
      <c r="AW107" s="1"/>
    </row>
    <row r="108" spans="49:49" x14ac:dyDescent="0.25">
      <c r="AW108" s="1"/>
    </row>
    <row r="109" spans="49:49" x14ac:dyDescent="0.25">
      <c r="AW109" s="1"/>
    </row>
    <row r="110" spans="49:49" x14ac:dyDescent="0.25">
      <c r="AW110" s="1"/>
    </row>
    <row r="111" spans="49:49" x14ac:dyDescent="0.25">
      <c r="AW111" s="1"/>
    </row>
    <row r="112" spans="49:49" x14ac:dyDescent="0.25">
      <c r="AW112" s="1"/>
    </row>
    <row r="113" spans="49:49" x14ac:dyDescent="0.25">
      <c r="AW113" s="1"/>
    </row>
    <row r="114" spans="49:49" x14ac:dyDescent="0.25">
      <c r="AW114" s="1"/>
    </row>
    <row r="115" spans="49:49" x14ac:dyDescent="0.25">
      <c r="AW115" s="1"/>
    </row>
    <row r="116" spans="49:49" x14ac:dyDescent="0.25">
      <c r="AW116" s="1"/>
    </row>
    <row r="117" spans="49:49" x14ac:dyDescent="0.25">
      <c r="AW117" s="1"/>
    </row>
    <row r="118" spans="49:49" x14ac:dyDescent="0.25">
      <c r="AW118" s="1"/>
    </row>
    <row r="119" spans="49:49" x14ac:dyDescent="0.25">
      <c r="AW119" s="1"/>
    </row>
    <row r="120" spans="49:49" x14ac:dyDescent="0.25">
      <c r="AW120" s="1"/>
    </row>
    <row r="121" spans="49:49" x14ac:dyDescent="0.25">
      <c r="AW121" s="1"/>
    </row>
    <row r="122" spans="49:49" x14ac:dyDescent="0.25">
      <c r="AW122" s="1"/>
    </row>
    <row r="123" spans="49:49" x14ac:dyDescent="0.25">
      <c r="AW123" s="1"/>
    </row>
    <row r="124" spans="49:49" x14ac:dyDescent="0.25">
      <c r="AW124" s="1"/>
    </row>
    <row r="125" spans="49:49" x14ac:dyDescent="0.25">
      <c r="AW125" s="1"/>
    </row>
    <row r="126" spans="49:49" x14ac:dyDescent="0.25">
      <c r="AW126" s="1"/>
    </row>
    <row r="127" spans="49:49" x14ac:dyDescent="0.25">
      <c r="AW127" s="1"/>
    </row>
    <row r="128" spans="49:49" x14ac:dyDescent="0.25">
      <c r="AW128" s="1"/>
    </row>
    <row r="129" spans="49:49" x14ac:dyDescent="0.25">
      <c r="AW129" s="1"/>
    </row>
    <row r="130" spans="49:49" x14ac:dyDescent="0.25">
      <c r="AW130" s="1"/>
    </row>
    <row r="131" spans="49:49" x14ac:dyDescent="0.25">
      <c r="AW131" s="1"/>
    </row>
    <row r="132" spans="49:49" x14ac:dyDescent="0.25">
      <c r="AW132" s="1"/>
    </row>
    <row r="133" spans="49:49" x14ac:dyDescent="0.25">
      <c r="AW133" s="1"/>
    </row>
    <row r="134" spans="49:49" x14ac:dyDescent="0.25">
      <c r="AW134" s="1"/>
    </row>
    <row r="135" spans="49:49" x14ac:dyDescent="0.25">
      <c r="AW135" s="1"/>
    </row>
    <row r="136" spans="49:49" x14ac:dyDescent="0.25">
      <c r="AW136" s="1"/>
    </row>
    <row r="137" spans="49:49" x14ac:dyDescent="0.25">
      <c r="AW137" s="1"/>
    </row>
    <row r="138" spans="49:49" x14ac:dyDescent="0.25">
      <c r="AW138" s="1"/>
    </row>
    <row r="139" spans="49:49" x14ac:dyDescent="0.25">
      <c r="AW139" s="1"/>
    </row>
    <row r="140" spans="49:49" x14ac:dyDescent="0.25">
      <c r="AW140" s="1"/>
    </row>
    <row r="141" spans="49:49" x14ac:dyDescent="0.25">
      <c r="AW141" s="1"/>
    </row>
    <row r="142" spans="49:49" x14ac:dyDescent="0.25">
      <c r="AW142" s="1"/>
    </row>
    <row r="143" spans="49:49" x14ac:dyDescent="0.25">
      <c r="AW143" s="1"/>
    </row>
    <row r="144" spans="49:49" x14ac:dyDescent="0.25">
      <c r="AW144" s="1"/>
    </row>
    <row r="145" spans="49:49" x14ac:dyDescent="0.25">
      <c r="AW145" s="1"/>
    </row>
    <row r="146" spans="49:49" x14ac:dyDescent="0.25">
      <c r="AW146" s="1"/>
    </row>
    <row r="147" spans="49:49" x14ac:dyDescent="0.25">
      <c r="AW147" s="1"/>
    </row>
    <row r="148" spans="49:49" x14ac:dyDescent="0.25">
      <c r="AW148" s="1"/>
    </row>
    <row r="149" spans="49:49" x14ac:dyDescent="0.25">
      <c r="AW149" s="1"/>
    </row>
    <row r="150" spans="49:49" x14ac:dyDescent="0.25">
      <c r="AW150" s="1"/>
    </row>
    <row r="151" spans="49:49" x14ac:dyDescent="0.25">
      <c r="AW151" s="1"/>
    </row>
    <row r="152" spans="49:49" x14ac:dyDescent="0.25">
      <c r="AW152" s="1"/>
    </row>
    <row r="153" spans="49:49" x14ac:dyDescent="0.25">
      <c r="AW153" s="1"/>
    </row>
    <row r="154" spans="49:49" x14ac:dyDescent="0.25">
      <c r="AW154" s="1"/>
    </row>
    <row r="155" spans="49:49" x14ac:dyDescent="0.25">
      <c r="AW155" s="1"/>
    </row>
    <row r="156" spans="49:49" x14ac:dyDescent="0.25">
      <c r="AW156" s="1"/>
    </row>
    <row r="157" spans="49:49" x14ac:dyDescent="0.25">
      <c r="AW157" s="1"/>
    </row>
    <row r="158" spans="49:49" x14ac:dyDescent="0.25">
      <c r="AW158" s="1"/>
    </row>
    <row r="159" spans="49:49" x14ac:dyDescent="0.25">
      <c r="AW159" s="1"/>
    </row>
    <row r="160" spans="49:49" x14ac:dyDescent="0.25">
      <c r="AW160" s="1"/>
    </row>
    <row r="161" spans="49:49" x14ac:dyDescent="0.25">
      <c r="AW161" s="1"/>
    </row>
    <row r="162" spans="49:49" x14ac:dyDescent="0.25">
      <c r="AW162" s="1"/>
    </row>
    <row r="163" spans="49:49" x14ac:dyDescent="0.25">
      <c r="AW163" s="1"/>
    </row>
    <row r="164" spans="49:49" x14ac:dyDescent="0.25">
      <c r="AW164" s="1"/>
    </row>
    <row r="165" spans="49:49" x14ac:dyDescent="0.25">
      <c r="AW165" s="1"/>
    </row>
    <row r="166" spans="49:49" x14ac:dyDescent="0.25">
      <c r="AW166" s="1"/>
    </row>
    <row r="167" spans="49:49" x14ac:dyDescent="0.25">
      <c r="AW167" s="1"/>
    </row>
    <row r="168" spans="49:49" x14ac:dyDescent="0.25">
      <c r="AW168" s="1"/>
    </row>
    <row r="169" spans="49:49" x14ac:dyDescent="0.25">
      <c r="AW169" s="1"/>
    </row>
    <row r="170" spans="49:49" x14ac:dyDescent="0.25">
      <c r="AW170" s="1"/>
    </row>
    <row r="171" spans="49:49" x14ac:dyDescent="0.25">
      <c r="AW171" s="1"/>
    </row>
    <row r="172" spans="49:49" x14ac:dyDescent="0.25">
      <c r="AW172" s="1"/>
    </row>
    <row r="173" spans="49:49" x14ac:dyDescent="0.25">
      <c r="AW173" s="1"/>
    </row>
    <row r="174" spans="49:49" x14ac:dyDescent="0.25">
      <c r="AW174" s="1"/>
    </row>
    <row r="175" spans="49:49" x14ac:dyDescent="0.25">
      <c r="AW175" s="1"/>
    </row>
    <row r="176" spans="49:49" x14ac:dyDescent="0.25">
      <c r="AW176" s="1"/>
    </row>
    <row r="177" spans="49:49" x14ac:dyDescent="0.25">
      <c r="AW177" s="1"/>
    </row>
    <row r="178" spans="49:49" x14ac:dyDescent="0.25">
      <c r="AW178" s="1"/>
    </row>
    <row r="179" spans="49:49" x14ac:dyDescent="0.25">
      <c r="AW179" s="1"/>
    </row>
    <row r="180" spans="49:49" x14ac:dyDescent="0.25">
      <c r="AW180" s="1"/>
    </row>
    <row r="181" spans="49:49" x14ac:dyDescent="0.25">
      <c r="AW181" s="1"/>
    </row>
    <row r="182" spans="49:49" x14ac:dyDescent="0.25">
      <c r="AW182" s="1"/>
    </row>
    <row r="183" spans="49:49" x14ac:dyDescent="0.25">
      <c r="AW183" s="1"/>
    </row>
    <row r="184" spans="49:49" x14ac:dyDescent="0.25">
      <c r="AW184" s="1"/>
    </row>
    <row r="185" spans="49:49" x14ac:dyDescent="0.25">
      <c r="AW185" s="1"/>
    </row>
    <row r="186" spans="49:49" x14ac:dyDescent="0.25">
      <c r="AW186" s="1"/>
    </row>
    <row r="187" spans="49:49" x14ac:dyDescent="0.25">
      <c r="AW187" s="1"/>
    </row>
    <row r="188" spans="49:49" x14ac:dyDescent="0.25">
      <c r="AW188" s="1"/>
    </row>
    <row r="189" spans="49:49" x14ac:dyDescent="0.25">
      <c r="AW189" s="1"/>
    </row>
    <row r="190" spans="49:49" x14ac:dyDescent="0.25">
      <c r="AW190" s="1"/>
    </row>
    <row r="191" spans="49:49" x14ac:dyDescent="0.25">
      <c r="AW191" s="1"/>
    </row>
    <row r="192" spans="49:49" x14ac:dyDescent="0.25">
      <c r="AW192" s="1"/>
    </row>
    <row r="193" spans="49:49" x14ac:dyDescent="0.25">
      <c r="AW193" s="1"/>
    </row>
    <row r="194" spans="49:49" x14ac:dyDescent="0.25">
      <c r="AW194" s="1"/>
    </row>
    <row r="195" spans="49:49" x14ac:dyDescent="0.25">
      <c r="AW195" s="1"/>
    </row>
    <row r="196" spans="49:49" x14ac:dyDescent="0.25">
      <c r="AW196" s="1"/>
    </row>
    <row r="197" spans="49:49" x14ac:dyDescent="0.25">
      <c r="AW197" s="1"/>
    </row>
    <row r="198" spans="49:49" x14ac:dyDescent="0.25">
      <c r="AW198" s="1"/>
    </row>
    <row r="199" spans="49:49" x14ac:dyDescent="0.25">
      <c r="AW199" s="1"/>
    </row>
    <row r="200" spans="49:49" x14ac:dyDescent="0.25">
      <c r="AW200" s="1"/>
    </row>
    <row r="201" spans="49:49" x14ac:dyDescent="0.25">
      <c r="AW201" s="1"/>
    </row>
    <row r="202" spans="49:49" x14ac:dyDescent="0.25">
      <c r="AW202" s="1"/>
    </row>
    <row r="203" spans="49:49" x14ac:dyDescent="0.25">
      <c r="AW203" s="1"/>
    </row>
    <row r="204" spans="49:49" x14ac:dyDescent="0.25">
      <c r="AW204" s="1"/>
    </row>
    <row r="205" spans="49:49" x14ac:dyDescent="0.25">
      <c r="AW205" s="1"/>
    </row>
    <row r="206" spans="49:49" x14ac:dyDescent="0.25">
      <c r="AW206" s="1"/>
    </row>
    <row r="207" spans="49:49" x14ac:dyDescent="0.25">
      <c r="AW207" s="1"/>
    </row>
    <row r="208" spans="49:49" x14ac:dyDescent="0.25">
      <c r="AW208" s="1"/>
    </row>
    <row r="209" spans="49:49" x14ac:dyDescent="0.25">
      <c r="AW209" s="1"/>
    </row>
    <row r="210" spans="49:49" x14ac:dyDescent="0.25">
      <c r="AW210" s="1"/>
    </row>
    <row r="211" spans="49:49" x14ac:dyDescent="0.25">
      <c r="AW211" s="1"/>
    </row>
    <row r="212" spans="49:49" x14ac:dyDescent="0.25">
      <c r="AW212" s="1"/>
    </row>
    <row r="213" spans="49:49" x14ac:dyDescent="0.25">
      <c r="AW213" s="1"/>
    </row>
    <row r="214" spans="49:49" x14ac:dyDescent="0.25">
      <c r="AW214" s="1"/>
    </row>
    <row r="215" spans="49:49" x14ac:dyDescent="0.25">
      <c r="AW215" s="1"/>
    </row>
    <row r="216" spans="49:49" x14ac:dyDescent="0.25">
      <c r="AW216" s="1"/>
    </row>
    <row r="217" spans="49:49" x14ac:dyDescent="0.25">
      <c r="AW217" s="1"/>
    </row>
    <row r="218" spans="49:49" x14ac:dyDescent="0.25">
      <c r="AW218" s="1"/>
    </row>
    <row r="219" spans="49:49" x14ac:dyDescent="0.25">
      <c r="AW219" s="1"/>
    </row>
    <row r="220" spans="49:49" x14ac:dyDescent="0.25">
      <c r="AW220" s="1"/>
    </row>
    <row r="221" spans="49:49" x14ac:dyDescent="0.25">
      <c r="AW221" s="1"/>
    </row>
    <row r="222" spans="49:49" x14ac:dyDescent="0.25">
      <c r="AW222" s="1"/>
    </row>
    <row r="223" spans="49:49" x14ac:dyDescent="0.25">
      <c r="AW223" s="1"/>
    </row>
    <row r="224" spans="49:49" x14ac:dyDescent="0.25">
      <c r="AW224" s="1"/>
    </row>
    <row r="225" spans="49:49" x14ac:dyDescent="0.25">
      <c r="AW225" s="1"/>
    </row>
    <row r="226" spans="49:49" x14ac:dyDescent="0.25">
      <c r="AW226" s="1"/>
    </row>
    <row r="227" spans="49:49" x14ac:dyDescent="0.25">
      <c r="AW227" s="1"/>
    </row>
    <row r="228" spans="49:49" x14ac:dyDescent="0.25">
      <c r="AW228" s="1"/>
    </row>
    <row r="229" spans="49:49" x14ac:dyDescent="0.25">
      <c r="AW229" s="1"/>
    </row>
    <row r="230" spans="49:49" x14ac:dyDescent="0.25">
      <c r="AW230" s="1"/>
    </row>
    <row r="231" spans="49:49" x14ac:dyDescent="0.25">
      <c r="AW231" s="1"/>
    </row>
    <row r="232" spans="49:49" x14ac:dyDescent="0.25">
      <c r="AW232" s="1"/>
    </row>
    <row r="233" spans="49:49" x14ac:dyDescent="0.25">
      <c r="AW233" s="1"/>
    </row>
    <row r="234" spans="49:49" x14ac:dyDescent="0.25">
      <c r="AW234" s="1"/>
    </row>
    <row r="235" spans="49:49" x14ac:dyDescent="0.25">
      <c r="AW235" s="1"/>
    </row>
    <row r="236" spans="49:49" x14ac:dyDescent="0.25">
      <c r="AW236" s="1"/>
    </row>
    <row r="237" spans="49:49" x14ac:dyDescent="0.25">
      <c r="AW237" s="1"/>
    </row>
    <row r="238" spans="49:49" x14ac:dyDescent="0.25">
      <c r="AW238" s="1"/>
    </row>
    <row r="239" spans="49:49" x14ac:dyDescent="0.25">
      <c r="AW239" s="1"/>
    </row>
    <row r="240" spans="49:49" x14ac:dyDescent="0.25">
      <c r="AW240" s="1"/>
    </row>
    <row r="241" spans="49:49" x14ac:dyDescent="0.25">
      <c r="AW241" s="1"/>
    </row>
    <row r="242" spans="49:49" x14ac:dyDescent="0.25">
      <c r="AW242" s="1"/>
    </row>
    <row r="243" spans="49:49" x14ac:dyDescent="0.25">
      <c r="AW243" s="1"/>
    </row>
    <row r="244" spans="49:49" x14ac:dyDescent="0.25">
      <c r="AW244" s="1"/>
    </row>
    <row r="245" spans="49:49" x14ac:dyDescent="0.25">
      <c r="AW245" s="1"/>
    </row>
    <row r="246" spans="49:49" x14ac:dyDescent="0.25">
      <c r="AW246" s="1"/>
    </row>
    <row r="247" spans="49:49" x14ac:dyDescent="0.25">
      <c r="AW247" s="1"/>
    </row>
    <row r="248" spans="49:49" x14ac:dyDescent="0.25">
      <c r="AW248" s="1"/>
    </row>
    <row r="249" spans="49:49" x14ac:dyDescent="0.25">
      <c r="AW249" s="1"/>
    </row>
    <row r="250" spans="49:49" x14ac:dyDescent="0.25">
      <c r="AW250" s="1"/>
    </row>
    <row r="251" spans="49:49" x14ac:dyDescent="0.25">
      <c r="AW251" s="1"/>
    </row>
    <row r="252" spans="49:49" x14ac:dyDescent="0.25">
      <c r="AW252" s="1"/>
    </row>
  </sheetData>
  <phoneticPr fontId="4"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4687A-2DA7-4081-924E-0C2F23C81813}">
  <sheetPr codeName="Sheet7"/>
  <dimension ref="A1:C16"/>
  <sheetViews>
    <sheetView workbookViewId="0">
      <selection activeCell="A17" sqref="A17:XFD251"/>
    </sheetView>
  </sheetViews>
  <sheetFormatPr defaultRowHeight="15" x14ac:dyDescent="0.25"/>
  <cols>
    <col min="1" max="1" width="23.7109375" bestFit="1" customWidth="1"/>
    <col min="2" max="2" width="9.28515625" bestFit="1" customWidth="1"/>
    <col min="3" max="3" width="8.85546875" bestFit="1" customWidth="1"/>
  </cols>
  <sheetData>
    <row r="1" spans="1:3" x14ac:dyDescent="0.25">
      <c r="A1" s="2" t="s">
        <v>339</v>
      </c>
      <c r="B1" s="2" t="s">
        <v>392</v>
      </c>
      <c r="C1" s="2" t="s">
        <v>393</v>
      </c>
    </row>
    <row r="2" spans="1:3" x14ac:dyDescent="0.25">
      <c r="A2">
        <f>'Account Creation'!R2</f>
        <v>0</v>
      </c>
      <c r="B2">
        <f>'Account Creation'!AG2</f>
        <v>169</v>
      </c>
      <c r="C2">
        <f>'Account Creation'!AH2</f>
        <v>100978</v>
      </c>
    </row>
    <row r="3" spans="1:3" x14ac:dyDescent="0.25">
      <c r="A3">
        <f>'Account Creation'!R3</f>
        <v>0</v>
      </c>
      <c r="B3">
        <f>'Account Creation'!AG3</f>
        <v>169</v>
      </c>
      <c r="C3">
        <f>'Account Creation'!AH3</f>
        <v>100978</v>
      </c>
    </row>
    <row r="4" spans="1:3" x14ac:dyDescent="0.25">
      <c r="A4">
        <f>'Account Creation'!R4</f>
        <v>0</v>
      </c>
      <c r="B4">
        <f>'Account Creation'!AG4</f>
        <v>169</v>
      </c>
      <c r="C4">
        <f>'Account Creation'!AH4</f>
        <v>100978</v>
      </c>
    </row>
    <row r="5" spans="1:3" x14ac:dyDescent="0.25">
      <c r="A5">
        <f>'Account Creation'!R5</f>
        <v>0</v>
      </c>
      <c r="B5">
        <f>'Account Creation'!AG5</f>
        <v>169</v>
      </c>
      <c r="C5">
        <f>'Account Creation'!AH5</f>
        <v>100978</v>
      </c>
    </row>
    <row r="6" spans="1:3" x14ac:dyDescent="0.25">
      <c r="A6">
        <f>'Account Creation'!R6</f>
        <v>0</v>
      </c>
      <c r="B6">
        <f>'Account Creation'!AG6</f>
        <v>169</v>
      </c>
      <c r="C6">
        <f>'Account Creation'!AH6</f>
        <v>100978</v>
      </c>
    </row>
    <row r="7" spans="1:3" x14ac:dyDescent="0.25">
      <c r="A7">
        <f>'Account Creation'!R7</f>
        <v>0</v>
      </c>
      <c r="B7">
        <f>'Account Creation'!AG7</f>
        <v>169</v>
      </c>
      <c r="C7">
        <f>'Account Creation'!AH7</f>
        <v>100978</v>
      </c>
    </row>
    <row r="8" spans="1:3" x14ac:dyDescent="0.25">
      <c r="A8">
        <f>'Account Creation'!R8</f>
        <v>0</v>
      </c>
      <c r="B8">
        <f>'Account Creation'!AG8</f>
        <v>169</v>
      </c>
      <c r="C8">
        <f>'Account Creation'!AH8</f>
        <v>100978</v>
      </c>
    </row>
    <row r="9" spans="1:3" x14ac:dyDescent="0.25">
      <c r="A9">
        <f>'Account Creation'!R9</f>
        <v>0</v>
      </c>
      <c r="B9">
        <f>'Account Creation'!AG9</f>
        <v>169</v>
      </c>
      <c r="C9">
        <f>'Account Creation'!AH9</f>
        <v>100978</v>
      </c>
    </row>
    <row r="10" spans="1:3" x14ac:dyDescent="0.25">
      <c r="A10">
        <f>'Account Creation'!R10</f>
        <v>0</v>
      </c>
      <c r="B10">
        <f>'Account Creation'!AG10</f>
        <v>169</v>
      </c>
      <c r="C10">
        <f>'Account Creation'!AH10</f>
        <v>100978</v>
      </c>
    </row>
    <row r="11" spans="1:3" x14ac:dyDescent="0.25">
      <c r="A11">
        <f>'Account Creation'!R11</f>
        <v>0</v>
      </c>
      <c r="B11">
        <f>'Account Creation'!AG11</f>
        <v>169</v>
      </c>
      <c r="C11">
        <f>'Account Creation'!AH11</f>
        <v>100978</v>
      </c>
    </row>
    <row r="12" spans="1:3" x14ac:dyDescent="0.25">
      <c r="A12">
        <f>'Account Creation'!R12</f>
        <v>0</v>
      </c>
      <c r="B12">
        <f>'Account Creation'!AG12</f>
        <v>169</v>
      </c>
      <c r="C12">
        <f>'Account Creation'!AH12</f>
        <v>100978</v>
      </c>
    </row>
    <row r="13" spans="1:3" x14ac:dyDescent="0.25">
      <c r="A13">
        <f>'Account Creation'!R13</f>
        <v>0</v>
      </c>
      <c r="B13">
        <f>'Account Creation'!AG13</f>
        <v>169</v>
      </c>
      <c r="C13">
        <f>'Account Creation'!AH13</f>
        <v>100978</v>
      </c>
    </row>
    <row r="14" spans="1:3" x14ac:dyDescent="0.25">
      <c r="A14">
        <f>'Account Creation'!R14</f>
        <v>0</v>
      </c>
      <c r="B14">
        <f>'Account Creation'!AG14</f>
        <v>169</v>
      </c>
      <c r="C14">
        <f>'Account Creation'!AH14</f>
        <v>100978</v>
      </c>
    </row>
    <row r="15" spans="1:3" x14ac:dyDescent="0.25">
      <c r="A15">
        <f>'Account Creation'!R15</f>
        <v>0</v>
      </c>
      <c r="B15">
        <f>'Account Creation'!AG15</f>
        <v>169</v>
      </c>
      <c r="C15">
        <f>'Account Creation'!AH15</f>
        <v>100978</v>
      </c>
    </row>
    <row r="16" spans="1:3" x14ac:dyDescent="0.25">
      <c r="A16">
        <f>'Account Creation'!R16</f>
        <v>0</v>
      </c>
      <c r="B16">
        <f>'Account Creation'!AG16</f>
        <v>169</v>
      </c>
      <c r="C16">
        <f>'Account Creation'!AH16</f>
        <v>100978</v>
      </c>
    </row>
  </sheetData>
  <conditionalFormatting sqref="A1">
    <cfRule type="cellIs" dxfId="13" priority="1" operator="equal">
      <formula>0</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75A96-59E5-4AAB-832F-20C51FBC6B13}">
  <dimension ref="A1:C16"/>
  <sheetViews>
    <sheetView workbookViewId="0">
      <selection activeCell="A17" sqref="A17:XFD251"/>
    </sheetView>
  </sheetViews>
  <sheetFormatPr defaultColWidth="10.7109375" defaultRowHeight="15" x14ac:dyDescent="0.25"/>
  <cols>
    <col min="1" max="1" width="22.140625" customWidth="1"/>
    <col min="2" max="2" width="14.7109375" bestFit="1" customWidth="1"/>
    <col min="3" max="3" width="11.5703125" bestFit="1" customWidth="1"/>
  </cols>
  <sheetData>
    <row r="1" spans="1:3" x14ac:dyDescent="0.25">
      <c r="A1" s="2" t="s">
        <v>653</v>
      </c>
      <c r="B1" s="2" t="s">
        <v>654</v>
      </c>
      <c r="C1" s="2" t="s">
        <v>655</v>
      </c>
    </row>
    <row r="2" spans="1:3" x14ac:dyDescent="0.25">
      <c r="A2" t="str">
        <f>TRIM('Help Desk'!D2)</f>
        <v>vn54tqf</v>
      </c>
      <c r="B2" t="s">
        <v>656</v>
      </c>
      <c r="C2" t="s">
        <v>657</v>
      </c>
    </row>
    <row r="3" spans="1:3" x14ac:dyDescent="0.25">
      <c r="A3" t="str">
        <f>TRIM('Help Desk'!D3)</f>
        <v>vn54tqh</v>
      </c>
      <c r="B3" t="s">
        <v>656</v>
      </c>
      <c r="C3" t="s">
        <v>657</v>
      </c>
    </row>
    <row r="4" spans="1:3" x14ac:dyDescent="0.25">
      <c r="A4" t="str">
        <f>TRIM('Help Desk'!D4)</f>
        <v>vn54tqj</v>
      </c>
      <c r="B4" t="s">
        <v>656</v>
      </c>
      <c r="C4" t="s">
        <v>657</v>
      </c>
    </row>
    <row r="5" spans="1:3" x14ac:dyDescent="0.25">
      <c r="A5" t="str">
        <f>TRIM('Help Desk'!D5)</f>
        <v>vn54tql</v>
      </c>
      <c r="B5" t="s">
        <v>656</v>
      </c>
      <c r="C5" t="s">
        <v>657</v>
      </c>
    </row>
    <row r="6" spans="1:3" x14ac:dyDescent="0.25">
      <c r="A6" t="str">
        <f>TRIM('Help Desk'!D6)</f>
        <v>vn54tqn</v>
      </c>
      <c r="B6" t="s">
        <v>656</v>
      </c>
      <c r="C6" t="s">
        <v>657</v>
      </c>
    </row>
    <row r="7" spans="1:3" x14ac:dyDescent="0.25">
      <c r="A7" t="str">
        <f>TRIM('Help Desk'!D7)</f>
        <v>vn54tqo</v>
      </c>
      <c r="B7" t="s">
        <v>656</v>
      </c>
      <c r="C7" t="s">
        <v>657</v>
      </c>
    </row>
    <row r="8" spans="1:3" x14ac:dyDescent="0.25">
      <c r="A8" t="str">
        <f>TRIM('Help Desk'!D8)</f>
        <v>vn54tqq</v>
      </c>
      <c r="B8" t="s">
        <v>656</v>
      </c>
      <c r="C8" t="s">
        <v>657</v>
      </c>
    </row>
    <row r="9" spans="1:3" x14ac:dyDescent="0.25">
      <c r="A9" t="str">
        <f>TRIM('Help Desk'!D9)</f>
        <v>vn54tqs</v>
      </c>
      <c r="B9" t="s">
        <v>656</v>
      </c>
      <c r="C9" t="s">
        <v>657</v>
      </c>
    </row>
    <row r="10" spans="1:3" x14ac:dyDescent="0.25">
      <c r="A10" t="str">
        <f>TRIM('Help Desk'!D10)</f>
        <v>vn54tqu</v>
      </c>
      <c r="B10" t="s">
        <v>656</v>
      </c>
      <c r="C10" t="s">
        <v>657</v>
      </c>
    </row>
    <row r="11" spans="1:3" x14ac:dyDescent="0.25">
      <c r="A11" t="str">
        <f>TRIM('Help Desk'!D11)</f>
        <v>vn54tqw</v>
      </c>
      <c r="B11" t="s">
        <v>656</v>
      </c>
      <c r="C11" t="s">
        <v>657</v>
      </c>
    </row>
    <row r="12" spans="1:3" x14ac:dyDescent="0.25">
      <c r="A12" t="str">
        <f>TRIM('Help Desk'!D12)</f>
        <v>vn54tqy</v>
      </c>
      <c r="B12" t="s">
        <v>656</v>
      </c>
      <c r="C12" t="s">
        <v>657</v>
      </c>
    </row>
    <row r="13" spans="1:3" x14ac:dyDescent="0.25">
      <c r="A13" t="str">
        <f>TRIM('Help Desk'!D13)</f>
        <v>vn54tr0</v>
      </c>
      <c r="B13" t="s">
        <v>656</v>
      </c>
      <c r="C13" t="s">
        <v>657</v>
      </c>
    </row>
    <row r="14" spans="1:3" x14ac:dyDescent="0.25">
      <c r="A14" t="str">
        <f>TRIM('Help Desk'!D14)</f>
        <v>vn54tr2</v>
      </c>
      <c r="B14" t="s">
        <v>656</v>
      </c>
      <c r="C14" t="s">
        <v>657</v>
      </c>
    </row>
    <row r="15" spans="1:3" x14ac:dyDescent="0.25">
      <c r="A15" t="str">
        <f>TRIM('Help Desk'!D15)</f>
        <v>vn54tr4</v>
      </c>
      <c r="B15" t="s">
        <v>656</v>
      </c>
      <c r="C15" t="s">
        <v>657</v>
      </c>
    </row>
    <row r="16" spans="1:3" x14ac:dyDescent="0.25">
      <c r="A16" t="str">
        <f>TRIM('Help Desk'!D16)</f>
        <v>vn54tr6</v>
      </c>
      <c r="B16" t="s">
        <v>656</v>
      </c>
      <c r="C16" t="s">
        <v>657</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AO251"/>
  <sheetViews>
    <sheetView workbookViewId="0">
      <selection activeCell="A17" sqref="A17:XFD318"/>
    </sheetView>
  </sheetViews>
  <sheetFormatPr defaultColWidth="21.42578125" defaultRowHeight="15" x14ac:dyDescent="0.25"/>
  <cols>
    <col min="1" max="1" width="13.7109375" customWidth="1"/>
    <col min="2" max="2" width="15.42578125" customWidth="1"/>
    <col min="3" max="3" width="13.5703125" customWidth="1"/>
    <col min="4" max="4" width="11.85546875" bestFit="1" customWidth="1"/>
    <col min="5" max="5" width="23.7109375" bestFit="1" customWidth="1"/>
    <col min="6" max="6" width="17" customWidth="1"/>
    <col min="7" max="7" width="18" customWidth="1"/>
    <col min="8" max="8" width="17.140625" customWidth="1"/>
    <col min="9" max="9" width="12" bestFit="1" customWidth="1"/>
    <col min="11" max="11" width="14.5703125" bestFit="1" customWidth="1"/>
    <col min="12" max="12" width="26" bestFit="1" customWidth="1"/>
    <col min="13" max="13" width="26" customWidth="1"/>
    <col min="14" max="14" width="19.5703125" hidden="1" customWidth="1"/>
    <col min="15" max="15" width="18.85546875" hidden="1" customWidth="1"/>
    <col min="16" max="16" width="22" bestFit="1" customWidth="1"/>
    <col min="17" max="19" width="11.85546875" bestFit="1" customWidth="1"/>
    <col min="20" max="20" width="15.7109375" bestFit="1" customWidth="1"/>
    <col min="21" max="21" width="15" bestFit="1" customWidth="1"/>
    <col min="22" max="22" width="14.42578125" bestFit="1" customWidth="1"/>
    <col min="23" max="23" width="10.42578125" bestFit="1" customWidth="1"/>
  </cols>
  <sheetData>
    <row r="1" spans="1:41" x14ac:dyDescent="0.25">
      <c r="A1" s="2" t="s">
        <v>2</v>
      </c>
      <c r="B1" s="2" t="s">
        <v>1</v>
      </c>
      <c r="C1" s="2" t="s">
        <v>0</v>
      </c>
      <c r="D1" s="2" t="s">
        <v>3</v>
      </c>
      <c r="E1" s="2" t="s">
        <v>339</v>
      </c>
      <c r="F1" s="2" t="s">
        <v>340</v>
      </c>
      <c r="G1" s="2" t="s">
        <v>590</v>
      </c>
      <c r="H1" s="2" t="s">
        <v>508</v>
      </c>
      <c r="I1" s="2" t="s">
        <v>5</v>
      </c>
      <c r="J1" s="2" t="s">
        <v>565</v>
      </c>
      <c r="K1" s="2" t="s">
        <v>592</v>
      </c>
      <c r="L1" s="2" t="s">
        <v>396</v>
      </c>
      <c r="M1" s="2" t="s">
        <v>9</v>
      </c>
      <c r="N1" s="2" t="s">
        <v>455</v>
      </c>
      <c r="O1" s="2" t="s">
        <v>456</v>
      </c>
      <c r="P1" s="2" t="s">
        <v>457</v>
      </c>
      <c r="Q1" s="2" t="s">
        <v>342</v>
      </c>
      <c r="R1" s="2" t="s">
        <v>343</v>
      </c>
      <c r="S1" s="2" t="s">
        <v>344</v>
      </c>
      <c r="T1" s="2" t="s">
        <v>458</v>
      </c>
      <c r="U1" s="2" t="s">
        <v>459</v>
      </c>
      <c r="V1" s="2" t="s">
        <v>460</v>
      </c>
      <c r="W1" s="2" t="s">
        <v>461</v>
      </c>
      <c r="X1" s="3"/>
      <c r="Y1" s="3"/>
      <c r="Z1" s="3"/>
      <c r="AA1" s="3"/>
      <c r="AB1" s="3"/>
      <c r="AC1" s="3"/>
      <c r="AD1" s="3"/>
      <c r="AE1" s="3"/>
      <c r="AF1" s="3"/>
      <c r="AG1" s="3"/>
      <c r="AH1" s="3"/>
      <c r="AI1" s="3"/>
      <c r="AJ1" s="3"/>
      <c r="AK1" s="3"/>
      <c r="AL1" s="3"/>
      <c r="AM1" s="3"/>
      <c r="AN1" s="3"/>
      <c r="AO1" s="3"/>
    </row>
    <row r="2" spans="1:41" x14ac:dyDescent="0.25">
      <c r="A2" t="str">
        <f>TRIM('Account Creation'!B2)</f>
        <v>Cristian</v>
      </c>
      <c r="B2" t="str">
        <f>TRIM('Account Creation'!C2)</f>
        <v>Jose</v>
      </c>
      <c r="C2" t="str">
        <f>TRIM('Account Creation'!D2)</f>
        <v>Ramirez</v>
      </c>
      <c r="D2">
        <f>'Account Creation'!M2</f>
        <v>2463</v>
      </c>
      <c r="E2" t="str">
        <f>TRIM('Help Desk'!D2)</f>
        <v>vn54tqf</v>
      </c>
      <c r="F2">
        <f>'Help Desk'!E2</f>
        <v>0</v>
      </c>
      <c r="I2" t="str">
        <f>'Account Creation'!K2</f>
        <v>Agent</v>
      </c>
      <c r="K2" t="str">
        <f>'Account Creation'!I2</f>
        <v>Guatemala City</v>
      </c>
      <c r="L2" s="1">
        <f>'Account Creation'!G2</f>
        <v>44851</v>
      </c>
      <c r="M2" s="13">
        <f>'Account Creation'!U2</f>
        <v>0</v>
      </c>
      <c r="N2" t="str">
        <f>RNT_Ecomm!A2</f>
        <v>vn54tqf</v>
      </c>
      <c r="O2" t="str">
        <f>RNT_Ecomm!G2</f>
        <v>1@Password</v>
      </c>
      <c r="P2" t="str">
        <f>TRIM('VCC_Ecomm Step2'!B2)</f>
        <v/>
      </c>
      <c r="Q2">
        <f>'Help Desk'!J2</f>
        <v>0</v>
      </c>
      <c r="R2">
        <f>'Help Desk'!K2</f>
        <v>0</v>
      </c>
      <c r="S2">
        <f>'Help Desk'!L2</f>
        <v>0</v>
      </c>
      <c r="T2" t="str">
        <f>CONCATENATE('Help Desk'!D2,"@walmart.com")</f>
        <v>vn54tqf@walmart.com</v>
      </c>
      <c r="U2" t="s">
        <v>462</v>
      </c>
      <c r="V2" t="str">
        <f>LITMOS!A2</f>
        <v>vn54tqf</v>
      </c>
      <c r="W2" t="str">
        <f>LITMOS!E2</f>
        <v>W@lmart1</v>
      </c>
    </row>
    <row r="3" spans="1:41" x14ac:dyDescent="0.25">
      <c r="A3" t="str">
        <f>TRIM('Account Creation'!B3)</f>
        <v>Claudia</v>
      </c>
      <c r="B3" t="str">
        <f>TRIM('Account Creation'!C3)</f>
        <v>Gabriela</v>
      </c>
      <c r="C3" t="str">
        <f>TRIM('Account Creation'!D3)</f>
        <v>Garcia</v>
      </c>
      <c r="D3">
        <f>'Account Creation'!M3</f>
        <v>2464</v>
      </c>
      <c r="E3" t="str">
        <f>TRIM('Help Desk'!D3)</f>
        <v>vn54tqh</v>
      </c>
      <c r="F3">
        <f>'Help Desk'!E3</f>
        <v>0</v>
      </c>
      <c r="I3" t="str">
        <f>'Account Creation'!K3</f>
        <v>Agent</v>
      </c>
      <c r="K3" t="str">
        <f>'Account Creation'!I3</f>
        <v>Guatemala City</v>
      </c>
      <c r="L3" s="1">
        <f>'Account Creation'!G3</f>
        <v>44851</v>
      </c>
      <c r="M3" s="13">
        <f>'Account Creation'!U3</f>
        <v>0</v>
      </c>
      <c r="N3" t="str">
        <f>RNT_Ecomm!A3</f>
        <v>vn54tqh</v>
      </c>
      <c r="O3" t="str">
        <f>RNT_Ecomm!G3</f>
        <v>1@Password</v>
      </c>
      <c r="P3" t="str">
        <f>TRIM('VCC_Ecomm Step2'!B3)</f>
        <v/>
      </c>
      <c r="Q3">
        <f>'Help Desk'!J3</f>
        <v>0</v>
      </c>
      <c r="R3">
        <f>'Help Desk'!K3</f>
        <v>0</v>
      </c>
      <c r="S3">
        <f>'Help Desk'!L3</f>
        <v>0</v>
      </c>
      <c r="T3" t="str">
        <f>CONCATENATE('Help Desk'!D3,"@walmart.com")</f>
        <v>vn54tqh@walmart.com</v>
      </c>
      <c r="U3" t="s">
        <v>462</v>
      </c>
      <c r="V3" t="str">
        <f>LITMOS!A3</f>
        <v>vn54tqh</v>
      </c>
      <c r="W3" t="str">
        <f>LITMOS!E3</f>
        <v>W@lmart1</v>
      </c>
    </row>
    <row r="4" spans="1:41" x14ac:dyDescent="0.25">
      <c r="A4" t="str">
        <f>TRIM('Account Creation'!B4)</f>
        <v>Luis</v>
      </c>
      <c r="B4" t="str">
        <f>TRIM('Account Creation'!C4)</f>
        <v>Fernando</v>
      </c>
      <c r="C4" t="str">
        <f>TRIM('Account Creation'!D4)</f>
        <v>Hernandez</v>
      </c>
      <c r="D4">
        <f>'Account Creation'!M4</f>
        <v>2465</v>
      </c>
      <c r="E4" t="str">
        <f>TRIM('Help Desk'!D4)</f>
        <v>vn54tqj</v>
      </c>
      <c r="F4">
        <f>'Help Desk'!E4</f>
        <v>0</v>
      </c>
      <c r="I4" t="str">
        <f>'Account Creation'!K4</f>
        <v>Agent</v>
      </c>
      <c r="K4" t="str">
        <f>'Account Creation'!I4</f>
        <v>Guatemala City</v>
      </c>
      <c r="L4" s="1">
        <f>'Account Creation'!G4</f>
        <v>44851</v>
      </c>
      <c r="M4" s="13">
        <f>'Account Creation'!U4</f>
        <v>0</v>
      </c>
      <c r="N4" t="str">
        <f>RNT_Ecomm!A4</f>
        <v>vn54tqj</v>
      </c>
      <c r="O4" t="str">
        <f>RNT_Ecomm!G4</f>
        <v>1@Password</v>
      </c>
      <c r="P4" t="str">
        <f>TRIM('VCC_Ecomm Step2'!B4)</f>
        <v/>
      </c>
      <c r="Q4">
        <f>'Help Desk'!J4</f>
        <v>0</v>
      </c>
      <c r="R4">
        <f>'Help Desk'!K4</f>
        <v>0</v>
      </c>
      <c r="S4">
        <f>'Help Desk'!L4</f>
        <v>0</v>
      </c>
      <c r="T4" t="str">
        <f>CONCATENATE('Help Desk'!D4,"@walmart.com")</f>
        <v>vn54tqj@walmart.com</v>
      </c>
      <c r="U4" t="s">
        <v>462</v>
      </c>
      <c r="V4" t="str">
        <f>LITMOS!A4</f>
        <v>vn54tqj</v>
      </c>
      <c r="W4" t="str">
        <f>LITMOS!E4</f>
        <v>W@lmart1</v>
      </c>
    </row>
    <row r="5" spans="1:41" x14ac:dyDescent="0.25">
      <c r="A5" t="str">
        <f>TRIM('Account Creation'!B5)</f>
        <v>Sofia</v>
      </c>
      <c r="B5" t="str">
        <f>TRIM('Account Creation'!C5)</f>
        <v>Bernice</v>
      </c>
      <c r="C5" t="str">
        <f>TRIM('Account Creation'!D5)</f>
        <v>Marroquin</v>
      </c>
      <c r="D5">
        <f>'Account Creation'!M5</f>
        <v>2466</v>
      </c>
      <c r="E5" t="str">
        <f>TRIM('Help Desk'!D5)</f>
        <v>vn54tql</v>
      </c>
      <c r="F5">
        <f>'Help Desk'!E5</f>
        <v>0</v>
      </c>
      <c r="I5" t="str">
        <f>'Account Creation'!K5</f>
        <v>Agent</v>
      </c>
      <c r="K5" t="str">
        <f>'Account Creation'!I5</f>
        <v>Guatemala City</v>
      </c>
      <c r="L5" s="1">
        <f>'Account Creation'!G5</f>
        <v>44851</v>
      </c>
      <c r="M5" s="13">
        <f>'Account Creation'!U5</f>
        <v>0</v>
      </c>
      <c r="N5" t="str">
        <f>RNT_Ecomm!A5</f>
        <v>vn54tql</v>
      </c>
      <c r="O5" t="str">
        <f>RNT_Ecomm!G5</f>
        <v>1@Password</v>
      </c>
      <c r="P5" t="str">
        <f>TRIM('VCC_Ecomm Step2'!B5)</f>
        <v/>
      </c>
      <c r="Q5">
        <f>'Help Desk'!J5</f>
        <v>0</v>
      </c>
      <c r="R5">
        <f>'Help Desk'!K5</f>
        <v>0</v>
      </c>
      <c r="S5">
        <f>'Help Desk'!L5</f>
        <v>0</v>
      </c>
      <c r="T5" t="str">
        <f>CONCATENATE('Help Desk'!D5,"@walmart.com")</f>
        <v>vn54tql@walmart.com</v>
      </c>
      <c r="U5" t="s">
        <v>462</v>
      </c>
      <c r="V5" t="str">
        <f>LITMOS!A5</f>
        <v>vn54tql</v>
      </c>
      <c r="W5" t="str">
        <f>LITMOS!E5</f>
        <v>W@lmart1</v>
      </c>
    </row>
    <row r="6" spans="1:41" x14ac:dyDescent="0.25">
      <c r="A6" t="str">
        <f>TRIM('Account Creation'!B6)</f>
        <v>Guillermo</v>
      </c>
      <c r="B6" t="str">
        <f>TRIM('Account Creation'!C6)</f>
        <v>Benjamin</v>
      </c>
      <c r="C6" t="str">
        <f>TRIM('Account Creation'!D6)</f>
        <v>Zamora</v>
      </c>
      <c r="D6">
        <f>'Account Creation'!M6</f>
        <v>2467</v>
      </c>
      <c r="E6" t="str">
        <f>TRIM('Help Desk'!D6)</f>
        <v>vn54tqn</v>
      </c>
      <c r="F6">
        <f>'Help Desk'!E6</f>
        <v>0</v>
      </c>
      <c r="I6" t="str">
        <f>'Account Creation'!K6</f>
        <v>Agent</v>
      </c>
      <c r="K6" t="str">
        <f>'Account Creation'!I6</f>
        <v>Guatemala City</v>
      </c>
      <c r="L6" s="1">
        <f>'Account Creation'!G6</f>
        <v>44851</v>
      </c>
      <c r="M6" s="13">
        <f>'Account Creation'!U6</f>
        <v>0</v>
      </c>
      <c r="N6" t="str">
        <f>RNT_Ecomm!A6</f>
        <v>vn54tqn</v>
      </c>
      <c r="O6" t="str">
        <f>RNT_Ecomm!G6</f>
        <v>1@Password</v>
      </c>
      <c r="P6" t="str">
        <f>TRIM('VCC_Ecomm Step2'!B6)</f>
        <v/>
      </c>
      <c r="Q6">
        <f>'Help Desk'!J6</f>
        <v>0</v>
      </c>
      <c r="R6">
        <f>'Help Desk'!K6</f>
        <v>0</v>
      </c>
      <c r="S6">
        <f>'Help Desk'!L6</f>
        <v>0</v>
      </c>
      <c r="T6" t="str">
        <f>CONCATENATE('Help Desk'!D6,"@walmart.com")</f>
        <v>vn54tqn@walmart.com</v>
      </c>
      <c r="U6" t="s">
        <v>462</v>
      </c>
      <c r="V6" t="str">
        <f>LITMOS!A6</f>
        <v>vn54tqn</v>
      </c>
      <c r="W6" t="str">
        <f>LITMOS!E6</f>
        <v>W@lmart1</v>
      </c>
    </row>
    <row r="7" spans="1:41" x14ac:dyDescent="0.25">
      <c r="A7" t="str">
        <f>TRIM('Account Creation'!B7)</f>
        <v>Katherine</v>
      </c>
      <c r="B7" t="str">
        <f>TRIM('Account Creation'!C7)</f>
        <v>Gabriela</v>
      </c>
      <c r="C7" t="str">
        <f>TRIM('Account Creation'!D7)</f>
        <v>Santizo</v>
      </c>
      <c r="D7">
        <f>'Account Creation'!M7</f>
        <v>2468</v>
      </c>
      <c r="E7" t="str">
        <f>TRIM('Help Desk'!D7)</f>
        <v>vn54tqo</v>
      </c>
      <c r="F7">
        <f>'Help Desk'!E7</f>
        <v>0</v>
      </c>
      <c r="I7" t="str">
        <f>'Account Creation'!K7</f>
        <v>Agent</v>
      </c>
      <c r="K7" t="str">
        <f>'Account Creation'!I7</f>
        <v>Guatemala City</v>
      </c>
      <c r="L7" s="1">
        <f>'Account Creation'!G7</f>
        <v>44851</v>
      </c>
      <c r="M7" s="13">
        <f>'Account Creation'!U7</f>
        <v>0</v>
      </c>
      <c r="N7" t="str">
        <f>RNT_Ecomm!A7</f>
        <v>vn54tqo</v>
      </c>
      <c r="O7" t="str">
        <f>RNT_Ecomm!G7</f>
        <v>1@Password</v>
      </c>
      <c r="P7" t="str">
        <f>TRIM('VCC_Ecomm Step2'!B7)</f>
        <v/>
      </c>
      <c r="Q7">
        <f>'Help Desk'!J7</f>
        <v>0</v>
      </c>
      <c r="R7">
        <f>'Help Desk'!K7</f>
        <v>0</v>
      </c>
      <c r="S7">
        <f>'Help Desk'!L7</f>
        <v>0</v>
      </c>
      <c r="T7" t="str">
        <f>CONCATENATE('Help Desk'!D7,"@walmart.com")</f>
        <v>vn54tqo@walmart.com</v>
      </c>
      <c r="U7" t="s">
        <v>462</v>
      </c>
      <c r="V7" t="str">
        <f>LITMOS!A7</f>
        <v>vn54tqo</v>
      </c>
      <c r="W7" t="str">
        <f>LITMOS!E7</f>
        <v>W@lmart1</v>
      </c>
    </row>
    <row r="8" spans="1:41" x14ac:dyDescent="0.25">
      <c r="A8" t="str">
        <f>TRIM('Account Creation'!B8)</f>
        <v>Josue</v>
      </c>
      <c r="B8" t="str">
        <f>TRIM('Account Creation'!C8)</f>
        <v>David</v>
      </c>
      <c r="C8" t="str">
        <f>TRIM('Account Creation'!D8)</f>
        <v>Manrique</v>
      </c>
      <c r="D8">
        <f>'Account Creation'!M8</f>
        <v>2469</v>
      </c>
      <c r="E8" t="str">
        <f>TRIM('Help Desk'!D8)</f>
        <v>vn54tqq</v>
      </c>
      <c r="F8">
        <f>'Help Desk'!E8</f>
        <v>0</v>
      </c>
      <c r="I8" t="str">
        <f>'Account Creation'!K8</f>
        <v>Agent</v>
      </c>
      <c r="K8" t="str">
        <f>'Account Creation'!I8</f>
        <v>Guatemala City</v>
      </c>
      <c r="L8" s="1">
        <f>'Account Creation'!G8</f>
        <v>44851</v>
      </c>
      <c r="M8" s="13">
        <f>'Account Creation'!U8</f>
        <v>0</v>
      </c>
      <c r="N8" t="str">
        <f>RNT_Ecomm!A8</f>
        <v>vn54tqq</v>
      </c>
      <c r="O8" t="str">
        <f>RNT_Ecomm!G8</f>
        <v>1@Password</v>
      </c>
      <c r="P8" t="str">
        <f>TRIM('VCC_Ecomm Step2'!B8)</f>
        <v/>
      </c>
      <c r="Q8">
        <f>'Help Desk'!J8</f>
        <v>0</v>
      </c>
      <c r="R8">
        <f>'Help Desk'!K8</f>
        <v>0</v>
      </c>
      <c r="S8">
        <f>'Help Desk'!L8</f>
        <v>0</v>
      </c>
      <c r="T8" t="str">
        <f>CONCATENATE('Help Desk'!D8,"@walmart.com")</f>
        <v>vn54tqq@walmart.com</v>
      </c>
      <c r="U8" t="s">
        <v>462</v>
      </c>
      <c r="V8" t="str">
        <f>LITMOS!A8</f>
        <v>vn54tqq</v>
      </c>
      <c r="W8" t="str">
        <f>LITMOS!E8</f>
        <v>W@lmart1</v>
      </c>
    </row>
    <row r="9" spans="1:41" x14ac:dyDescent="0.25">
      <c r="A9" t="str">
        <f>TRIM('Account Creation'!B9)</f>
        <v>Kristtel</v>
      </c>
      <c r="B9" t="str">
        <f>TRIM('Account Creation'!C9)</f>
        <v>Carolina</v>
      </c>
      <c r="C9" t="str">
        <f>TRIM('Account Creation'!D9)</f>
        <v>Hernandez</v>
      </c>
      <c r="D9">
        <f>'Account Creation'!M9</f>
        <v>2470</v>
      </c>
      <c r="E9" t="str">
        <f>TRIM('Help Desk'!D9)</f>
        <v>vn54tqs</v>
      </c>
      <c r="F9">
        <f>'Help Desk'!E9</f>
        <v>0</v>
      </c>
      <c r="I9" t="str">
        <f>'Account Creation'!K9</f>
        <v>Agent</v>
      </c>
      <c r="K9" t="str">
        <f>'Account Creation'!I9</f>
        <v>Guatemala City</v>
      </c>
      <c r="L9" s="1">
        <f>'Account Creation'!G9</f>
        <v>44851</v>
      </c>
      <c r="M9" s="13">
        <f>'Account Creation'!U9</f>
        <v>0</v>
      </c>
      <c r="N9" t="str">
        <f>RNT_Ecomm!A9</f>
        <v>vn54tqs</v>
      </c>
      <c r="O9" t="str">
        <f>RNT_Ecomm!G9</f>
        <v>1@Password</v>
      </c>
      <c r="P9" t="str">
        <f>TRIM('VCC_Ecomm Step2'!B9)</f>
        <v/>
      </c>
      <c r="Q9">
        <f>'Help Desk'!J9</f>
        <v>0</v>
      </c>
      <c r="R9">
        <f>'Help Desk'!K9</f>
        <v>0</v>
      </c>
      <c r="S9">
        <f>'Help Desk'!L9</f>
        <v>0</v>
      </c>
      <c r="T9" t="str">
        <f>CONCATENATE('Help Desk'!D9,"@walmart.com")</f>
        <v>vn54tqs@walmart.com</v>
      </c>
      <c r="U9" t="s">
        <v>462</v>
      </c>
      <c r="V9" t="str">
        <f>LITMOS!A9</f>
        <v>vn54tqs</v>
      </c>
      <c r="W9" t="str">
        <f>LITMOS!E9</f>
        <v>W@lmart1</v>
      </c>
    </row>
    <row r="10" spans="1:41" x14ac:dyDescent="0.25">
      <c r="A10" t="str">
        <f>TRIM('Account Creation'!B10)</f>
        <v>Juan</v>
      </c>
      <c r="B10" t="str">
        <f>TRIM('Account Creation'!C10)</f>
        <v>Pablo</v>
      </c>
      <c r="C10" t="str">
        <f>TRIM('Account Creation'!D10)</f>
        <v>Flores</v>
      </c>
      <c r="D10">
        <f>'Account Creation'!M10</f>
        <v>2471</v>
      </c>
      <c r="E10" t="str">
        <f>TRIM('Help Desk'!D10)</f>
        <v>vn54tqu</v>
      </c>
      <c r="F10">
        <f>'Help Desk'!E10</f>
        <v>0</v>
      </c>
      <c r="I10" t="str">
        <f>'Account Creation'!K10</f>
        <v>Agent</v>
      </c>
      <c r="K10" t="str">
        <f>'Account Creation'!I10</f>
        <v>Guatemala City</v>
      </c>
      <c r="L10" s="1">
        <f>'Account Creation'!G10</f>
        <v>44851</v>
      </c>
      <c r="M10" s="13">
        <f>'Account Creation'!U10</f>
        <v>0</v>
      </c>
      <c r="N10" t="str">
        <f>RNT_Ecomm!A10</f>
        <v>vn54tqu</v>
      </c>
      <c r="O10" t="str">
        <f>RNT_Ecomm!G10</f>
        <v>1@Password</v>
      </c>
      <c r="P10" t="str">
        <f>TRIM('VCC_Ecomm Step2'!B10)</f>
        <v/>
      </c>
      <c r="Q10">
        <f>'Help Desk'!J10</f>
        <v>0</v>
      </c>
      <c r="R10">
        <f>'Help Desk'!K10</f>
        <v>0</v>
      </c>
      <c r="S10">
        <f>'Help Desk'!L10</f>
        <v>0</v>
      </c>
      <c r="T10" t="str">
        <f>CONCATENATE('Help Desk'!D10,"@walmart.com")</f>
        <v>vn54tqu@walmart.com</v>
      </c>
      <c r="U10" t="s">
        <v>462</v>
      </c>
      <c r="V10" t="str">
        <f>LITMOS!A10</f>
        <v>vn54tqu</v>
      </c>
      <c r="W10" t="str">
        <f>LITMOS!E10</f>
        <v>W@lmart1</v>
      </c>
    </row>
    <row r="11" spans="1:41" x14ac:dyDescent="0.25">
      <c r="A11" t="str">
        <f>TRIM('Account Creation'!B11)</f>
        <v>Gabriel</v>
      </c>
      <c r="B11" t="str">
        <f>TRIM('Account Creation'!C11)</f>
        <v>Adolfo</v>
      </c>
      <c r="C11" t="str">
        <f>TRIM('Account Creation'!D11)</f>
        <v>Morales</v>
      </c>
      <c r="D11">
        <f>'Account Creation'!M11</f>
        <v>2472</v>
      </c>
      <c r="E11" t="str">
        <f>TRIM('Help Desk'!D11)</f>
        <v>vn54tqw</v>
      </c>
      <c r="F11">
        <f>'Help Desk'!E11</f>
        <v>0</v>
      </c>
      <c r="I11" t="str">
        <f>'Account Creation'!K11</f>
        <v>Agent</v>
      </c>
      <c r="K11" t="str">
        <f>'Account Creation'!I11</f>
        <v>Guatemala City</v>
      </c>
      <c r="L11" s="1">
        <f>'Account Creation'!G11</f>
        <v>44851</v>
      </c>
      <c r="M11" s="13">
        <f>'Account Creation'!U11</f>
        <v>0</v>
      </c>
      <c r="N11" t="str">
        <f>RNT_Ecomm!A11</f>
        <v>vn54tqw</v>
      </c>
      <c r="O11" t="str">
        <f>RNT_Ecomm!G11</f>
        <v>1@Password</v>
      </c>
      <c r="P11" t="str">
        <f>TRIM('VCC_Ecomm Step2'!B11)</f>
        <v/>
      </c>
      <c r="Q11">
        <f>'Help Desk'!J11</f>
        <v>0</v>
      </c>
      <c r="R11">
        <f>'Help Desk'!K11</f>
        <v>0</v>
      </c>
      <c r="S11">
        <f>'Help Desk'!L11</f>
        <v>0</v>
      </c>
      <c r="T11" t="str">
        <f>CONCATENATE('Help Desk'!D11,"@walmart.com")</f>
        <v>vn54tqw@walmart.com</v>
      </c>
      <c r="U11" t="s">
        <v>462</v>
      </c>
      <c r="V11" t="str">
        <f>LITMOS!A11</f>
        <v>vn54tqw</v>
      </c>
      <c r="W11" t="str">
        <f>LITMOS!E11</f>
        <v>W@lmart1</v>
      </c>
    </row>
    <row r="12" spans="1:41" x14ac:dyDescent="0.25">
      <c r="A12" t="str">
        <f>TRIM('Account Creation'!B12)</f>
        <v>Mercedez</v>
      </c>
      <c r="B12" t="str">
        <f>TRIM('Account Creation'!C12)</f>
        <v>Isabel</v>
      </c>
      <c r="C12" t="str">
        <f>TRIM('Account Creation'!D12)</f>
        <v>De Leon</v>
      </c>
      <c r="D12">
        <f>'Account Creation'!M12</f>
        <v>2473</v>
      </c>
      <c r="E12" t="str">
        <f>TRIM('Help Desk'!D12)</f>
        <v>vn54tqy</v>
      </c>
      <c r="F12">
        <f>'Help Desk'!E12</f>
        <v>0</v>
      </c>
      <c r="I12" t="str">
        <f>'Account Creation'!K12</f>
        <v>Agent</v>
      </c>
      <c r="K12" t="str">
        <f>'Account Creation'!I12</f>
        <v>Guatemala City</v>
      </c>
      <c r="L12" s="1">
        <f>'Account Creation'!G12</f>
        <v>44851</v>
      </c>
      <c r="M12" s="13">
        <f>'Account Creation'!U12</f>
        <v>0</v>
      </c>
      <c r="N12" t="str">
        <f>RNT_Ecomm!A12</f>
        <v>vn54tqy</v>
      </c>
      <c r="O12" t="str">
        <f>RNT_Ecomm!G12</f>
        <v>1@Password</v>
      </c>
      <c r="P12" t="str">
        <f>TRIM('VCC_Ecomm Step2'!B12)</f>
        <v/>
      </c>
      <c r="Q12">
        <f>'Help Desk'!J12</f>
        <v>0</v>
      </c>
      <c r="R12">
        <f>'Help Desk'!K12</f>
        <v>0</v>
      </c>
      <c r="S12">
        <f>'Help Desk'!L12</f>
        <v>0</v>
      </c>
      <c r="T12" t="str">
        <f>CONCATENATE('Help Desk'!D12,"@walmart.com")</f>
        <v>vn54tqy@walmart.com</v>
      </c>
      <c r="U12" t="s">
        <v>462</v>
      </c>
      <c r="V12" t="str">
        <f>LITMOS!A12</f>
        <v>vn54tqy</v>
      </c>
      <c r="W12" t="str">
        <f>LITMOS!E12</f>
        <v>W@lmart1</v>
      </c>
    </row>
    <row r="13" spans="1:41" x14ac:dyDescent="0.25">
      <c r="A13" t="str">
        <f>TRIM('Account Creation'!B13)</f>
        <v>Eduardo</v>
      </c>
      <c r="B13" t="str">
        <f>TRIM('Account Creation'!C13)</f>
        <v>Andres</v>
      </c>
      <c r="C13" t="str">
        <f>TRIM('Account Creation'!D13)</f>
        <v>Prera</v>
      </c>
      <c r="D13">
        <f>'Account Creation'!M13</f>
        <v>2474</v>
      </c>
      <c r="E13" t="str">
        <f>TRIM('Help Desk'!D13)</f>
        <v>vn54tr0</v>
      </c>
      <c r="F13">
        <f>'Help Desk'!E13</f>
        <v>0</v>
      </c>
      <c r="I13" t="str">
        <f>'Account Creation'!K13</f>
        <v>Agent</v>
      </c>
      <c r="K13" t="str">
        <f>'Account Creation'!I13</f>
        <v>Guatemala City</v>
      </c>
      <c r="L13" s="1">
        <f>'Account Creation'!G13</f>
        <v>44851</v>
      </c>
      <c r="M13" s="13">
        <f>'Account Creation'!U13</f>
        <v>0</v>
      </c>
      <c r="N13" t="str">
        <f>RNT_Ecomm!A13</f>
        <v>vn54tr0</v>
      </c>
      <c r="O13" t="str">
        <f>RNT_Ecomm!G13</f>
        <v>1@Password</v>
      </c>
      <c r="P13" t="str">
        <f>TRIM('VCC_Ecomm Step2'!B13)</f>
        <v/>
      </c>
      <c r="Q13">
        <f>'Help Desk'!J13</f>
        <v>0</v>
      </c>
      <c r="R13">
        <f>'Help Desk'!K13</f>
        <v>0</v>
      </c>
      <c r="S13">
        <f>'Help Desk'!L13</f>
        <v>0</v>
      </c>
      <c r="T13" t="str">
        <f>CONCATENATE('Help Desk'!D13,"@walmart.com")</f>
        <v>vn54tr0@walmart.com</v>
      </c>
      <c r="U13" t="s">
        <v>462</v>
      </c>
      <c r="V13" t="str">
        <f>LITMOS!A13</f>
        <v>vn54tr0</v>
      </c>
      <c r="W13" t="str">
        <f>LITMOS!E13</f>
        <v>W@lmart1</v>
      </c>
    </row>
    <row r="14" spans="1:41" x14ac:dyDescent="0.25">
      <c r="A14" t="str">
        <f>TRIM('Account Creation'!B14)</f>
        <v>Madelin</v>
      </c>
      <c r="B14" t="str">
        <f>TRIM('Account Creation'!C14)</f>
        <v>Johana</v>
      </c>
      <c r="C14" t="str">
        <f>TRIM('Account Creation'!D14)</f>
        <v>Abal</v>
      </c>
      <c r="D14">
        <f>'Account Creation'!M14</f>
        <v>2475</v>
      </c>
      <c r="E14" t="str">
        <f>TRIM('Help Desk'!D14)</f>
        <v>vn54tr2</v>
      </c>
      <c r="F14">
        <f>'Help Desk'!E14</f>
        <v>0</v>
      </c>
      <c r="I14" t="str">
        <f>'Account Creation'!K14</f>
        <v>Agent</v>
      </c>
      <c r="K14" t="str">
        <f>'Account Creation'!I14</f>
        <v>Guatemala City</v>
      </c>
      <c r="L14" s="1">
        <f>'Account Creation'!G14</f>
        <v>44851</v>
      </c>
      <c r="M14" s="13">
        <f>'Account Creation'!U14</f>
        <v>0</v>
      </c>
      <c r="N14" t="str">
        <f>RNT_Ecomm!A14</f>
        <v>vn54tr2</v>
      </c>
      <c r="O14" t="str">
        <f>RNT_Ecomm!G14</f>
        <v>1@Password</v>
      </c>
      <c r="P14" t="str">
        <f>TRIM('VCC_Ecomm Step2'!B14)</f>
        <v/>
      </c>
      <c r="Q14">
        <f>'Help Desk'!J14</f>
        <v>0</v>
      </c>
      <c r="R14">
        <f>'Help Desk'!K14</f>
        <v>0</v>
      </c>
      <c r="S14">
        <f>'Help Desk'!L14</f>
        <v>0</v>
      </c>
      <c r="T14" t="str">
        <f>CONCATENATE('Help Desk'!D14,"@walmart.com")</f>
        <v>vn54tr2@walmart.com</v>
      </c>
      <c r="U14" t="s">
        <v>462</v>
      </c>
      <c r="V14" t="str">
        <f>LITMOS!A14</f>
        <v>vn54tr2</v>
      </c>
      <c r="W14" t="str">
        <f>LITMOS!E14</f>
        <v>W@lmart1</v>
      </c>
    </row>
    <row r="15" spans="1:41" x14ac:dyDescent="0.25">
      <c r="A15" t="str">
        <f>TRIM('Account Creation'!B15)</f>
        <v>Dyana</v>
      </c>
      <c r="B15" t="str">
        <f>TRIM('Account Creation'!C15)</f>
        <v>Priscila</v>
      </c>
      <c r="C15" t="str">
        <f>TRIM('Account Creation'!D15)</f>
        <v>Calicio</v>
      </c>
      <c r="D15">
        <f>'Account Creation'!M15</f>
        <v>2476</v>
      </c>
      <c r="E15" t="str">
        <f>TRIM('Help Desk'!D15)</f>
        <v>vn54tr4</v>
      </c>
      <c r="F15">
        <f>'Help Desk'!E15</f>
        <v>0</v>
      </c>
      <c r="I15" t="str">
        <f>'Account Creation'!K15</f>
        <v>Agent</v>
      </c>
      <c r="K15" t="str">
        <f>'Account Creation'!I15</f>
        <v>Guatemala City</v>
      </c>
      <c r="L15" s="1">
        <f>'Account Creation'!G15</f>
        <v>44851</v>
      </c>
      <c r="M15" s="13">
        <f>'Account Creation'!U15</f>
        <v>0</v>
      </c>
      <c r="N15" t="str">
        <f>RNT_Ecomm!A15</f>
        <v>vn54tr4</v>
      </c>
      <c r="O15" t="str">
        <f>RNT_Ecomm!G15</f>
        <v>1@Password</v>
      </c>
      <c r="P15" t="str">
        <f>TRIM('VCC_Ecomm Step2'!B15)</f>
        <v/>
      </c>
      <c r="Q15">
        <f>'Help Desk'!J15</f>
        <v>0</v>
      </c>
      <c r="R15">
        <f>'Help Desk'!K15</f>
        <v>0</v>
      </c>
      <c r="S15">
        <f>'Help Desk'!L15</f>
        <v>0</v>
      </c>
      <c r="T15" t="str">
        <f>CONCATENATE('Help Desk'!D15,"@walmart.com")</f>
        <v>vn54tr4@walmart.com</v>
      </c>
      <c r="U15" t="s">
        <v>462</v>
      </c>
      <c r="V15" t="str">
        <f>LITMOS!A15</f>
        <v>vn54tr4</v>
      </c>
      <c r="W15" t="str">
        <f>LITMOS!E15</f>
        <v>W@lmart1</v>
      </c>
    </row>
    <row r="16" spans="1:41" x14ac:dyDescent="0.25">
      <c r="A16" t="str">
        <f>TRIM('Account Creation'!B16)</f>
        <v>Sandra</v>
      </c>
      <c r="B16" t="str">
        <f>TRIM('Account Creation'!C16)</f>
        <v>Virginia</v>
      </c>
      <c r="C16" t="str">
        <f>TRIM('Account Creation'!D16)</f>
        <v>Arango</v>
      </c>
      <c r="D16">
        <f>'Account Creation'!M16</f>
        <v>2477</v>
      </c>
      <c r="E16" t="str">
        <f>TRIM('Help Desk'!D16)</f>
        <v>vn54tr6</v>
      </c>
      <c r="F16">
        <f>'Help Desk'!E16</f>
        <v>0</v>
      </c>
      <c r="I16" t="str">
        <f>'Account Creation'!K16</f>
        <v>Agent</v>
      </c>
      <c r="K16" t="str">
        <f>'Account Creation'!I16</f>
        <v>Guatemala City</v>
      </c>
      <c r="L16" s="1">
        <f>'Account Creation'!G16</f>
        <v>44851</v>
      </c>
      <c r="M16" s="13">
        <f>'Account Creation'!U16</f>
        <v>0</v>
      </c>
      <c r="N16" t="str">
        <f>RNT_Ecomm!A16</f>
        <v>vn54tr6</v>
      </c>
      <c r="O16" t="str">
        <f>RNT_Ecomm!G16</f>
        <v>1@Password</v>
      </c>
      <c r="P16" t="str">
        <f>TRIM('VCC_Ecomm Step2'!B16)</f>
        <v/>
      </c>
      <c r="Q16">
        <f>'Help Desk'!J16</f>
        <v>0</v>
      </c>
      <c r="R16">
        <f>'Help Desk'!K16</f>
        <v>0</v>
      </c>
      <c r="S16">
        <f>'Help Desk'!L16</f>
        <v>0</v>
      </c>
      <c r="T16" t="str">
        <f>CONCATENATE('Help Desk'!D16,"@walmart.com")</f>
        <v>vn54tr6@walmart.com</v>
      </c>
      <c r="U16" t="s">
        <v>462</v>
      </c>
      <c r="V16" t="str">
        <f>LITMOS!A16</f>
        <v>vn54tr6</v>
      </c>
      <c r="W16" t="str">
        <f>LITMOS!E16</f>
        <v>W@lmart1</v>
      </c>
    </row>
    <row r="17" spans="12:13" x14ac:dyDescent="0.25">
      <c r="L17" s="1"/>
      <c r="M17" s="13"/>
    </row>
    <row r="18" spans="12:13" x14ac:dyDescent="0.25">
      <c r="L18" s="1"/>
      <c r="M18" s="13"/>
    </row>
    <row r="19" spans="12:13" x14ac:dyDescent="0.25">
      <c r="L19" s="1"/>
      <c r="M19" s="13"/>
    </row>
    <row r="20" spans="12:13" x14ac:dyDescent="0.25">
      <c r="L20" s="1"/>
      <c r="M20" s="13"/>
    </row>
    <row r="21" spans="12:13" x14ac:dyDescent="0.25">
      <c r="L21" s="1"/>
      <c r="M21" s="13"/>
    </row>
    <row r="22" spans="12:13" x14ac:dyDescent="0.25">
      <c r="L22" s="1"/>
      <c r="M22" s="13"/>
    </row>
    <row r="23" spans="12:13" x14ac:dyDescent="0.25">
      <c r="L23" s="1"/>
      <c r="M23" s="13"/>
    </row>
    <row r="24" spans="12:13" x14ac:dyDescent="0.25">
      <c r="L24" s="1"/>
      <c r="M24" s="13"/>
    </row>
    <row r="25" spans="12:13" x14ac:dyDescent="0.25">
      <c r="L25" s="1"/>
      <c r="M25" s="13"/>
    </row>
    <row r="26" spans="12:13" x14ac:dyDescent="0.25">
      <c r="L26" s="1"/>
      <c r="M26" s="13"/>
    </row>
    <row r="27" spans="12:13" x14ac:dyDescent="0.25">
      <c r="L27" s="1"/>
      <c r="M27" s="13"/>
    </row>
    <row r="28" spans="12:13" x14ac:dyDescent="0.25">
      <c r="L28" s="1"/>
      <c r="M28" s="13"/>
    </row>
    <row r="29" spans="12:13" x14ac:dyDescent="0.25">
      <c r="L29" s="1"/>
      <c r="M29" s="13"/>
    </row>
    <row r="30" spans="12:13" x14ac:dyDescent="0.25">
      <c r="L30" s="1"/>
      <c r="M30" s="13"/>
    </row>
    <row r="31" spans="12:13" x14ac:dyDescent="0.25">
      <c r="L31" s="1"/>
      <c r="M31" s="13"/>
    </row>
    <row r="32" spans="12:13" x14ac:dyDescent="0.25">
      <c r="L32" s="1"/>
      <c r="M32" s="13"/>
    </row>
    <row r="33" spans="12:13" x14ac:dyDescent="0.25">
      <c r="L33" s="1"/>
      <c r="M33" s="13"/>
    </row>
    <row r="34" spans="12:13" x14ac:dyDescent="0.25">
      <c r="L34" s="1"/>
      <c r="M34" s="13"/>
    </row>
    <row r="35" spans="12:13" x14ac:dyDescent="0.25">
      <c r="L35" s="1"/>
      <c r="M35" s="13"/>
    </row>
    <row r="36" spans="12:13" x14ac:dyDescent="0.25">
      <c r="L36" s="1"/>
      <c r="M36" s="13"/>
    </row>
    <row r="37" spans="12:13" x14ac:dyDescent="0.25">
      <c r="L37" s="1"/>
      <c r="M37" s="13"/>
    </row>
    <row r="38" spans="12:13" x14ac:dyDescent="0.25">
      <c r="L38" s="1"/>
      <c r="M38" s="13"/>
    </row>
    <row r="39" spans="12:13" x14ac:dyDescent="0.25">
      <c r="L39" s="1"/>
      <c r="M39" s="13"/>
    </row>
    <row r="40" spans="12:13" x14ac:dyDescent="0.25">
      <c r="L40" s="1"/>
      <c r="M40" s="13"/>
    </row>
    <row r="41" spans="12:13" x14ac:dyDescent="0.25">
      <c r="L41" s="1"/>
      <c r="M41" s="13"/>
    </row>
    <row r="42" spans="12:13" x14ac:dyDescent="0.25">
      <c r="L42" s="1"/>
      <c r="M42" s="13"/>
    </row>
    <row r="43" spans="12:13" x14ac:dyDescent="0.25">
      <c r="L43" s="1"/>
      <c r="M43" s="13"/>
    </row>
    <row r="44" spans="12:13" x14ac:dyDescent="0.25">
      <c r="L44" s="1"/>
      <c r="M44" s="13"/>
    </row>
    <row r="45" spans="12:13" x14ac:dyDescent="0.25">
      <c r="L45" s="1"/>
      <c r="M45" s="13"/>
    </row>
    <row r="46" spans="12:13" x14ac:dyDescent="0.25">
      <c r="L46" s="1"/>
      <c r="M46" s="13"/>
    </row>
    <row r="47" spans="12:13" x14ac:dyDescent="0.25">
      <c r="L47" s="1"/>
      <c r="M47" s="13"/>
    </row>
    <row r="48" spans="12:13" x14ac:dyDescent="0.25">
      <c r="L48" s="1"/>
      <c r="M48" s="13"/>
    </row>
    <row r="49" spans="12:13" x14ac:dyDescent="0.25">
      <c r="L49" s="1"/>
      <c r="M49" s="13"/>
    </row>
    <row r="50" spans="12:13" x14ac:dyDescent="0.25">
      <c r="L50" s="1"/>
      <c r="M50" s="13"/>
    </row>
    <row r="51" spans="12:13" x14ac:dyDescent="0.25">
      <c r="L51" s="1"/>
      <c r="M51" s="13"/>
    </row>
    <row r="52" spans="12:13" x14ac:dyDescent="0.25">
      <c r="L52" s="1"/>
      <c r="M52" s="13"/>
    </row>
    <row r="53" spans="12:13" x14ac:dyDescent="0.25">
      <c r="L53" s="1"/>
      <c r="M53" s="13"/>
    </row>
    <row r="54" spans="12:13" x14ac:dyDescent="0.25">
      <c r="L54" s="1"/>
      <c r="M54" s="13"/>
    </row>
    <row r="55" spans="12:13" x14ac:dyDescent="0.25">
      <c r="L55" s="1"/>
      <c r="M55" s="13"/>
    </row>
    <row r="56" spans="12:13" x14ac:dyDescent="0.25">
      <c r="L56" s="1"/>
      <c r="M56" s="13"/>
    </row>
    <row r="57" spans="12:13" x14ac:dyDescent="0.25">
      <c r="L57" s="1"/>
      <c r="M57" s="13"/>
    </row>
    <row r="58" spans="12:13" x14ac:dyDescent="0.25">
      <c r="L58" s="1"/>
      <c r="M58" s="13"/>
    </row>
    <row r="59" spans="12:13" x14ac:dyDescent="0.25">
      <c r="L59" s="1"/>
      <c r="M59" s="13"/>
    </row>
    <row r="60" spans="12:13" x14ac:dyDescent="0.25">
      <c r="L60" s="1"/>
      <c r="M60" s="13"/>
    </row>
    <row r="61" spans="12:13" x14ac:dyDescent="0.25">
      <c r="L61" s="1"/>
      <c r="M61" s="13"/>
    </row>
    <row r="62" spans="12:13" x14ac:dyDescent="0.25">
      <c r="L62" s="1"/>
      <c r="M62" s="13"/>
    </row>
    <row r="63" spans="12:13" x14ac:dyDescent="0.25">
      <c r="L63" s="1"/>
      <c r="M63" s="13"/>
    </row>
    <row r="64" spans="12:13" x14ac:dyDescent="0.25">
      <c r="L64" s="1"/>
      <c r="M64" s="13"/>
    </row>
    <row r="65" spans="12:13" x14ac:dyDescent="0.25">
      <c r="L65" s="1"/>
      <c r="M65" s="13"/>
    </row>
    <row r="66" spans="12:13" x14ac:dyDescent="0.25">
      <c r="L66" s="1"/>
      <c r="M66" s="13"/>
    </row>
    <row r="67" spans="12:13" x14ac:dyDescent="0.25">
      <c r="L67" s="1"/>
      <c r="M67" s="13"/>
    </row>
    <row r="68" spans="12:13" x14ac:dyDescent="0.25">
      <c r="L68" s="1"/>
      <c r="M68" s="13"/>
    </row>
    <row r="69" spans="12:13" x14ac:dyDescent="0.25">
      <c r="L69" s="1"/>
      <c r="M69" s="13"/>
    </row>
    <row r="70" spans="12:13" x14ac:dyDescent="0.25">
      <c r="L70" s="1"/>
      <c r="M70" s="13"/>
    </row>
    <row r="71" spans="12:13" x14ac:dyDescent="0.25">
      <c r="L71" s="1"/>
      <c r="M71" s="13"/>
    </row>
    <row r="72" spans="12:13" x14ac:dyDescent="0.25">
      <c r="L72" s="1"/>
      <c r="M72" s="13"/>
    </row>
    <row r="73" spans="12:13" x14ac:dyDescent="0.25">
      <c r="L73" s="1"/>
      <c r="M73" s="13"/>
    </row>
    <row r="74" spans="12:13" x14ac:dyDescent="0.25">
      <c r="L74" s="1"/>
      <c r="M74" s="13"/>
    </row>
    <row r="75" spans="12:13" x14ac:dyDescent="0.25">
      <c r="L75" s="1"/>
      <c r="M75" s="13"/>
    </row>
    <row r="76" spans="12:13" x14ac:dyDescent="0.25">
      <c r="L76" s="1"/>
      <c r="M76" s="13"/>
    </row>
    <row r="77" spans="12:13" x14ac:dyDescent="0.25">
      <c r="L77" s="1"/>
      <c r="M77" s="13"/>
    </row>
    <row r="78" spans="12:13" x14ac:dyDescent="0.25">
      <c r="L78" s="1"/>
      <c r="M78" s="13"/>
    </row>
    <row r="79" spans="12:13" x14ac:dyDescent="0.25">
      <c r="L79" s="1"/>
      <c r="M79" s="13"/>
    </row>
    <row r="80" spans="12:13" x14ac:dyDescent="0.25">
      <c r="L80" s="1"/>
      <c r="M80" s="13"/>
    </row>
    <row r="81" spans="12:13" x14ac:dyDescent="0.25">
      <c r="L81" s="1"/>
      <c r="M81" s="13"/>
    </row>
    <row r="82" spans="12:13" x14ac:dyDescent="0.25">
      <c r="L82" s="1"/>
      <c r="M82" s="13"/>
    </row>
    <row r="83" spans="12:13" x14ac:dyDescent="0.25">
      <c r="L83" s="1"/>
      <c r="M83" s="13"/>
    </row>
    <row r="84" spans="12:13" x14ac:dyDescent="0.25">
      <c r="L84" s="1"/>
      <c r="M84" s="13"/>
    </row>
    <row r="85" spans="12:13" x14ac:dyDescent="0.25">
      <c r="L85" s="1"/>
      <c r="M85" s="13"/>
    </row>
    <row r="86" spans="12:13" x14ac:dyDescent="0.25">
      <c r="L86" s="1"/>
      <c r="M86" s="13"/>
    </row>
    <row r="87" spans="12:13" x14ac:dyDescent="0.25">
      <c r="L87" s="1"/>
      <c r="M87" s="13"/>
    </row>
    <row r="88" spans="12:13" x14ac:dyDescent="0.25">
      <c r="L88" s="1"/>
      <c r="M88" s="13"/>
    </row>
    <row r="89" spans="12:13" x14ac:dyDescent="0.25">
      <c r="L89" s="1"/>
      <c r="M89" s="13"/>
    </row>
    <row r="90" spans="12:13" x14ac:dyDescent="0.25">
      <c r="L90" s="1"/>
      <c r="M90" s="13"/>
    </row>
    <row r="91" spans="12:13" x14ac:dyDescent="0.25">
      <c r="L91" s="1"/>
      <c r="M91" s="13"/>
    </row>
    <row r="92" spans="12:13" x14ac:dyDescent="0.25">
      <c r="L92" s="1"/>
      <c r="M92" s="13"/>
    </row>
    <row r="93" spans="12:13" x14ac:dyDescent="0.25">
      <c r="L93" s="1"/>
      <c r="M93" s="13"/>
    </row>
    <row r="94" spans="12:13" x14ac:dyDescent="0.25">
      <c r="L94" s="1"/>
      <c r="M94" s="13"/>
    </row>
    <row r="95" spans="12:13" x14ac:dyDescent="0.25">
      <c r="L95" s="1"/>
      <c r="M95" s="13"/>
    </row>
    <row r="96" spans="12:13" x14ac:dyDescent="0.25">
      <c r="L96" s="1"/>
      <c r="M96" s="13"/>
    </row>
    <row r="97" spans="12:13" x14ac:dyDescent="0.25">
      <c r="L97" s="1"/>
      <c r="M97" s="13"/>
    </row>
    <row r="98" spans="12:13" x14ac:dyDescent="0.25">
      <c r="L98" s="1"/>
      <c r="M98" s="13"/>
    </row>
    <row r="99" spans="12:13" x14ac:dyDescent="0.25">
      <c r="L99" s="1"/>
      <c r="M99" s="13"/>
    </row>
    <row r="100" spans="12:13" x14ac:dyDescent="0.25">
      <c r="L100" s="1"/>
      <c r="M100" s="13"/>
    </row>
    <row r="101" spans="12:13" x14ac:dyDescent="0.25">
      <c r="L101" s="1"/>
      <c r="M101" s="13"/>
    </row>
    <row r="102" spans="12:13" x14ac:dyDescent="0.25">
      <c r="L102" s="1"/>
      <c r="M102" s="13"/>
    </row>
    <row r="103" spans="12:13" x14ac:dyDescent="0.25">
      <c r="L103" s="1"/>
      <c r="M103" s="13"/>
    </row>
    <row r="104" spans="12:13" x14ac:dyDescent="0.25">
      <c r="L104" s="1"/>
      <c r="M104" s="13"/>
    </row>
    <row r="105" spans="12:13" x14ac:dyDescent="0.25">
      <c r="L105" s="1"/>
      <c r="M105" s="13"/>
    </row>
    <row r="106" spans="12:13" x14ac:dyDescent="0.25">
      <c r="L106" s="1"/>
      <c r="M106" s="13"/>
    </row>
    <row r="107" spans="12:13" x14ac:dyDescent="0.25">
      <c r="L107" s="1"/>
      <c r="M107" s="13"/>
    </row>
    <row r="108" spans="12:13" x14ac:dyDescent="0.25">
      <c r="L108" s="1"/>
      <c r="M108" s="13"/>
    </row>
    <row r="109" spans="12:13" x14ac:dyDescent="0.25">
      <c r="L109" s="1"/>
      <c r="M109" s="13"/>
    </row>
    <row r="110" spans="12:13" x14ac:dyDescent="0.25">
      <c r="L110" s="1"/>
      <c r="M110" s="13"/>
    </row>
    <row r="111" spans="12:13" x14ac:dyDescent="0.25">
      <c r="L111" s="1"/>
      <c r="M111" s="13"/>
    </row>
    <row r="112" spans="12:13" x14ac:dyDescent="0.25">
      <c r="L112" s="1"/>
      <c r="M112" s="13"/>
    </row>
    <row r="113" spans="12:13" x14ac:dyDescent="0.25">
      <c r="L113" s="1"/>
      <c r="M113" s="13"/>
    </row>
    <row r="114" spans="12:13" x14ac:dyDescent="0.25">
      <c r="L114" s="1"/>
      <c r="M114" s="13"/>
    </row>
    <row r="115" spans="12:13" x14ac:dyDescent="0.25">
      <c r="L115" s="1"/>
      <c r="M115" s="13"/>
    </row>
    <row r="116" spans="12:13" x14ac:dyDescent="0.25">
      <c r="L116" s="1"/>
      <c r="M116" s="13"/>
    </row>
    <row r="117" spans="12:13" x14ac:dyDescent="0.25">
      <c r="L117" s="1"/>
      <c r="M117" s="13"/>
    </row>
    <row r="118" spans="12:13" x14ac:dyDescent="0.25">
      <c r="L118" s="1"/>
      <c r="M118" s="13"/>
    </row>
    <row r="119" spans="12:13" x14ac:dyDescent="0.25">
      <c r="L119" s="1"/>
      <c r="M119" s="13"/>
    </row>
    <row r="120" spans="12:13" x14ac:dyDescent="0.25">
      <c r="L120" s="1"/>
      <c r="M120" s="13"/>
    </row>
    <row r="121" spans="12:13" x14ac:dyDescent="0.25">
      <c r="L121" s="1"/>
      <c r="M121" s="13"/>
    </row>
    <row r="122" spans="12:13" x14ac:dyDescent="0.25">
      <c r="L122" s="1"/>
      <c r="M122" s="13"/>
    </row>
    <row r="123" spans="12:13" x14ac:dyDescent="0.25">
      <c r="L123" s="1"/>
      <c r="M123" s="13"/>
    </row>
    <row r="124" spans="12:13" x14ac:dyDescent="0.25">
      <c r="L124" s="1"/>
      <c r="M124" s="13"/>
    </row>
    <row r="125" spans="12:13" x14ac:dyDescent="0.25">
      <c r="L125" s="1"/>
      <c r="M125" s="13"/>
    </row>
    <row r="126" spans="12:13" x14ac:dyDescent="0.25">
      <c r="L126" s="1"/>
      <c r="M126" s="13"/>
    </row>
    <row r="127" spans="12:13" x14ac:dyDescent="0.25">
      <c r="L127" s="1"/>
      <c r="M127" s="13"/>
    </row>
    <row r="128" spans="12:13" x14ac:dyDescent="0.25">
      <c r="L128" s="1"/>
      <c r="M128" s="13"/>
    </row>
    <row r="129" spans="12:13" x14ac:dyDescent="0.25">
      <c r="L129" s="1"/>
      <c r="M129" s="13"/>
    </row>
    <row r="130" spans="12:13" x14ac:dyDescent="0.25">
      <c r="L130" s="1"/>
      <c r="M130" s="13"/>
    </row>
    <row r="131" spans="12:13" x14ac:dyDescent="0.25">
      <c r="L131" s="1"/>
      <c r="M131" s="13"/>
    </row>
    <row r="132" spans="12:13" x14ac:dyDescent="0.25">
      <c r="L132" s="1"/>
      <c r="M132" s="13"/>
    </row>
    <row r="133" spans="12:13" x14ac:dyDescent="0.25">
      <c r="L133" s="1"/>
      <c r="M133" s="13"/>
    </row>
    <row r="134" spans="12:13" x14ac:dyDescent="0.25">
      <c r="L134" s="1"/>
      <c r="M134" s="13"/>
    </row>
    <row r="135" spans="12:13" x14ac:dyDescent="0.25">
      <c r="L135" s="1"/>
      <c r="M135" s="13"/>
    </row>
    <row r="136" spans="12:13" x14ac:dyDescent="0.25">
      <c r="L136" s="1"/>
      <c r="M136" s="13"/>
    </row>
    <row r="137" spans="12:13" x14ac:dyDescent="0.25">
      <c r="L137" s="1"/>
      <c r="M137" s="13"/>
    </row>
    <row r="138" spans="12:13" x14ac:dyDescent="0.25">
      <c r="L138" s="1"/>
      <c r="M138" s="13"/>
    </row>
    <row r="139" spans="12:13" x14ac:dyDescent="0.25">
      <c r="L139" s="1"/>
      <c r="M139" s="13"/>
    </row>
    <row r="140" spans="12:13" x14ac:dyDescent="0.25">
      <c r="L140" s="1"/>
      <c r="M140" s="13"/>
    </row>
    <row r="141" spans="12:13" x14ac:dyDescent="0.25">
      <c r="L141" s="1"/>
      <c r="M141" s="13"/>
    </row>
    <row r="142" spans="12:13" x14ac:dyDescent="0.25">
      <c r="L142" s="1"/>
      <c r="M142" s="13"/>
    </row>
    <row r="143" spans="12:13" x14ac:dyDescent="0.25">
      <c r="L143" s="1"/>
      <c r="M143" s="13"/>
    </row>
    <row r="144" spans="12:13" x14ac:dyDescent="0.25">
      <c r="L144" s="1"/>
      <c r="M144" s="13"/>
    </row>
    <row r="145" spans="12:13" x14ac:dyDescent="0.25">
      <c r="L145" s="1"/>
      <c r="M145" s="13"/>
    </row>
    <row r="146" spans="12:13" x14ac:dyDescent="0.25">
      <c r="L146" s="1"/>
      <c r="M146" s="13"/>
    </row>
    <row r="147" spans="12:13" x14ac:dyDescent="0.25">
      <c r="L147" s="1"/>
      <c r="M147" s="13"/>
    </row>
    <row r="148" spans="12:13" x14ac:dyDescent="0.25">
      <c r="L148" s="1"/>
      <c r="M148" s="13"/>
    </row>
    <row r="149" spans="12:13" x14ac:dyDescent="0.25">
      <c r="L149" s="1"/>
      <c r="M149" s="13"/>
    </row>
    <row r="150" spans="12:13" x14ac:dyDescent="0.25">
      <c r="L150" s="1"/>
      <c r="M150" s="13"/>
    </row>
    <row r="151" spans="12:13" x14ac:dyDescent="0.25">
      <c r="L151" s="1"/>
      <c r="M151" s="13"/>
    </row>
    <row r="152" spans="12:13" x14ac:dyDescent="0.25">
      <c r="L152" s="1"/>
      <c r="M152" s="13"/>
    </row>
    <row r="153" spans="12:13" x14ac:dyDescent="0.25">
      <c r="L153" s="1"/>
      <c r="M153" s="13"/>
    </row>
    <row r="154" spans="12:13" x14ac:dyDescent="0.25">
      <c r="L154" s="1"/>
      <c r="M154" s="13"/>
    </row>
    <row r="155" spans="12:13" x14ac:dyDescent="0.25">
      <c r="L155" s="1"/>
      <c r="M155" s="13"/>
    </row>
    <row r="156" spans="12:13" x14ac:dyDescent="0.25">
      <c r="L156" s="1"/>
      <c r="M156" s="13"/>
    </row>
    <row r="157" spans="12:13" x14ac:dyDescent="0.25">
      <c r="L157" s="1"/>
      <c r="M157" s="13"/>
    </row>
    <row r="158" spans="12:13" x14ac:dyDescent="0.25">
      <c r="L158" s="1"/>
      <c r="M158" s="13"/>
    </row>
    <row r="159" spans="12:13" x14ac:dyDescent="0.25">
      <c r="L159" s="1"/>
      <c r="M159" s="13"/>
    </row>
    <row r="160" spans="12:13" x14ac:dyDescent="0.25">
      <c r="L160" s="1"/>
      <c r="M160" s="13"/>
    </row>
    <row r="161" spans="12:13" x14ac:dyDescent="0.25">
      <c r="L161" s="1"/>
      <c r="M161" s="13"/>
    </row>
    <row r="162" spans="12:13" x14ac:dyDescent="0.25">
      <c r="L162" s="1"/>
      <c r="M162" s="13"/>
    </row>
    <row r="163" spans="12:13" x14ac:dyDescent="0.25">
      <c r="L163" s="1"/>
      <c r="M163" s="13"/>
    </row>
    <row r="164" spans="12:13" x14ac:dyDescent="0.25">
      <c r="L164" s="1"/>
      <c r="M164" s="13"/>
    </row>
    <row r="165" spans="12:13" x14ac:dyDescent="0.25">
      <c r="L165" s="1"/>
      <c r="M165" s="13"/>
    </row>
    <row r="166" spans="12:13" x14ac:dyDescent="0.25">
      <c r="L166" s="1"/>
      <c r="M166" s="13"/>
    </row>
    <row r="167" spans="12:13" x14ac:dyDescent="0.25">
      <c r="L167" s="1"/>
      <c r="M167" s="13"/>
    </row>
    <row r="168" spans="12:13" x14ac:dyDescent="0.25">
      <c r="L168" s="1"/>
      <c r="M168" s="13"/>
    </row>
    <row r="169" spans="12:13" x14ac:dyDescent="0.25">
      <c r="L169" s="1"/>
      <c r="M169" s="13"/>
    </row>
    <row r="170" spans="12:13" x14ac:dyDescent="0.25">
      <c r="L170" s="1"/>
      <c r="M170" s="13"/>
    </row>
    <row r="171" spans="12:13" x14ac:dyDescent="0.25">
      <c r="L171" s="1"/>
      <c r="M171" s="13"/>
    </row>
    <row r="172" spans="12:13" x14ac:dyDescent="0.25">
      <c r="L172" s="1"/>
      <c r="M172" s="13"/>
    </row>
    <row r="173" spans="12:13" x14ac:dyDescent="0.25">
      <c r="L173" s="1"/>
      <c r="M173" s="13"/>
    </row>
    <row r="174" spans="12:13" x14ac:dyDescent="0.25">
      <c r="L174" s="1"/>
      <c r="M174" s="13"/>
    </row>
    <row r="175" spans="12:13" x14ac:dyDescent="0.25">
      <c r="L175" s="1"/>
      <c r="M175" s="13"/>
    </row>
    <row r="176" spans="12:13" x14ac:dyDescent="0.25">
      <c r="L176" s="1"/>
      <c r="M176" s="13"/>
    </row>
    <row r="177" spans="12:13" x14ac:dyDescent="0.25">
      <c r="L177" s="1"/>
      <c r="M177" s="13"/>
    </row>
    <row r="178" spans="12:13" x14ac:dyDescent="0.25">
      <c r="L178" s="1"/>
      <c r="M178" s="13"/>
    </row>
    <row r="179" spans="12:13" x14ac:dyDescent="0.25">
      <c r="L179" s="1"/>
      <c r="M179" s="13"/>
    </row>
    <row r="180" spans="12:13" x14ac:dyDescent="0.25">
      <c r="L180" s="1"/>
      <c r="M180" s="13"/>
    </row>
    <row r="181" spans="12:13" x14ac:dyDescent="0.25">
      <c r="L181" s="1"/>
      <c r="M181" s="13"/>
    </row>
    <row r="182" spans="12:13" x14ac:dyDescent="0.25">
      <c r="L182" s="1"/>
      <c r="M182" s="13"/>
    </row>
    <row r="183" spans="12:13" x14ac:dyDescent="0.25">
      <c r="L183" s="1"/>
      <c r="M183" s="13"/>
    </row>
    <row r="184" spans="12:13" x14ac:dyDescent="0.25">
      <c r="L184" s="1"/>
      <c r="M184" s="13"/>
    </row>
    <row r="185" spans="12:13" x14ac:dyDescent="0.25">
      <c r="L185" s="1"/>
      <c r="M185" s="13"/>
    </row>
    <row r="186" spans="12:13" x14ac:dyDescent="0.25">
      <c r="L186" s="1"/>
      <c r="M186" s="13"/>
    </row>
    <row r="187" spans="12:13" x14ac:dyDescent="0.25">
      <c r="L187" s="1"/>
      <c r="M187" s="13"/>
    </row>
    <row r="188" spans="12:13" x14ac:dyDescent="0.25">
      <c r="L188" s="1"/>
      <c r="M188" s="13"/>
    </row>
    <row r="189" spans="12:13" x14ac:dyDescent="0.25">
      <c r="L189" s="1"/>
      <c r="M189" s="13"/>
    </row>
    <row r="190" spans="12:13" x14ac:dyDescent="0.25">
      <c r="L190" s="1"/>
      <c r="M190" s="13"/>
    </row>
    <row r="191" spans="12:13" x14ac:dyDescent="0.25">
      <c r="L191" s="1"/>
      <c r="M191" s="13"/>
    </row>
    <row r="192" spans="12:13" x14ac:dyDescent="0.25">
      <c r="L192" s="1"/>
      <c r="M192" s="13"/>
    </row>
    <row r="193" spans="12:13" x14ac:dyDescent="0.25">
      <c r="L193" s="1"/>
      <c r="M193" s="13"/>
    </row>
    <row r="194" spans="12:13" x14ac:dyDescent="0.25">
      <c r="L194" s="1"/>
      <c r="M194" s="13"/>
    </row>
    <row r="195" spans="12:13" x14ac:dyDescent="0.25">
      <c r="L195" s="1"/>
      <c r="M195" s="13"/>
    </row>
    <row r="196" spans="12:13" x14ac:dyDescent="0.25">
      <c r="L196" s="1"/>
      <c r="M196" s="13"/>
    </row>
    <row r="197" spans="12:13" x14ac:dyDescent="0.25">
      <c r="L197" s="1"/>
      <c r="M197" s="13"/>
    </row>
    <row r="198" spans="12:13" x14ac:dyDescent="0.25">
      <c r="L198" s="1"/>
      <c r="M198" s="13"/>
    </row>
    <row r="199" spans="12:13" x14ac:dyDescent="0.25">
      <c r="L199" s="1"/>
      <c r="M199" s="13"/>
    </row>
    <row r="200" spans="12:13" x14ac:dyDescent="0.25">
      <c r="L200" s="1"/>
      <c r="M200" s="13"/>
    </row>
    <row r="201" spans="12:13" x14ac:dyDescent="0.25">
      <c r="L201" s="1"/>
      <c r="M201" s="13"/>
    </row>
    <row r="202" spans="12:13" x14ac:dyDescent="0.25">
      <c r="L202" s="1"/>
      <c r="M202" s="13"/>
    </row>
    <row r="203" spans="12:13" x14ac:dyDescent="0.25">
      <c r="L203" s="1"/>
      <c r="M203" s="13"/>
    </row>
    <row r="204" spans="12:13" x14ac:dyDescent="0.25">
      <c r="L204" s="1"/>
      <c r="M204" s="13"/>
    </row>
    <row r="205" spans="12:13" x14ac:dyDescent="0.25">
      <c r="L205" s="1"/>
      <c r="M205" s="13"/>
    </row>
    <row r="206" spans="12:13" x14ac:dyDescent="0.25">
      <c r="L206" s="1"/>
      <c r="M206" s="13"/>
    </row>
    <row r="207" spans="12:13" x14ac:dyDescent="0.25">
      <c r="L207" s="1"/>
      <c r="M207" s="13"/>
    </row>
    <row r="208" spans="12:13" x14ac:dyDescent="0.25">
      <c r="L208" s="1"/>
      <c r="M208" s="13"/>
    </row>
    <row r="209" spans="12:13" x14ac:dyDescent="0.25">
      <c r="L209" s="1"/>
      <c r="M209" s="13"/>
    </row>
    <row r="210" spans="12:13" x14ac:dyDescent="0.25">
      <c r="L210" s="1"/>
      <c r="M210" s="13"/>
    </row>
    <row r="211" spans="12:13" x14ac:dyDescent="0.25">
      <c r="L211" s="1"/>
      <c r="M211" s="13"/>
    </row>
    <row r="212" spans="12:13" x14ac:dyDescent="0.25">
      <c r="L212" s="1"/>
      <c r="M212" s="13"/>
    </row>
    <row r="213" spans="12:13" x14ac:dyDescent="0.25">
      <c r="L213" s="1"/>
      <c r="M213" s="13"/>
    </row>
    <row r="214" spans="12:13" x14ac:dyDescent="0.25">
      <c r="L214" s="1"/>
      <c r="M214" s="13"/>
    </row>
    <row r="215" spans="12:13" x14ac:dyDescent="0.25">
      <c r="L215" s="1"/>
      <c r="M215" s="13"/>
    </row>
    <row r="216" spans="12:13" x14ac:dyDescent="0.25">
      <c r="L216" s="1"/>
      <c r="M216" s="13"/>
    </row>
    <row r="217" spans="12:13" x14ac:dyDescent="0.25">
      <c r="L217" s="1"/>
      <c r="M217" s="13"/>
    </row>
    <row r="218" spans="12:13" x14ac:dyDescent="0.25">
      <c r="L218" s="1"/>
      <c r="M218" s="13"/>
    </row>
    <row r="219" spans="12:13" x14ac:dyDescent="0.25">
      <c r="L219" s="1"/>
      <c r="M219" s="13"/>
    </row>
    <row r="220" spans="12:13" x14ac:dyDescent="0.25">
      <c r="L220" s="1"/>
      <c r="M220" s="13"/>
    </row>
    <row r="221" spans="12:13" x14ac:dyDescent="0.25">
      <c r="L221" s="1"/>
      <c r="M221" s="13"/>
    </row>
    <row r="222" spans="12:13" x14ac:dyDescent="0.25">
      <c r="L222" s="1"/>
      <c r="M222" s="13"/>
    </row>
    <row r="223" spans="12:13" x14ac:dyDescent="0.25">
      <c r="L223" s="1"/>
      <c r="M223" s="13"/>
    </row>
    <row r="224" spans="12:13" x14ac:dyDescent="0.25">
      <c r="L224" s="1"/>
      <c r="M224" s="13"/>
    </row>
    <row r="225" spans="12:13" x14ac:dyDescent="0.25">
      <c r="L225" s="1"/>
      <c r="M225" s="13"/>
    </row>
    <row r="226" spans="12:13" x14ac:dyDescent="0.25">
      <c r="L226" s="1"/>
      <c r="M226" s="13"/>
    </row>
    <row r="227" spans="12:13" x14ac:dyDescent="0.25">
      <c r="L227" s="1"/>
      <c r="M227" s="13"/>
    </row>
    <row r="228" spans="12:13" x14ac:dyDescent="0.25">
      <c r="L228" s="1"/>
      <c r="M228" s="13"/>
    </row>
    <row r="229" spans="12:13" x14ac:dyDescent="0.25">
      <c r="L229" s="1"/>
      <c r="M229" s="13"/>
    </row>
    <row r="230" spans="12:13" x14ac:dyDescent="0.25">
      <c r="L230" s="1"/>
      <c r="M230" s="13"/>
    </row>
    <row r="231" spans="12:13" x14ac:dyDescent="0.25">
      <c r="L231" s="1"/>
      <c r="M231" s="13"/>
    </row>
    <row r="232" spans="12:13" x14ac:dyDescent="0.25">
      <c r="L232" s="1"/>
      <c r="M232" s="13"/>
    </row>
    <row r="233" spans="12:13" x14ac:dyDescent="0.25">
      <c r="L233" s="1"/>
      <c r="M233" s="13"/>
    </row>
    <row r="234" spans="12:13" x14ac:dyDescent="0.25">
      <c r="L234" s="1"/>
      <c r="M234" s="13"/>
    </row>
    <row r="235" spans="12:13" x14ac:dyDescent="0.25">
      <c r="L235" s="1"/>
      <c r="M235" s="13"/>
    </row>
    <row r="236" spans="12:13" x14ac:dyDescent="0.25">
      <c r="L236" s="1"/>
      <c r="M236" s="13"/>
    </row>
    <row r="237" spans="12:13" x14ac:dyDescent="0.25">
      <c r="L237" s="1"/>
      <c r="M237" s="13"/>
    </row>
    <row r="238" spans="12:13" x14ac:dyDescent="0.25">
      <c r="L238" s="1"/>
      <c r="M238" s="13"/>
    </row>
    <row r="239" spans="12:13" x14ac:dyDescent="0.25">
      <c r="L239" s="1"/>
      <c r="M239" s="13"/>
    </row>
    <row r="240" spans="12:13" x14ac:dyDescent="0.25">
      <c r="L240" s="1"/>
      <c r="M240" s="13"/>
    </row>
    <row r="241" spans="12:13" x14ac:dyDescent="0.25">
      <c r="L241" s="1"/>
      <c r="M241" s="13"/>
    </row>
    <row r="242" spans="12:13" x14ac:dyDescent="0.25">
      <c r="L242" s="1"/>
      <c r="M242" s="13"/>
    </row>
    <row r="243" spans="12:13" x14ac:dyDescent="0.25">
      <c r="L243" s="1"/>
      <c r="M243" s="13"/>
    </row>
    <row r="244" spans="12:13" x14ac:dyDescent="0.25">
      <c r="L244" s="1"/>
      <c r="M244" s="13"/>
    </row>
    <row r="245" spans="12:13" x14ac:dyDescent="0.25">
      <c r="L245" s="1"/>
      <c r="M245" s="13"/>
    </row>
    <row r="246" spans="12:13" x14ac:dyDescent="0.25">
      <c r="L246" s="1"/>
      <c r="M246" s="13"/>
    </row>
    <row r="247" spans="12:13" x14ac:dyDescent="0.25">
      <c r="L247" s="1"/>
      <c r="M247" s="13"/>
    </row>
    <row r="248" spans="12:13" x14ac:dyDescent="0.25">
      <c r="L248" s="1"/>
      <c r="M248" s="13"/>
    </row>
    <row r="249" spans="12:13" x14ac:dyDescent="0.25">
      <c r="L249" s="1"/>
      <c r="M249" s="13"/>
    </row>
    <row r="250" spans="12:13" x14ac:dyDescent="0.25">
      <c r="L250" s="1"/>
      <c r="M250" s="13"/>
    </row>
    <row r="251" spans="12:13" x14ac:dyDescent="0.25">
      <c r="L251" s="1"/>
      <c r="M251" s="13"/>
    </row>
  </sheetData>
  <phoneticPr fontId="4" type="noConversion"/>
  <conditionalFormatting sqref="K1:XFD1048576 A1:I1048576">
    <cfRule type="cellIs" dxfId="12" priority="3" operator="equal">
      <formula>0</formula>
    </cfRule>
  </conditionalFormatting>
  <conditionalFormatting sqref="J1">
    <cfRule type="cellIs" dxfId="11" priority="1" operator="equal">
      <formula>0</formula>
    </cfRule>
  </conditionalFormatting>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74CD1-5BEF-4FF2-A6F0-398ECF3DD3C1}">
  <sheetPr codeName="Sheet11"/>
  <dimension ref="A1:AO251"/>
  <sheetViews>
    <sheetView workbookViewId="0">
      <selection activeCell="A17" sqref="A17:XFD251"/>
    </sheetView>
  </sheetViews>
  <sheetFormatPr defaultColWidth="21.42578125" defaultRowHeight="15" x14ac:dyDescent="0.25"/>
  <cols>
    <col min="1" max="1" width="10.5703125" bestFit="1" customWidth="1"/>
    <col min="2" max="2" width="10.140625" customWidth="1"/>
    <col min="3" max="3" width="10.140625" bestFit="1" customWidth="1"/>
    <col min="4" max="4" width="8" bestFit="1" customWidth="1"/>
    <col min="5" max="5" width="23.7109375" bestFit="1" customWidth="1"/>
    <col min="6" max="6" width="13.5703125" customWidth="1"/>
    <col min="7" max="7" width="25" bestFit="1" customWidth="1"/>
    <col min="8" max="10" width="13.5703125" customWidth="1"/>
    <col min="11" max="11" width="14.5703125" bestFit="1" customWidth="1"/>
    <col min="12" max="12" width="26" bestFit="1" customWidth="1"/>
    <col min="13" max="13" width="26" customWidth="1"/>
    <col min="14" max="14" width="19.5703125" hidden="1" customWidth="1"/>
    <col min="15" max="15" width="18.85546875" hidden="1" customWidth="1"/>
    <col min="16" max="16" width="22" bestFit="1" customWidth="1"/>
    <col min="17" max="19" width="11.85546875" bestFit="1" customWidth="1"/>
    <col min="20" max="20" width="15.7109375" bestFit="1" customWidth="1"/>
    <col min="21" max="21" width="15" bestFit="1" customWidth="1"/>
    <col min="22" max="22" width="14.42578125" bestFit="1" customWidth="1"/>
    <col min="23" max="23" width="10.42578125" bestFit="1" customWidth="1"/>
  </cols>
  <sheetData>
    <row r="1" spans="1:41" x14ac:dyDescent="0.25">
      <c r="A1" s="2" t="s">
        <v>2</v>
      </c>
      <c r="B1" s="2" t="s">
        <v>1</v>
      </c>
      <c r="C1" s="2" t="s">
        <v>0</v>
      </c>
      <c r="D1" s="2" t="s">
        <v>3</v>
      </c>
      <c r="E1" s="2" t="s">
        <v>339</v>
      </c>
      <c r="F1" s="2" t="s">
        <v>340</v>
      </c>
      <c r="G1" s="2" t="s">
        <v>590</v>
      </c>
      <c r="H1" s="2" t="s">
        <v>508</v>
      </c>
      <c r="I1" s="2" t="s">
        <v>5</v>
      </c>
      <c r="J1" s="2" t="s">
        <v>565</v>
      </c>
      <c r="K1" s="2" t="s">
        <v>592</v>
      </c>
      <c r="L1" s="2" t="s">
        <v>396</v>
      </c>
      <c r="M1" s="2" t="s">
        <v>9</v>
      </c>
      <c r="N1" s="2" t="s">
        <v>455</v>
      </c>
      <c r="O1" s="2" t="s">
        <v>456</v>
      </c>
      <c r="P1" s="2" t="s">
        <v>457</v>
      </c>
      <c r="Q1" s="2" t="s">
        <v>342</v>
      </c>
      <c r="R1" s="2" t="s">
        <v>343</v>
      </c>
      <c r="S1" s="2" t="s">
        <v>344</v>
      </c>
      <c r="T1" s="2" t="s">
        <v>458</v>
      </c>
      <c r="U1" s="2" t="s">
        <v>459</v>
      </c>
      <c r="V1" s="2" t="s">
        <v>460</v>
      </c>
      <c r="W1" s="2" t="s">
        <v>461</v>
      </c>
      <c r="X1" s="3"/>
      <c r="Y1" s="3"/>
      <c r="Z1" s="3"/>
      <c r="AA1" s="3"/>
      <c r="AB1" s="3"/>
      <c r="AC1" s="3"/>
      <c r="AD1" s="3"/>
      <c r="AE1" s="3"/>
      <c r="AF1" s="3"/>
      <c r="AG1" s="3"/>
      <c r="AH1" s="3"/>
      <c r="AI1" s="3"/>
      <c r="AJ1" s="3"/>
      <c r="AK1" s="3"/>
      <c r="AL1" s="3"/>
      <c r="AM1" s="3"/>
      <c r="AN1" s="3"/>
      <c r="AO1" s="3"/>
    </row>
    <row r="2" spans="1:41" x14ac:dyDescent="0.25">
      <c r="A2" t="str">
        <f>TRIM('Account Creation'!B2)</f>
        <v>Cristian</v>
      </c>
      <c r="B2" t="str">
        <f>TRIM('Account Creation'!C2)</f>
        <v>Jose</v>
      </c>
      <c r="C2" t="str">
        <f>TRIM('Account Creation'!D2)</f>
        <v>Ramirez</v>
      </c>
      <c r="D2">
        <f>'Account Creation'!M2</f>
        <v>2463</v>
      </c>
      <c r="E2" t="str">
        <f>'Help Desk'!D2</f>
        <v>vn54tqf</v>
      </c>
      <c r="F2">
        <f>'Help Desk'!E2</f>
        <v>0</v>
      </c>
      <c r="G2" t="str">
        <f>'Account Creation'!J2</f>
        <v>WMCOM</v>
      </c>
      <c r="H2" t="str">
        <f>'Account Creation'!L2</f>
        <v>Chat</v>
      </c>
      <c r="I2" t="str">
        <f>'Account Creation'!K2</f>
        <v>Agent</v>
      </c>
      <c r="J2" t="str">
        <f>'Account Creation'!H2</f>
        <v>24-7 Intouch</v>
      </c>
      <c r="K2" t="str">
        <f>'Account Creation'!I2</f>
        <v>Guatemala City</v>
      </c>
      <c r="L2" s="1">
        <f>'Account Creation'!G2</f>
        <v>44851</v>
      </c>
      <c r="M2" s="13">
        <f>'Account Creation'!U2</f>
        <v>0</v>
      </c>
      <c r="N2" t="str">
        <f>RNT_Ecomm!A2</f>
        <v>vn54tqf</v>
      </c>
      <c r="O2" t="str">
        <f>RNT_Ecomm!G2</f>
        <v>1@Password</v>
      </c>
      <c r="P2">
        <f>'VCC_Ecomm Step2'!B2</f>
        <v>0</v>
      </c>
      <c r="Q2">
        <f>'Help Desk'!J2</f>
        <v>0</v>
      </c>
      <c r="R2">
        <f>'Help Desk'!K2</f>
        <v>0</v>
      </c>
      <c r="S2">
        <f>'Help Desk'!L2</f>
        <v>0</v>
      </c>
      <c r="T2" t="str">
        <f>CONCATENATE('Help Desk'!D2,"@walmart.com")</f>
        <v>vn54tqf@walmart.com</v>
      </c>
      <c r="U2" t="s">
        <v>462</v>
      </c>
      <c r="V2" t="str">
        <f>LITMOS!A2</f>
        <v>vn54tqf</v>
      </c>
      <c r="W2" t="str">
        <f>LITMOS!E2</f>
        <v>W@lmart1</v>
      </c>
    </row>
    <row r="3" spans="1:41" x14ac:dyDescent="0.25">
      <c r="A3" t="str">
        <f>TRIM('Account Creation'!B3)</f>
        <v>Claudia</v>
      </c>
      <c r="B3" t="str">
        <f>TRIM('Account Creation'!C3)</f>
        <v>Gabriela</v>
      </c>
      <c r="C3" t="str">
        <f>TRIM('Account Creation'!D3)</f>
        <v>Garcia</v>
      </c>
      <c r="D3">
        <f>'Account Creation'!M3</f>
        <v>2464</v>
      </c>
      <c r="E3" t="str">
        <f>'Help Desk'!D3</f>
        <v>vn54tqh</v>
      </c>
      <c r="F3">
        <f>'Help Desk'!E3</f>
        <v>0</v>
      </c>
      <c r="G3" t="str">
        <f>'Account Creation'!J3</f>
        <v>WMCOM</v>
      </c>
      <c r="H3" t="str">
        <f>'Account Creation'!L3</f>
        <v>Chat</v>
      </c>
      <c r="I3" t="str">
        <f>'Account Creation'!K3</f>
        <v>Agent</v>
      </c>
      <c r="J3" t="str">
        <f>'Account Creation'!H3</f>
        <v>24-7 Intouch</v>
      </c>
      <c r="K3" t="str">
        <f>'Account Creation'!I3</f>
        <v>Guatemala City</v>
      </c>
      <c r="L3" s="1">
        <f>'Account Creation'!G3</f>
        <v>44851</v>
      </c>
      <c r="M3" s="13">
        <f>'Account Creation'!U3</f>
        <v>0</v>
      </c>
      <c r="N3" t="str">
        <f>RNT_Ecomm!A3</f>
        <v>vn54tqh</v>
      </c>
      <c r="O3" t="str">
        <f>RNT_Ecomm!G3</f>
        <v>1@Password</v>
      </c>
      <c r="P3">
        <f>'VCC_Ecomm Step2'!B3</f>
        <v>0</v>
      </c>
      <c r="Q3">
        <f>'Help Desk'!J3</f>
        <v>0</v>
      </c>
      <c r="R3">
        <f>'Help Desk'!K3</f>
        <v>0</v>
      </c>
      <c r="S3">
        <f>'Help Desk'!L3</f>
        <v>0</v>
      </c>
      <c r="T3" t="str">
        <f>CONCATENATE('Help Desk'!D3,"@walmart.com")</f>
        <v>vn54tqh@walmart.com</v>
      </c>
      <c r="U3" t="s">
        <v>462</v>
      </c>
      <c r="V3" t="str">
        <f>LITMOS!A3</f>
        <v>vn54tqh</v>
      </c>
      <c r="W3" t="str">
        <f>LITMOS!E3</f>
        <v>W@lmart1</v>
      </c>
    </row>
    <row r="4" spans="1:41" x14ac:dyDescent="0.25">
      <c r="A4" t="str">
        <f>TRIM('Account Creation'!B4)</f>
        <v>Luis</v>
      </c>
      <c r="B4" t="str">
        <f>TRIM('Account Creation'!C4)</f>
        <v>Fernando</v>
      </c>
      <c r="C4" t="str">
        <f>TRIM('Account Creation'!D4)</f>
        <v>Hernandez</v>
      </c>
      <c r="D4">
        <f>'Account Creation'!M4</f>
        <v>2465</v>
      </c>
      <c r="E4" t="str">
        <f>'Help Desk'!D4</f>
        <v>vn54tqj</v>
      </c>
      <c r="F4">
        <f>'Help Desk'!E4</f>
        <v>0</v>
      </c>
      <c r="G4" t="str">
        <f>'Account Creation'!J4</f>
        <v>WMCOM</v>
      </c>
      <c r="H4" t="str">
        <f>'Account Creation'!L4</f>
        <v>Chat</v>
      </c>
      <c r="I4" t="str">
        <f>'Account Creation'!K4</f>
        <v>Agent</v>
      </c>
      <c r="J4" t="str">
        <f>'Account Creation'!H4</f>
        <v>24-7 Intouch</v>
      </c>
      <c r="K4" t="str">
        <f>'Account Creation'!I4</f>
        <v>Guatemala City</v>
      </c>
      <c r="L4" s="1">
        <f>'Account Creation'!G4</f>
        <v>44851</v>
      </c>
      <c r="M4" s="13">
        <f>'Account Creation'!U4</f>
        <v>0</v>
      </c>
      <c r="N4" t="str">
        <f>RNT_Ecomm!A4</f>
        <v>vn54tqj</v>
      </c>
      <c r="O4" t="str">
        <f>RNT_Ecomm!G4</f>
        <v>1@Password</v>
      </c>
      <c r="P4">
        <f>'VCC_Ecomm Step2'!B4</f>
        <v>0</v>
      </c>
      <c r="Q4">
        <f>'Help Desk'!J4</f>
        <v>0</v>
      </c>
      <c r="R4">
        <f>'Help Desk'!K4</f>
        <v>0</v>
      </c>
      <c r="S4">
        <f>'Help Desk'!L4</f>
        <v>0</v>
      </c>
      <c r="T4" t="str">
        <f>CONCATENATE('Help Desk'!D4,"@walmart.com")</f>
        <v>vn54tqj@walmart.com</v>
      </c>
      <c r="U4" t="s">
        <v>462</v>
      </c>
      <c r="V4" t="str">
        <f>LITMOS!A4</f>
        <v>vn54tqj</v>
      </c>
      <c r="W4" t="str">
        <f>LITMOS!E4</f>
        <v>W@lmart1</v>
      </c>
    </row>
    <row r="5" spans="1:41" x14ac:dyDescent="0.25">
      <c r="A5" t="str">
        <f>TRIM('Account Creation'!B5)</f>
        <v>Sofia</v>
      </c>
      <c r="B5" t="str">
        <f>TRIM('Account Creation'!C5)</f>
        <v>Bernice</v>
      </c>
      <c r="C5" t="str">
        <f>TRIM('Account Creation'!D5)</f>
        <v>Marroquin</v>
      </c>
      <c r="D5">
        <f>'Account Creation'!M5</f>
        <v>2466</v>
      </c>
      <c r="E5" t="str">
        <f>'Help Desk'!D5</f>
        <v>vn54tql</v>
      </c>
      <c r="F5">
        <f>'Help Desk'!E5</f>
        <v>0</v>
      </c>
      <c r="G5" t="str">
        <f>'Account Creation'!J5</f>
        <v>WMCOM</v>
      </c>
      <c r="H5" t="str">
        <f>'Account Creation'!L5</f>
        <v>Chat</v>
      </c>
      <c r="I5" t="str">
        <f>'Account Creation'!K5</f>
        <v>Agent</v>
      </c>
      <c r="J5" t="str">
        <f>'Account Creation'!H5</f>
        <v>24-7 Intouch</v>
      </c>
      <c r="K5" t="str">
        <f>'Account Creation'!I5</f>
        <v>Guatemala City</v>
      </c>
      <c r="L5" s="1">
        <f>'Account Creation'!G5</f>
        <v>44851</v>
      </c>
      <c r="M5" s="13">
        <f>'Account Creation'!U5</f>
        <v>0</v>
      </c>
      <c r="N5" t="str">
        <f>RNT_Ecomm!A5</f>
        <v>vn54tql</v>
      </c>
      <c r="O5" t="str">
        <f>RNT_Ecomm!G5</f>
        <v>1@Password</v>
      </c>
      <c r="P5">
        <f>'VCC_Ecomm Step2'!B5</f>
        <v>0</v>
      </c>
      <c r="Q5">
        <f>'Help Desk'!J5</f>
        <v>0</v>
      </c>
      <c r="R5">
        <f>'Help Desk'!K5</f>
        <v>0</v>
      </c>
      <c r="S5">
        <f>'Help Desk'!L5</f>
        <v>0</v>
      </c>
      <c r="T5" t="str">
        <f>CONCATENATE('Help Desk'!D5,"@walmart.com")</f>
        <v>vn54tql@walmart.com</v>
      </c>
      <c r="U5" t="s">
        <v>462</v>
      </c>
      <c r="V5" t="str">
        <f>LITMOS!A5</f>
        <v>vn54tql</v>
      </c>
      <c r="W5" t="str">
        <f>LITMOS!E5</f>
        <v>W@lmart1</v>
      </c>
    </row>
    <row r="6" spans="1:41" x14ac:dyDescent="0.25">
      <c r="A6" t="str">
        <f>TRIM('Account Creation'!B6)</f>
        <v>Guillermo</v>
      </c>
      <c r="B6" t="str">
        <f>TRIM('Account Creation'!C6)</f>
        <v>Benjamin</v>
      </c>
      <c r="C6" t="str">
        <f>TRIM('Account Creation'!D6)</f>
        <v>Zamora</v>
      </c>
      <c r="D6">
        <f>'Account Creation'!M6</f>
        <v>2467</v>
      </c>
      <c r="E6" t="str">
        <f>'Help Desk'!D6</f>
        <v>vn54tqn</v>
      </c>
      <c r="F6">
        <f>'Help Desk'!E6</f>
        <v>0</v>
      </c>
      <c r="G6" t="str">
        <f>'Account Creation'!J6</f>
        <v>WMCOM</v>
      </c>
      <c r="H6" t="str">
        <f>'Account Creation'!L6</f>
        <v>Chat</v>
      </c>
      <c r="I6" t="str">
        <f>'Account Creation'!K6</f>
        <v>Agent</v>
      </c>
      <c r="J6" t="str">
        <f>'Account Creation'!H6</f>
        <v>24-7 Intouch</v>
      </c>
      <c r="K6" t="str">
        <f>'Account Creation'!I6</f>
        <v>Guatemala City</v>
      </c>
      <c r="L6" s="1">
        <f>'Account Creation'!G6</f>
        <v>44851</v>
      </c>
      <c r="M6" s="13">
        <f>'Account Creation'!U6</f>
        <v>0</v>
      </c>
      <c r="N6" t="str">
        <f>RNT_Ecomm!A6</f>
        <v>vn54tqn</v>
      </c>
      <c r="O6" t="str">
        <f>RNT_Ecomm!G6</f>
        <v>1@Password</v>
      </c>
      <c r="P6">
        <f>'VCC_Ecomm Step2'!B6</f>
        <v>0</v>
      </c>
      <c r="Q6">
        <f>'Help Desk'!J6</f>
        <v>0</v>
      </c>
      <c r="R6">
        <f>'Help Desk'!K6</f>
        <v>0</v>
      </c>
      <c r="S6">
        <f>'Help Desk'!L6</f>
        <v>0</v>
      </c>
      <c r="T6" t="str">
        <f>CONCATENATE('Help Desk'!D6,"@walmart.com")</f>
        <v>vn54tqn@walmart.com</v>
      </c>
      <c r="U6" t="s">
        <v>462</v>
      </c>
      <c r="V6" t="str">
        <f>LITMOS!A6</f>
        <v>vn54tqn</v>
      </c>
      <c r="W6" t="str">
        <f>LITMOS!E6</f>
        <v>W@lmart1</v>
      </c>
    </row>
    <row r="7" spans="1:41" x14ac:dyDescent="0.25">
      <c r="A7" t="str">
        <f>TRIM('Account Creation'!B7)</f>
        <v>Katherine</v>
      </c>
      <c r="B7" t="str">
        <f>TRIM('Account Creation'!C7)</f>
        <v>Gabriela</v>
      </c>
      <c r="C7" t="str">
        <f>TRIM('Account Creation'!D7)</f>
        <v>Santizo</v>
      </c>
      <c r="D7">
        <f>'Account Creation'!M7</f>
        <v>2468</v>
      </c>
      <c r="E7" t="str">
        <f>'Help Desk'!D7</f>
        <v>vn54tqo</v>
      </c>
      <c r="F7">
        <f>'Help Desk'!E7</f>
        <v>0</v>
      </c>
      <c r="G7" t="str">
        <f>'Account Creation'!J7</f>
        <v>WMCOM</v>
      </c>
      <c r="H7" t="str">
        <f>'Account Creation'!L7</f>
        <v>Chat</v>
      </c>
      <c r="I7" t="str">
        <f>'Account Creation'!K7</f>
        <v>Agent</v>
      </c>
      <c r="J7" t="str">
        <f>'Account Creation'!H7</f>
        <v>24-7 Intouch</v>
      </c>
      <c r="K7" t="str">
        <f>'Account Creation'!I7</f>
        <v>Guatemala City</v>
      </c>
      <c r="L7" s="1">
        <f>'Account Creation'!G7</f>
        <v>44851</v>
      </c>
      <c r="M7" s="13">
        <f>'Account Creation'!U7</f>
        <v>0</v>
      </c>
      <c r="N7" t="str">
        <f>RNT_Ecomm!A7</f>
        <v>vn54tqo</v>
      </c>
      <c r="O7" t="str">
        <f>RNT_Ecomm!G7</f>
        <v>1@Password</v>
      </c>
      <c r="P7">
        <f>'VCC_Ecomm Step2'!B7</f>
        <v>0</v>
      </c>
      <c r="Q7">
        <f>'Help Desk'!J7</f>
        <v>0</v>
      </c>
      <c r="R7">
        <f>'Help Desk'!K7</f>
        <v>0</v>
      </c>
      <c r="S7">
        <f>'Help Desk'!L7</f>
        <v>0</v>
      </c>
      <c r="T7" t="str">
        <f>CONCATENATE('Help Desk'!D7,"@walmart.com")</f>
        <v>vn54tqo@walmart.com</v>
      </c>
      <c r="U7" t="s">
        <v>462</v>
      </c>
      <c r="V7" t="str">
        <f>LITMOS!A7</f>
        <v>vn54tqo</v>
      </c>
      <c r="W7" t="str">
        <f>LITMOS!E7</f>
        <v>W@lmart1</v>
      </c>
    </row>
    <row r="8" spans="1:41" x14ac:dyDescent="0.25">
      <c r="A8" t="str">
        <f>TRIM('Account Creation'!B8)</f>
        <v>Josue</v>
      </c>
      <c r="B8" t="str">
        <f>TRIM('Account Creation'!C8)</f>
        <v>David</v>
      </c>
      <c r="C8" t="str">
        <f>TRIM('Account Creation'!D8)</f>
        <v>Manrique</v>
      </c>
      <c r="D8">
        <f>'Account Creation'!M8</f>
        <v>2469</v>
      </c>
      <c r="E8" t="str">
        <f>'Help Desk'!D8</f>
        <v>vn54tqq</v>
      </c>
      <c r="F8">
        <f>'Help Desk'!E8</f>
        <v>0</v>
      </c>
      <c r="G8" t="str">
        <f>'Account Creation'!J8</f>
        <v>WMCOM</v>
      </c>
      <c r="H8" t="str">
        <f>'Account Creation'!L8</f>
        <v>Chat</v>
      </c>
      <c r="I8" t="str">
        <f>'Account Creation'!K8</f>
        <v>Agent</v>
      </c>
      <c r="J8" t="str">
        <f>'Account Creation'!H8</f>
        <v>24-7 Intouch</v>
      </c>
      <c r="K8" t="str">
        <f>'Account Creation'!I8</f>
        <v>Guatemala City</v>
      </c>
      <c r="L8" s="1">
        <f>'Account Creation'!G8</f>
        <v>44851</v>
      </c>
      <c r="M8" s="13">
        <f>'Account Creation'!U8</f>
        <v>0</v>
      </c>
      <c r="N8" t="str">
        <f>RNT_Ecomm!A8</f>
        <v>vn54tqq</v>
      </c>
      <c r="O8" t="str">
        <f>RNT_Ecomm!G8</f>
        <v>1@Password</v>
      </c>
      <c r="P8">
        <f>'VCC_Ecomm Step2'!B8</f>
        <v>0</v>
      </c>
      <c r="Q8">
        <f>'Help Desk'!J8</f>
        <v>0</v>
      </c>
      <c r="R8">
        <f>'Help Desk'!K8</f>
        <v>0</v>
      </c>
      <c r="S8">
        <f>'Help Desk'!L8</f>
        <v>0</v>
      </c>
      <c r="T8" t="str">
        <f>CONCATENATE('Help Desk'!D8,"@walmart.com")</f>
        <v>vn54tqq@walmart.com</v>
      </c>
      <c r="U8" t="s">
        <v>462</v>
      </c>
      <c r="V8" t="str">
        <f>LITMOS!A8</f>
        <v>vn54tqq</v>
      </c>
      <c r="W8" t="str">
        <f>LITMOS!E8</f>
        <v>W@lmart1</v>
      </c>
    </row>
    <row r="9" spans="1:41" x14ac:dyDescent="0.25">
      <c r="A9" t="str">
        <f>TRIM('Account Creation'!B9)</f>
        <v>Kristtel</v>
      </c>
      <c r="B9" t="str">
        <f>TRIM('Account Creation'!C9)</f>
        <v>Carolina</v>
      </c>
      <c r="C9" t="str">
        <f>TRIM('Account Creation'!D9)</f>
        <v>Hernandez</v>
      </c>
      <c r="D9">
        <f>'Account Creation'!M9</f>
        <v>2470</v>
      </c>
      <c r="E9" t="str">
        <f>'Help Desk'!D9</f>
        <v>vn54tqs</v>
      </c>
      <c r="F9">
        <f>'Help Desk'!E9</f>
        <v>0</v>
      </c>
      <c r="G9" t="str">
        <f>'Account Creation'!J9</f>
        <v>WMCOM</v>
      </c>
      <c r="H9" t="str">
        <f>'Account Creation'!L9</f>
        <v>Chat</v>
      </c>
      <c r="I9" t="str">
        <f>'Account Creation'!K9</f>
        <v>Agent</v>
      </c>
      <c r="J9" t="str">
        <f>'Account Creation'!H9</f>
        <v>24-7 Intouch</v>
      </c>
      <c r="K9" t="str">
        <f>'Account Creation'!I9</f>
        <v>Guatemala City</v>
      </c>
      <c r="L9" s="1">
        <f>'Account Creation'!G9</f>
        <v>44851</v>
      </c>
      <c r="M9" s="13">
        <f>'Account Creation'!U9</f>
        <v>0</v>
      </c>
      <c r="N9" t="str">
        <f>RNT_Ecomm!A9</f>
        <v>vn54tqs</v>
      </c>
      <c r="O9" t="str">
        <f>RNT_Ecomm!G9</f>
        <v>1@Password</v>
      </c>
      <c r="P9">
        <f>'VCC_Ecomm Step2'!B9</f>
        <v>0</v>
      </c>
      <c r="Q9">
        <f>'Help Desk'!J9</f>
        <v>0</v>
      </c>
      <c r="R9">
        <f>'Help Desk'!K9</f>
        <v>0</v>
      </c>
      <c r="S9">
        <f>'Help Desk'!L9</f>
        <v>0</v>
      </c>
      <c r="T9" t="str">
        <f>CONCATENATE('Help Desk'!D9,"@walmart.com")</f>
        <v>vn54tqs@walmart.com</v>
      </c>
      <c r="U9" t="s">
        <v>462</v>
      </c>
      <c r="V9" t="str">
        <f>LITMOS!A9</f>
        <v>vn54tqs</v>
      </c>
      <c r="W9" t="str">
        <f>LITMOS!E9</f>
        <v>W@lmart1</v>
      </c>
    </row>
    <row r="10" spans="1:41" x14ac:dyDescent="0.25">
      <c r="A10" t="str">
        <f>TRIM('Account Creation'!B10)</f>
        <v>Juan</v>
      </c>
      <c r="B10" t="str">
        <f>TRIM('Account Creation'!C10)</f>
        <v>Pablo</v>
      </c>
      <c r="C10" t="str">
        <f>TRIM('Account Creation'!D10)</f>
        <v>Flores</v>
      </c>
      <c r="D10">
        <f>'Account Creation'!M10</f>
        <v>2471</v>
      </c>
      <c r="E10" t="str">
        <f>'Help Desk'!D10</f>
        <v>vn54tqu</v>
      </c>
      <c r="F10">
        <f>'Help Desk'!E10</f>
        <v>0</v>
      </c>
      <c r="G10" t="str">
        <f>'Account Creation'!J10</f>
        <v>WMCOM</v>
      </c>
      <c r="H10" t="str">
        <f>'Account Creation'!L10</f>
        <v>Chat</v>
      </c>
      <c r="I10" t="str">
        <f>'Account Creation'!K10</f>
        <v>Agent</v>
      </c>
      <c r="J10" t="str">
        <f>'Account Creation'!H10</f>
        <v>24-7 Intouch</v>
      </c>
      <c r="K10" t="str">
        <f>'Account Creation'!I10</f>
        <v>Guatemala City</v>
      </c>
      <c r="L10" s="1">
        <f>'Account Creation'!G10</f>
        <v>44851</v>
      </c>
      <c r="M10" s="13">
        <f>'Account Creation'!U10</f>
        <v>0</v>
      </c>
      <c r="N10" t="str">
        <f>RNT_Ecomm!A10</f>
        <v>vn54tqu</v>
      </c>
      <c r="O10" t="str">
        <f>RNT_Ecomm!G10</f>
        <v>1@Password</v>
      </c>
      <c r="P10">
        <f>'VCC_Ecomm Step2'!B10</f>
        <v>0</v>
      </c>
      <c r="Q10">
        <f>'Help Desk'!J10</f>
        <v>0</v>
      </c>
      <c r="R10">
        <f>'Help Desk'!K10</f>
        <v>0</v>
      </c>
      <c r="S10">
        <f>'Help Desk'!L10</f>
        <v>0</v>
      </c>
      <c r="T10" t="str">
        <f>CONCATENATE('Help Desk'!D10,"@walmart.com")</f>
        <v>vn54tqu@walmart.com</v>
      </c>
      <c r="U10" t="s">
        <v>462</v>
      </c>
      <c r="V10" t="str">
        <f>LITMOS!A10</f>
        <v>vn54tqu</v>
      </c>
      <c r="W10" t="str">
        <f>LITMOS!E10</f>
        <v>W@lmart1</v>
      </c>
    </row>
    <row r="11" spans="1:41" x14ac:dyDescent="0.25">
      <c r="A11" t="str">
        <f>TRIM('Account Creation'!B11)</f>
        <v>Gabriel</v>
      </c>
      <c r="B11" t="str">
        <f>TRIM('Account Creation'!C11)</f>
        <v>Adolfo</v>
      </c>
      <c r="C11" t="str">
        <f>TRIM('Account Creation'!D11)</f>
        <v>Morales</v>
      </c>
      <c r="D11">
        <f>'Account Creation'!M11</f>
        <v>2472</v>
      </c>
      <c r="E11" t="str">
        <f>'Help Desk'!D11</f>
        <v>vn54tqw</v>
      </c>
      <c r="F11">
        <f>'Help Desk'!E11</f>
        <v>0</v>
      </c>
      <c r="G11" t="str">
        <f>'Account Creation'!J11</f>
        <v>WMCOM</v>
      </c>
      <c r="H11" t="str">
        <f>'Account Creation'!L11</f>
        <v>Chat</v>
      </c>
      <c r="I11" t="str">
        <f>'Account Creation'!K11</f>
        <v>Agent</v>
      </c>
      <c r="J11" t="str">
        <f>'Account Creation'!H11</f>
        <v>24-7 Intouch</v>
      </c>
      <c r="K11" t="str">
        <f>'Account Creation'!I11</f>
        <v>Guatemala City</v>
      </c>
      <c r="L11" s="1">
        <f>'Account Creation'!G11</f>
        <v>44851</v>
      </c>
      <c r="M11" s="13">
        <f>'Account Creation'!U11</f>
        <v>0</v>
      </c>
      <c r="N11" t="str">
        <f>RNT_Ecomm!A11</f>
        <v>vn54tqw</v>
      </c>
      <c r="O11" t="str">
        <f>RNT_Ecomm!G11</f>
        <v>1@Password</v>
      </c>
      <c r="P11">
        <f>'VCC_Ecomm Step2'!B11</f>
        <v>0</v>
      </c>
      <c r="Q11">
        <f>'Help Desk'!J11</f>
        <v>0</v>
      </c>
      <c r="R11">
        <f>'Help Desk'!K11</f>
        <v>0</v>
      </c>
      <c r="S11">
        <f>'Help Desk'!L11</f>
        <v>0</v>
      </c>
      <c r="T11" t="str">
        <f>CONCATENATE('Help Desk'!D11,"@walmart.com")</f>
        <v>vn54tqw@walmart.com</v>
      </c>
      <c r="U11" t="s">
        <v>462</v>
      </c>
      <c r="V11" t="str">
        <f>LITMOS!A11</f>
        <v>vn54tqw</v>
      </c>
      <c r="W11" t="str">
        <f>LITMOS!E11</f>
        <v>W@lmart1</v>
      </c>
    </row>
    <row r="12" spans="1:41" x14ac:dyDescent="0.25">
      <c r="A12" t="str">
        <f>TRIM('Account Creation'!B12)</f>
        <v>Mercedez</v>
      </c>
      <c r="B12" t="str">
        <f>TRIM('Account Creation'!C12)</f>
        <v>Isabel</v>
      </c>
      <c r="C12" t="str">
        <f>TRIM('Account Creation'!D12)</f>
        <v>De Leon</v>
      </c>
      <c r="D12">
        <f>'Account Creation'!M12</f>
        <v>2473</v>
      </c>
      <c r="E12" t="str">
        <f>'Help Desk'!D12</f>
        <v>vn54tqy</v>
      </c>
      <c r="F12">
        <f>'Help Desk'!E12</f>
        <v>0</v>
      </c>
      <c r="G12" t="str">
        <f>'Account Creation'!J12</f>
        <v>WMCOM</v>
      </c>
      <c r="H12" t="str">
        <f>'Account Creation'!L12</f>
        <v>Chat</v>
      </c>
      <c r="I12" t="str">
        <f>'Account Creation'!K12</f>
        <v>Agent</v>
      </c>
      <c r="J12" t="str">
        <f>'Account Creation'!H12</f>
        <v>24-7 Intouch</v>
      </c>
      <c r="K12" t="str">
        <f>'Account Creation'!I12</f>
        <v>Guatemala City</v>
      </c>
      <c r="L12" s="1">
        <f>'Account Creation'!G12</f>
        <v>44851</v>
      </c>
      <c r="M12" s="13">
        <f>'Account Creation'!U12</f>
        <v>0</v>
      </c>
      <c r="N12" t="str">
        <f>RNT_Ecomm!A12</f>
        <v>vn54tqy</v>
      </c>
      <c r="O12" t="str">
        <f>RNT_Ecomm!G12</f>
        <v>1@Password</v>
      </c>
      <c r="P12">
        <f>'VCC_Ecomm Step2'!B12</f>
        <v>0</v>
      </c>
      <c r="Q12">
        <f>'Help Desk'!J12</f>
        <v>0</v>
      </c>
      <c r="R12">
        <f>'Help Desk'!K12</f>
        <v>0</v>
      </c>
      <c r="S12">
        <f>'Help Desk'!L12</f>
        <v>0</v>
      </c>
      <c r="T12" t="str">
        <f>CONCATENATE('Help Desk'!D12,"@walmart.com")</f>
        <v>vn54tqy@walmart.com</v>
      </c>
      <c r="U12" t="s">
        <v>462</v>
      </c>
      <c r="V12" t="str">
        <f>LITMOS!A12</f>
        <v>vn54tqy</v>
      </c>
      <c r="W12" t="str">
        <f>LITMOS!E12</f>
        <v>W@lmart1</v>
      </c>
    </row>
    <row r="13" spans="1:41" x14ac:dyDescent="0.25">
      <c r="A13" t="str">
        <f>TRIM('Account Creation'!B13)</f>
        <v>Eduardo</v>
      </c>
      <c r="B13" t="str">
        <f>TRIM('Account Creation'!C13)</f>
        <v>Andres</v>
      </c>
      <c r="C13" t="str">
        <f>TRIM('Account Creation'!D13)</f>
        <v>Prera</v>
      </c>
      <c r="D13">
        <f>'Account Creation'!M13</f>
        <v>2474</v>
      </c>
      <c r="E13" t="str">
        <f>'Help Desk'!D13</f>
        <v>vn54tr0</v>
      </c>
      <c r="F13">
        <f>'Help Desk'!E13</f>
        <v>0</v>
      </c>
      <c r="G13" t="str">
        <f>'Account Creation'!J13</f>
        <v>WMCOM</v>
      </c>
      <c r="H13" t="str">
        <f>'Account Creation'!L13</f>
        <v>Chat</v>
      </c>
      <c r="I13" t="str">
        <f>'Account Creation'!K13</f>
        <v>Agent</v>
      </c>
      <c r="J13" t="str">
        <f>'Account Creation'!H13</f>
        <v>24-7 Intouch</v>
      </c>
      <c r="K13" t="str">
        <f>'Account Creation'!I13</f>
        <v>Guatemala City</v>
      </c>
      <c r="L13" s="1">
        <f>'Account Creation'!G13</f>
        <v>44851</v>
      </c>
      <c r="M13" s="13">
        <f>'Account Creation'!U13</f>
        <v>0</v>
      </c>
      <c r="N13" t="str">
        <f>RNT_Ecomm!A13</f>
        <v>vn54tr0</v>
      </c>
      <c r="O13" t="str">
        <f>RNT_Ecomm!G13</f>
        <v>1@Password</v>
      </c>
      <c r="P13">
        <f>'VCC_Ecomm Step2'!B13</f>
        <v>0</v>
      </c>
      <c r="Q13">
        <f>'Help Desk'!J13</f>
        <v>0</v>
      </c>
      <c r="R13">
        <f>'Help Desk'!K13</f>
        <v>0</v>
      </c>
      <c r="S13">
        <f>'Help Desk'!L13</f>
        <v>0</v>
      </c>
      <c r="T13" t="str">
        <f>CONCATENATE('Help Desk'!D13,"@walmart.com")</f>
        <v>vn54tr0@walmart.com</v>
      </c>
      <c r="U13" t="s">
        <v>462</v>
      </c>
      <c r="V13" t="str">
        <f>LITMOS!A13</f>
        <v>vn54tr0</v>
      </c>
      <c r="W13" t="str">
        <f>LITMOS!E13</f>
        <v>W@lmart1</v>
      </c>
    </row>
    <row r="14" spans="1:41" x14ac:dyDescent="0.25">
      <c r="A14" t="str">
        <f>TRIM('Account Creation'!B14)</f>
        <v>Madelin</v>
      </c>
      <c r="B14" t="str">
        <f>TRIM('Account Creation'!C14)</f>
        <v>Johana</v>
      </c>
      <c r="C14" t="str">
        <f>TRIM('Account Creation'!D14)</f>
        <v>Abal</v>
      </c>
      <c r="D14">
        <f>'Account Creation'!M14</f>
        <v>2475</v>
      </c>
      <c r="E14" t="str">
        <f>'Help Desk'!D14</f>
        <v>vn54tr2</v>
      </c>
      <c r="F14">
        <f>'Help Desk'!E14</f>
        <v>0</v>
      </c>
      <c r="G14" t="str">
        <f>'Account Creation'!J14</f>
        <v>WMCOM</v>
      </c>
      <c r="H14" t="str">
        <f>'Account Creation'!L14</f>
        <v>Chat</v>
      </c>
      <c r="I14" t="str">
        <f>'Account Creation'!K14</f>
        <v>Agent</v>
      </c>
      <c r="J14" t="str">
        <f>'Account Creation'!H14</f>
        <v>24-7 Intouch</v>
      </c>
      <c r="K14" t="str">
        <f>'Account Creation'!I14</f>
        <v>Guatemala City</v>
      </c>
      <c r="L14" s="1">
        <f>'Account Creation'!G14</f>
        <v>44851</v>
      </c>
      <c r="M14" s="13">
        <f>'Account Creation'!U14</f>
        <v>0</v>
      </c>
      <c r="N14" t="str">
        <f>RNT_Ecomm!A14</f>
        <v>vn54tr2</v>
      </c>
      <c r="O14" t="str">
        <f>RNT_Ecomm!G14</f>
        <v>1@Password</v>
      </c>
      <c r="P14">
        <f>'VCC_Ecomm Step2'!B14</f>
        <v>0</v>
      </c>
      <c r="Q14">
        <f>'Help Desk'!J14</f>
        <v>0</v>
      </c>
      <c r="R14">
        <f>'Help Desk'!K14</f>
        <v>0</v>
      </c>
      <c r="S14">
        <f>'Help Desk'!L14</f>
        <v>0</v>
      </c>
      <c r="T14" t="str">
        <f>CONCATENATE('Help Desk'!D14,"@walmart.com")</f>
        <v>vn54tr2@walmart.com</v>
      </c>
      <c r="U14" t="s">
        <v>462</v>
      </c>
      <c r="V14" t="str">
        <f>LITMOS!A14</f>
        <v>vn54tr2</v>
      </c>
      <c r="W14" t="str">
        <f>LITMOS!E14</f>
        <v>W@lmart1</v>
      </c>
    </row>
    <row r="15" spans="1:41" x14ac:dyDescent="0.25">
      <c r="A15" t="str">
        <f>TRIM('Account Creation'!B15)</f>
        <v>Dyana</v>
      </c>
      <c r="B15" t="str">
        <f>TRIM('Account Creation'!C15)</f>
        <v>Priscila</v>
      </c>
      <c r="C15" t="str">
        <f>TRIM('Account Creation'!D15)</f>
        <v>Calicio</v>
      </c>
      <c r="D15">
        <f>'Account Creation'!M15</f>
        <v>2476</v>
      </c>
      <c r="E15" t="str">
        <f>'Help Desk'!D15</f>
        <v>vn54tr4</v>
      </c>
      <c r="F15">
        <f>'Help Desk'!E15</f>
        <v>0</v>
      </c>
      <c r="G15" t="str">
        <f>'Account Creation'!J15</f>
        <v>WMCOM</v>
      </c>
      <c r="H15" t="str">
        <f>'Account Creation'!L15</f>
        <v>Chat</v>
      </c>
      <c r="I15" t="str">
        <f>'Account Creation'!K15</f>
        <v>Agent</v>
      </c>
      <c r="J15" t="str">
        <f>'Account Creation'!H15</f>
        <v>24-7 Intouch</v>
      </c>
      <c r="K15" t="str">
        <f>'Account Creation'!I15</f>
        <v>Guatemala City</v>
      </c>
      <c r="L15" s="1">
        <f>'Account Creation'!G15</f>
        <v>44851</v>
      </c>
      <c r="M15" s="13">
        <f>'Account Creation'!U15</f>
        <v>0</v>
      </c>
      <c r="N15" t="str">
        <f>RNT_Ecomm!A15</f>
        <v>vn54tr4</v>
      </c>
      <c r="O15" t="str">
        <f>RNT_Ecomm!G15</f>
        <v>1@Password</v>
      </c>
      <c r="P15">
        <f>'VCC_Ecomm Step2'!B15</f>
        <v>0</v>
      </c>
      <c r="Q15">
        <f>'Help Desk'!J15</f>
        <v>0</v>
      </c>
      <c r="R15">
        <f>'Help Desk'!K15</f>
        <v>0</v>
      </c>
      <c r="S15">
        <f>'Help Desk'!L15</f>
        <v>0</v>
      </c>
      <c r="T15" t="str">
        <f>CONCATENATE('Help Desk'!D15,"@walmart.com")</f>
        <v>vn54tr4@walmart.com</v>
      </c>
      <c r="U15" t="s">
        <v>462</v>
      </c>
      <c r="V15" t="str">
        <f>LITMOS!A15</f>
        <v>vn54tr4</v>
      </c>
      <c r="W15" t="str">
        <f>LITMOS!E15</f>
        <v>W@lmart1</v>
      </c>
    </row>
    <row r="16" spans="1:41" x14ac:dyDescent="0.25">
      <c r="A16" t="str">
        <f>TRIM('Account Creation'!B16)</f>
        <v>Sandra</v>
      </c>
      <c r="B16" t="str">
        <f>TRIM('Account Creation'!C16)</f>
        <v>Virginia</v>
      </c>
      <c r="C16" t="str">
        <f>TRIM('Account Creation'!D16)</f>
        <v>Arango</v>
      </c>
      <c r="D16">
        <f>'Account Creation'!M16</f>
        <v>2477</v>
      </c>
      <c r="E16" t="str">
        <f>'Help Desk'!D16</f>
        <v>vn54tr6</v>
      </c>
      <c r="F16">
        <f>'Help Desk'!E16</f>
        <v>0</v>
      </c>
      <c r="G16" t="str">
        <f>'Account Creation'!J16</f>
        <v>WMCOM</v>
      </c>
      <c r="H16" t="str">
        <f>'Account Creation'!L16</f>
        <v>Chat</v>
      </c>
      <c r="I16" t="str">
        <f>'Account Creation'!K16</f>
        <v>Agent</v>
      </c>
      <c r="J16" t="str">
        <f>'Account Creation'!H16</f>
        <v>24-7 Intouch</v>
      </c>
      <c r="K16" t="str">
        <f>'Account Creation'!I16</f>
        <v>Guatemala City</v>
      </c>
      <c r="L16" s="1">
        <f>'Account Creation'!G16</f>
        <v>44851</v>
      </c>
      <c r="M16" s="13">
        <f>'Account Creation'!U16</f>
        <v>0</v>
      </c>
      <c r="N16" t="str">
        <f>RNT_Ecomm!A16</f>
        <v>vn54tr6</v>
      </c>
      <c r="O16" t="str">
        <f>RNT_Ecomm!G16</f>
        <v>1@Password</v>
      </c>
      <c r="P16">
        <f>'VCC_Ecomm Step2'!B16</f>
        <v>0</v>
      </c>
      <c r="Q16">
        <f>'Help Desk'!J16</f>
        <v>0</v>
      </c>
      <c r="R16">
        <f>'Help Desk'!K16</f>
        <v>0</v>
      </c>
      <c r="S16">
        <f>'Help Desk'!L16</f>
        <v>0</v>
      </c>
      <c r="T16" t="str">
        <f>CONCATENATE('Help Desk'!D16,"@walmart.com")</f>
        <v>vn54tr6@walmart.com</v>
      </c>
      <c r="U16" t="s">
        <v>462</v>
      </c>
      <c r="V16" t="str">
        <f>LITMOS!A16</f>
        <v>vn54tr6</v>
      </c>
      <c r="W16" t="str">
        <f>LITMOS!E16</f>
        <v>W@lmart1</v>
      </c>
    </row>
    <row r="17" spans="12:13" x14ac:dyDescent="0.25">
      <c r="L17" s="1"/>
      <c r="M17" s="13"/>
    </row>
    <row r="18" spans="12:13" x14ac:dyDescent="0.25">
      <c r="L18" s="1"/>
      <c r="M18" s="13"/>
    </row>
    <row r="19" spans="12:13" x14ac:dyDescent="0.25">
      <c r="L19" s="1"/>
      <c r="M19" s="13"/>
    </row>
    <row r="20" spans="12:13" x14ac:dyDescent="0.25">
      <c r="L20" s="1"/>
      <c r="M20" s="13"/>
    </row>
    <row r="21" spans="12:13" x14ac:dyDescent="0.25">
      <c r="L21" s="1"/>
      <c r="M21" s="13"/>
    </row>
    <row r="22" spans="12:13" x14ac:dyDescent="0.25">
      <c r="L22" s="1"/>
      <c r="M22" s="13"/>
    </row>
    <row r="23" spans="12:13" x14ac:dyDescent="0.25">
      <c r="L23" s="1"/>
      <c r="M23" s="13"/>
    </row>
    <row r="24" spans="12:13" x14ac:dyDescent="0.25">
      <c r="L24" s="1"/>
      <c r="M24" s="13"/>
    </row>
    <row r="25" spans="12:13" x14ac:dyDescent="0.25">
      <c r="L25" s="1"/>
      <c r="M25" s="13"/>
    </row>
    <row r="26" spans="12:13" x14ac:dyDescent="0.25">
      <c r="L26" s="1"/>
      <c r="M26" s="13"/>
    </row>
    <row r="27" spans="12:13" x14ac:dyDescent="0.25">
      <c r="L27" s="1"/>
      <c r="M27" s="13"/>
    </row>
    <row r="28" spans="12:13" x14ac:dyDescent="0.25">
      <c r="L28" s="1"/>
      <c r="M28" s="13"/>
    </row>
    <row r="29" spans="12:13" x14ac:dyDescent="0.25">
      <c r="L29" s="1"/>
      <c r="M29" s="13"/>
    </row>
    <row r="30" spans="12:13" x14ac:dyDescent="0.25">
      <c r="L30" s="1"/>
      <c r="M30" s="13"/>
    </row>
    <row r="31" spans="12:13" x14ac:dyDescent="0.25">
      <c r="L31" s="1"/>
      <c r="M31" s="13"/>
    </row>
    <row r="32" spans="12:13" x14ac:dyDescent="0.25">
      <c r="L32" s="1"/>
      <c r="M32" s="13"/>
    </row>
    <row r="33" spans="12:13" x14ac:dyDescent="0.25">
      <c r="L33" s="1"/>
      <c r="M33" s="13"/>
    </row>
    <row r="34" spans="12:13" x14ac:dyDescent="0.25">
      <c r="L34" s="1"/>
      <c r="M34" s="13"/>
    </row>
    <row r="35" spans="12:13" x14ac:dyDescent="0.25">
      <c r="L35" s="1"/>
      <c r="M35" s="13"/>
    </row>
    <row r="36" spans="12:13" x14ac:dyDescent="0.25">
      <c r="L36" s="1"/>
      <c r="M36" s="13"/>
    </row>
    <row r="37" spans="12:13" x14ac:dyDescent="0.25">
      <c r="L37" s="1"/>
      <c r="M37" s="13"/>
    </row>
    <row r="38" spans="12:13" x14ac:dyDescent="0.25">
      <c r="L38" s="1"/>
      <c r="M38" s="13"/>
    </row>
    <row r="39" spans="12:13" x14ac:dyDescent="0.25">
      <c r="L39" s="1"/>
      <c r="M39" s="13"/>
    </row>
    <row r="40" spans="12:13" x14ac:dyDescent="0.25">
      <c r="L40" s="1"/>
      <c r="M40" s="13"/>
    </row>
    <row r="41" spans="12:13" x14ac:dyDescent="0.25">
      <c r="L41" s="1"/>
      <c r="M41" s="13"/>
    </row>
    <row r="42" spans="12:13" x14ac:dyDescent="0.25">
      <c r="L42" s="1"/>
      <c r="M42" s="13"/>
    </row>
    <row r="43" spans="12:13" x14ac:dyDescent="0.25">
      <c r="L43" s="1"/>
      <c r="M43" s="13"/>
    </row>
    <row r="44" spans="12:13" x14ac:dyDescent="0.25">
      <c r="L44" s="1"/>
      <c r="M44" s="13"/>
    </row>
    <row r="45" spans="12:13" x14ac:dyDescent="0.25">
      <c r="L45" s="1"/>
      <c r="M45" s="13"/>
    </row>
    <row r="46" spans="12:13" x14ac:dyDescent="0.25">
      <c r="L46" s="1"/>
      <c r="M46" s="13"/>
    </row>
    <row r="47" spans="12:13" x14ac:dyDescent="0.25">
      <c r="L47" s="1"/>
      <c r="M47" s="13"/>
    </row>
    <row r="48" spans="12:13" x14ac:dyDescent="0.25">
      <c r="L48" s="1"/>
      <c r="M48" s="13"/>
    </row>
    <row r="49" spans="12:13" x14ac:dyDescent="0.25">
      <c r="L49" s="1"/>
      <c r="M49" s="13"/>
    </row>
    <row r="50" spans="12:13" x14ac:dyDescent="0.25">
      <c r="L50" s="1"/>
      <c r="M50" s="13"/>
    </row>
    <row r="51" spans="12:13" x14ac:dyDescent="0.25">
      <c r="L51" s="1"/>
      <c r="M51" s="13"/>
    </row>
    <row r="52" spans="12:13" x14ac:dyDescent="0.25">
      <c r="L52" s="1"/>
      <c r="M52" s="13"/>
    </row>
    <row r="53" spans="12:13" x14ac:dyDescent="0.25">
      <c r="L53" s="1"/>
      <c r="M53" s="13"/>
    </row>
    <row r="54" spans="12:13" x14ac:dyDescent="0.25">
      <c r="L54" s="1"/>
      <c r="M54" s="13"/>
    </row>
    <row r="55" spans="12:13" x14ac:dyDescent="0.25">
      <c r="L55" s="1"/>
      <c r="M55" s="13"/>
    </row>
    <row r="56" spans="12:13" x14ac:dyDescent="0.25">
      <c r="L56" s="1"/>
      <c r="M56" s="13"/>
    </row>
    <row r="57" spans="12:13" x14ac:dyDescent="0.25">
      <c r="L57" s="1"/>
      <c r="M57" s="13"/>
    </row>
    <row r="58" spans="12:13" x14ac:dyDescent="0.25">
      <c r="L58" s="1"/>
      <c r="M58" s="13"/>
    </row>
    <row r="59" spans="12:13" x14ac:dyDescent="0.25">
      <c r="L59" s="1"/>
      <c r="M59" s="13"/>
    </row>
    <row r="60" spans="12:13" x14ac:dyDescent="0.25">
      <c r="L60" s="1"/>
      <c r="M60" s="13"/>
    </row>
    <row r="61" spans="12:13" x14ac:dyDescent="0.25">
      <c r="L61" s="1"/>
      <c r="M61" s="13"/>
    </row>
    <row r="62" spans="12:13" x14ac:dyDescent="0.25">
      <c r="L62" s="1"/>
      <c r="M62" s="13"/>
    </row>
    <row r="63" spans="12:13" x14ac:dyDescent="0.25">
      <c r="L63" s="1"/>
      <c r="M63" s="13"/>
    </row>
    <row r="64" spans="12:13" x14ac:dyDescent="0.25">
      <c r="L64" s="1"/>
      <c r="M64" s="13"/>
    </row>
    <row r="65" spans="12:13" x14ac:dyDescent="0.25">
      <c r="L65" s="1"/>
      <c r="M65" s="13"/>
    </row>
    <row r="66" spans="12:13" x14ac:dyDescent="0.25">
      <c r="L66" s="1"/>
      <c r="M66" s="13"/>
    </row>
    <row r="67" spans="12:13" x14ac:dyDescent="0.25">
      <c r="L67" s="1"/>
      <c r="M67" s="13"/>
    </row>
    <row r="68" spans="12:13" x14ac:dyDescent="0.25">
      <c r="L68" s="1"/>
      <c r="M68" s="13"/>
    </row>
    <row r="69" spans="12:13" x14ac:dyDescent="0.25">
      <c r="L69" s="1"/>
      <c r="M69" s="13"/>
    </row>
    <row r="70" spans="12:13" x14ac:dyDescent="0.25">
      <c r="L70" s="1"/>
      <c r="M70" s="13"/>
    </row>
    <row r="71" spans="12:13" x14ac:dyDescent="0.25">
      <c r="L71" s="1"/>
      <c r="M71" s="13"/>
    </row>
    <row r="72" spans="12:13" x14ac:dyDescent="0.25">
      <c r="L72" s="1"/>
      <c r="M72" s="13"/>
    </row>
    <row r="73" spans="12:13" x14ac:dyDescent="0.25">
      <c r="L73" s="1"/>
      <c r="M73" s="13"/>
    </row>
    <row r="74" spans="12:13" x14ac:dyDescent="0.25">
      <c r="L74" s="1"/>
      <c r="M74" s="13"/>
    </row>
    <row r="75" spans="12:13" x14ac:dyDescent="0.25">
      <c r="L75" s="1"/>
      <c r="M75" s="13"/>
    </row>
    <row r="76" spans="12:13" x14ac:dyDescent="0.25">
      <c r="L76" s="1"/>
      <c r="M76" s="13"/>
    </row>
    <row r="77" spans="12:13" x14ac:dyDescent="0.25">
      <c r="L77" s="1"/>
      <c r="M77" s="13"/>
    </row>
    <row r="78" spans="12:13" x14ac:dyDescent="0.25">
      <c r="L78" s="1"/>
      <c r="M78" s="13"/>
    </row>
    <row r="79" spans="12:13" x14ac:dyDescent="0.25">
      <c r="L79" s="1"/>
      <c r="M79" s="13"/>
    </row>
    <row r="80" spans="12:13" x14ac:dyDescent="0.25">
      <c r="L80" s="1"/>
      <c r="M80" s="13"/>
    </row>
    <row r="81" spans="12:13" x14ac:dyDescent="0.25">
      <c r="L81" s="1"/>
      <c r="M81" s="13"/>
    </row>
    <row r="82" spans="12:13" x14ac:dyDescent="0.25">
      <c r="L82" s="1"/>
      <c r="M82" s="13"/>
    </row>
    <row r="83" spans="12:13" x14ac:dyDescent="0.25">
      <c r="L83" s="1"/>
      <c r="M83" s="13"/>
    </row>
    <row r="84" spans="12:13" x14ac:dyDescent="0.25">
      <c r="L84" s="1"/>
      <c r="M84" s="13"/>
    </row>
    <row r="85" spans="12:13" x14ac:dyDescent="0.25">
      <c r="L85" s="1"/>
      <c r="M85" s="13"/>
    </row>
    <row r="86" spans="12:13" x14ac:dyDescent="0.25">
      <c r="L86" s="1"/>
      <c r="M86" s="13"/>
    </row>
    <row r="87" spans="12:13" x14ac:dyDescent="0.25">
      <c r="L87" s="1"/>
      <c r="M87" s="13"/>
    </row>
    <row r="88" spans="12:13" x14ac:dyDescent="0.25">
      <c r="L88" s="1"/>
      <c r="M88" s="13"/>
    </row>
    <row r="89" spans="12:13" x14ac:dyDescent="0.25">
      <c r="L89" s="1"/>
      <c r="M89" s="13"/>
    </row>
    <row r="90" spans="12:13" x14ac:dyDescent="0.25">
      <c r="L90" s="1"/>
      <c r="M90" s="13"/>
    </row>
    <row r="91" spans="12:13" x14ac:dyDescent="0.25">
      <c r="L91" s="1"/>
      <c r="M91" s="13"/>
    </row>
    <row r="92" spans="12:13" x14ac:dyDescent="0.25">
      <c r="L92" s="1"/>
      <c r="M92" s="13"/>
    </row>
    <row r="93" spans="12:13" x14ac:dyDescent="0.25">
      <c r="L93" s="1"/>
      <c r="M93" s="13"/>
    </row>
    <row r="94" spans="12:13" x14ac:dyDescent="0.25">
      <c r="L94" s="1"/>
      <c r="M94" s="13"/>
    </row>
    <row r="95" spans="12:13" x14ac:dyDescent="0.25">
      <c r="L95" s="1"/>
      <c r="M95" s="13"/>
    </row>
    <row r="96" spans="12:13" x14ac:dyDescent="0.25">
      <c r="L96" s="1"/>
      <c r="M96" s="13"/>
    </row>
    <row r="97" spans="12:13" x14ac:dyDescent="0.25">
      <c r="L97" s="1"/>
      <c r="M97" s="13"/>
    </row>
    <row r="98" spans="12:13" x14ac:dyDescent="0.25">
      <c r="L98" s="1"/>
      <c r="M98" s="13"/>
    </row>
    <row r="99" spans="12:13" x14ac:dyDescent="0.25">
      <c r="L99" s="1"/>
      <c r="M99" s="13"/>
    </row>
    <row r="100" spans="12:13" x14ac:dyDescent="0.25">
      <c r="L100" s="1"/>
      <c r="M100" s="13"/>
    </row>
    <row r="101" spans="12:13" x14ac:dyDescent="0.25">
      <c r="L101" s="1"/>
      <c r="M101" s="13"/>
    </row>
    <row r="102" spans="12:13" x14ac:dyDescent="0.25">
      <c r="L102" s="1"/>
      <c r="M102" s="13"/>
    </row>
    <row r="103" spans="12:13" x14ac:dyDescent="0.25">
      <c r="L103" s="1"/>
      <c r="M103" s="13"/>
    </row>
    <row r="104" spans="12:13" x14ac:dyDescent="0.25">
      <c r="L104" s="1"/>
      <c r="M104" s="13"/>
    </row>
    <row r="105" spans="12:13" x14ac:dyDescent="0.25">
      <c r="L105" s="1"/>
      <c r="M105" s="13"/>
    </row>
    <row r="106" spans="12:13" x14ac:dyDescent="0.25">
      <c r="L106" s="1"/>
      <c r="M106" s="13"/>
    </row>
    <row r="107" spans="12:13" x14ac:dyDescent="0.25">
      <c r="L107" s="1"/>
      <c r="M107" s="13"/>
    </row>
    <row r="108" spans="12:13" x14ac:dyDescent="0.25">
      <c r="L108" s="1"/>
      <c r="M108" s="13"/>
    </row>
    <row r="109" spans="12:13" x14ac:dyDescent="0.25">
      <c r="L109" s="1"/>
      <c r="M109" s="13"/>
    </row>
    <row r="110" spans="12:13" x14ac:dyDescent="0.25">
      <c r="L110" s="1"/>
      <c r="M110" s="13"/>
    </row>
    <row r="111" spans="12:13" x14ac:dyDescent="0.25">
      <c r="L111" s="1"/>
      <c r="M111" s="13"/>
    </row>
    <row r="112" spans="12:13" x14ac:dyDescent="0.25">
      <c r="L112" s="1"/>
      <c r="M112" s="13"/>
    </row>
    <row r="113" spans="12:13" x14ac:dyDescent="0.25">
      <c r="L113" s="1"/>
      <c r="M113" s="13"/>
    </row>
    <row r="114" spans="12:13" x14ac:dyDescent="0.25">
      <c r="L114" s="1"/>
      <c r="M114" s="13"/>
    </row>
    <row r="115" spans="12:13" x14ac:dyDescent="0.25">
      <c r="L115" s="1"/>
      <c r="M115" s="13"/>
    </row>
    <row r="116" spans="12:13" x14ac:dyDescent="0.25">
      <c r="L116" s="1"/>
      <c r="M116" s="13"/>
    </row>
    <row r="117" spans="12:13" x14ac:dyDescent="0.25">
      <c r="L117" s="1"/>
      <c r="M117" s="13"/>
    </row>
    <row r="118" spans="12:13" x14ac:dyDescent="0.25">
      <c r="L118" s="1"/>
      <c r="M118" s="13"/>
    </row>
    <row r="119" spans="12:13" x14ac:dyDescent="0.25">
      <c r="L119" s="1"/>
      <c r="M119" s="13"/>
    </row>
    <row r="120" spans="12:13" x14ac:dyDescent="0.25">
      <c r="L120" s="1"/>
      <c r="M120" s="13"/>
    </row>
    <row r="121" spans="12:13" x14ac:dyDescent="0.25">
      <c r="L121" s="1"/>
      <c r="M121" s="13"/>
    </row>
    <row r="122" spans="12:13" x14ac:dyDescent="0.25">
      <c r="L122" s="1"/>
      <c r="M122" s="13"/>
    </row>
    <row r="123" spans="12:13" x14ac:dyDescent="0.25">
      <c r="L123" s="1"/>
      <c r="M123" s="13"/>
    </row>
    <row r="124" spans="12:13" x14ac:dyDescent="0.25">
      <c r="L124" s="1"/>
      <c r="M124" s="13"/>
    </row>
    <row r="125" spans="12:13" x14ac:dyDescent="0.25">
      <c r="L125" s="1"/>
      <c r="M125" s="13"/>
    </row>
    <row r="126" spans="12:13" x14ac:dyDescent="0.25">
      <c r="L126" s="1"/>
      <c r="M126" s="13"/>
    </row>
    <row r="127" spans="12:13" x14ac:dyDescent="0.25">
      <c r="L127" s="1"/>
      <c r="M127" s="13"/>
    </row>
    <row r="128" spans="12:13" x14ac:dyDescent="0.25">
      <c r="L128" s="1"/>
      <c r="M128" s="13"/>
    </row>
    <row r="129" spans="12:13" x14ac:dyDescent="0.25">
      <c r="L129" s="1"/>
      <c r="M129" s="13"/>
    </row>
    <row r="130" spans="12:13" x14ac:dyDescent="0.25">
      <c r="L130" s="1"/>
      <c r="M130" s="13"/>
    </row>
    <row r="131" spans="12:13" x14ac:dyDescent="0.25">
      <c r="L131" s="1"/>
      <c r="M131" s="13"/>
    </row>
    <row r="132" spans="12:13" x14ac:dyDescent="0.25">
      <c r="L132" s="1"/>
      <c r="M132" s="13"/>
    </row>
    <row r="133" spans="12:13" x14ac:dyDescent="0.25">
      <c r="L133" s="1"/>
      <c r="M133" s="13"/>
    </row>
    <row r="134" spans="12:13" x14ac:dyDescent="0.25">
      <c r="L134" s="1"/>
      <c r="M134" s="13"/>
    </row>
    <row r="135" spans="12:13" x14ac:dyDescent="0.25">
      <c r="L135" s="1"/>
      <c r="M135" s="13"/>
    </row>
    <row r="136" spans="12:13" x14ac:dyDescent="0.25">
      <c r="L136" s="1"/>
      <c r="M136" s="13"/>
    </row>
    <row r="137" spans="12:13" x14ac:dyDescent="0.25">
      <c r="L137" s="1"/>
      <c r="M137" s="13"/>
    </row>
    <row r="138" spans="12:13" x14ac:dyDescent="0.25">
      <c r="L138" s="1"/>
      <c r="M138" s="13"/>
    </row>
    <row r="139" spans="12:13" x14ac:dyDescent="0.25">
      <c r="L139" s="1"/>
      <c r="M139" s="13"/>
    </row>
    <row r="140" spans="12:13" x14ac:dyDescent="0.25">
      <c r="L140" s="1"/>
      <c r="M140" s="13"/>
    </row>
    <row r="141" spans="12:13" x14ac:dyDescent="0.25">
      <c r="L141" s="1"/>
      <c r="M141" s="13"/>
    </row>
    <row r="142" spans="12:13" x14ac:dyDescent="0.25">
      <c r="L142" s="1"/>
      <c r="M142" s="13"/>
    </row>
    <row r="143" spans="12:13" x14ac:dyDescent="0.25">
      <c r="L143" s="1"/>
      <c r="M143" s="13"/>
    </row>
    <row r="144" spans="12:13" x14ac:dyDescent="0.25">
      <c r="L144" s="1"/>
      <c r="M144" s="13"/>
    </row>
    <row r="145" spans="12:13" x14ac:dyDescent="0.25">
      <c r="L145" s="1"/>
      <c r="M145" s="13"/>
    </row>
    <row r="146" spans="12:13" x14ac:dyDescent="0.25">
      <c r="L146" s="1"/>
      <c r="M146" s="13"/>
    </row>
    <row r="147" spans="12:13" x14ac:dyDescent="0.25">
      <c r="L147" s="1"/>
      <c r="M147" s="13"/>
    </row>
    <row r="148" spans="12:13" x14ac:dyDescent="0.25">
      <c r="L148" s="1"/>
      <c r="M148" s="13"/>
    </row>
    <row r="149" spans="12:13" x14ac:dyDescent="0.25">
      <c r="L149" s="1"/>
      <c r="M149" s="13"/>
    </row>
    <row r="150" spans="12:13" x14ac:dyDescent="0.25">
      <c r="L150" s="1"/>
      <c r="M150" s="13"/>
    </row>
    <row r="151" spans="12:13" x14ac:dyDescent="0.25">
      <c r="L151" s="1"/>
      <c r="M151" s="13"/>
    </row>
    <row r="152" spans="12:13" x14ac:dyDescent="0.25">
      <c r="L152" s="1"/>
      <c r="M152" s="13"/>
    </row>
    <row r="153" spans="12:13" x14ac:dyDescent="0.25">
      <c r="L153" s="1"/>
      <c r="M153" s="13"/>
    </row>
    <row r="154" spans="12:13" x14ac:dyDescent="0.25">
      <c r="L154" s="1"/>
      <c r="M154" s="13"/>
    </row>
    <row r="155" spans="12:13" x14ac:dyDescent="0.25">
      <c r="L155" s="1"/>
      <c r="M155" s="13"/>
    </row>
    <row r="156" spans="12:13" x14ac:dyDescent="0.25">
      <c r="L156" s="1"/>
      <c r="M156" s="13"/>
    </row>
    <row r="157" spans="12:13" x14ac:dyDescent="0.25">
      <c r="L157" s="1"/>
      <c r="M157" s="13"/>
    </row>
    <row r="158" spans="12:13" x14ac:dyDescent="0.25">
      <c r="L158" s="1"/>
      <c r="M158" s="13"/>
    </row>
    <row r="159" spans="12:13" x14ac:dyDescent="0.25">
      <c r="L159" s="1"/>
      <c r="M159" s="13"/>
    </row>
    <row r="160" spans="12:13" x14ac:dyDescent="0.25">
      <c r="L160" s="1"/>
      <c r="M160" s="13"/>
    </row>
    <row r="161" spans="12:13" x14ac:dyDescent="0.25">
      <c r="L161" s="1"/>
      <c r="M161" s="13"/>
    </row>
    <row r="162" spans="12:13" x14ac:dyDescent="0.25">
      <c r="L162" s="1"/>
      <c r="M162" s="13"/>
    </row>
    <row r="163" spans="12:13" x14ac:dyDescent="0.25">
      <c r="L163" s="1"/>
      <c r="M163" s="13"/>
    </row>
    <row r="164" spans="12:13" x14ac:dyDescent="0.25">
      <c r="L164" s="1"/>
      <c r="M164" s="13"/>
    </row>
    <row r="165" spans="12:13" x14ac:dyDescent="0.25">
      <c r="L165" s="1"/>
      <c r="M165" s="13"/>
    </row>
    <row r="166" spans="12:13" x14ac:dyDescent="0.25">
      <c r="L166" s="1"/>
      <c r="M166" s="13"/>
    </row>
    <row r="167" spans="12:13" x14ac:dyDescent="0.25">
      <c r="L167" s="1"/>
      <c r="M167" s="13"/>
    </row>
    <row r="168" spans="12:13" x14ac:dyDescent="0.25">
      <c r="L168" s="1"/>
      <c r="M168" s="13"/>
    </row>
    <row r="169" spans="12:13" x14ac:dyDescent="0.25">
      <c r="L169" s="1"/>
      <c r="M169" s="13"/>
    </row>
    <row r="170" spans="12:13" x14ac:dyDescent="0.25">
      <c r="L170" s="1"/>
      <c r="M170" s="13"/>
    </row>
    <row r="171" spans="12:13" x14ac:dyDescent="0.25">
      <c r="L171" s="1"/>
      <c r="M171" s="13"/>
    </row>
    <row r="172" spans="12:13" x14ac:dyDescent="0.25">
      <c r="L172" s="1"/>
      <c r="M172" s="13"/>
    </row>
    <row r="173" spans="12:13" x14ac:dyDescent="0.25">
      <c r="L173" s="1"/>
      <c r="M173" s="13"/>
    </row>
    <row r="174" spans="12:13" x14ac:dyDescent="0.25">
      <c r="L174" s="1"/>
      <c r="M174" s="13"/>
    </row>
    <row r="175" spans="12:13" x14ac:dyDescent="0.25">
      <c r="L175" s="1"/>
      <c r="M175" s="13"/>
    </row>
    <row r="176" spans="12:13" x14ac:dyDescent="0.25">
      <c r="L176" s="1"/>
      <c r="M176" s="13"/>
    </row>
    <row r="177" spans="12:13" x14ac:dyDescent="0.25">
      <c r="L177" s="1"/>
      <c r="M177" s="13"/>
    </row>
    <row r="178" spans="12:13" x14ac:dyDescent="0.25">
      <c r="L178" s="1"/>
      <c r="M178" s="13"/>
    </row>
    <row r="179" spans="12:13" x14ac:dyDescent="0.25">
      <c r="L179" s="1"/>
      <c r="M179" s="13"/>
    </row>
    <row r="180" spans="12:13" x14ac:dyDescent="0.25">
      <c r="L180" s="1"/>
      <c r="M180" s="13"/>
    </row>
    <row r="181" spans="12:13" x14ac:dyDescent="0.25">
      <c r="L181" s="1"/>
      <c r="M181" s="13"/>
    </row>
    <row r="182" spans="12:13" x14ac:dyDescent="0.25">
      <c r="L182" s="1"/>
      <c r="M182" s="13"/>
    </row>
    <row r="183" spans="12:13" x14ac:dyDescent="0.25">
      <c r="L183" s="1"/>
      <c r="M183" s="13"/>
    </row>
    <row r="184" spans="12:13" x14ac:dyDescent="0.25">
      <c r="L184" s="1"/>
      <c r="M184" s="13"/>
    </row>
    <row r="185" spans="12:13" x14ac:dyDescent="0.25">
      <c r="L185" s="1"/>
      <c r="M185" s="13"/>
    </row>
    <row r="186" spans="12:13" x14ac:dyDescent="0.25">
      <c r="L186" s="1"/>
      <c r="M186" s="13"/>
    </row>
    <row r="187" spans="12:13" x14ac:dyDescent="0.25">
      <c r="L187" s="1"/>
      <c r="M187" s="13"/>
    </row>
    <row r="188" spans="12:13" x14ac:dyDescent="0.25">
      <c r="L188" s="1"/>
      <c r="M188" s="13"/>
    </row>
    <row r="189" spans="12:13" x14ac:dyDescent="0.25">
      <c r="L189" s="1"/>
      <c r="M189" s="13"/>
    </row>
    <row r="190" spans="12:13" x14ac:dyDescent="0.25">
      <c r="L190" s="1"/>
      <c r="M190" s="13"/>
    </row>
    <row r="191" spans="12:13" x14ac:dyDescent="0.25">
      <c r="L191" s="1"/>
      <c r="M191" s="13"/>
    </row>
    <row r="192" spans="12:13" x14ac:dyDescent="0.25">
      <c r="L192" s="1"/>
      <c r="M192" s="13"/>
    </row>
    <row r="193" spans="12:13" x14ac:dyDescent="0.25">
      <c r="L193" s="1"/>
      <c r="M193" s="13"/>
    </row>
    <row r="194" spans="12:13" x14ac:dyDescent="0.25">
      <c r="L194" s="1"/>
      <c r="M194" s="13"/>
    </row>
    <row r="195" spans="12:13" x14ac:dyDescent="0.25">
      <c r="L195" s="1"/>
      <c r="M195" s="13"/>
    </row>
    <row r="196" spans="12:13" x14ac:dyDescent="0.25">
      <c r="L196" s="1"/>
      <c r="M196" s="13"/>
    </row>
    <row r="197" spans="12:13" x14ac:dyDescent="0.25">
      <c r="L197" s="1"/>
      <c r="M197" s="13"/>
    </row>
    <row r="198" spans="12:13" x14ac:dyDescent="0.25">
      <c r="L198" s="1"/>
      <c r="M198" s="13"/>
    </row>
    <row r="199" spans="12:13" x14ac:dyDescent="0.25">
      <c r="L199" s="1"/>
      <c r="M199" s="13"/>
    </row>
    <row r="200" spans="12:13" x14ac:dyDescent="0.25">
      <c r="L200" s="1"/>
      <c r="M200" s="13"/>
    </row>
    <row r="201" spans="12:13" x14ac:dyDescent="0.25">
      <c r="L201" s="1"/>
      <c r="M201" s="13"/>
    </row>
    <row r="202" spans="12:13" x14ac:dyDescent="0.25">
      <c r="L202" s="1"/>
      <c r="M202" s="13"/>
    </row>
    <row r="203" spans="12:13" x14ac:dyDescent="0.25">
      <c r="L203" s="1"/>
      <c r="M203" s="13"/>
    </row>
    <row r="204" spans="12:13" x14ac:dyDescent="0.25">
      <c r="L204" s="1"/>
      <c r="M204" s="13"/>
    </row>
    <row r="205" spans="12:13" x14ac:dyDescent="0.25">
      <c r="L205" s="1"/>
      <c r="M205" s="13"/>
    </row>
    <row r="206" spans="12:13" x14ac:dyDescent="0.25">
      <c r="L206" s="1"/>
      <c r="M206" s="13"/>
    </row>
    <row r="207" spans="12:13" x14ac:dyDescent="0.25">
      <c r="L207" s="1"/>
      <c r="M207" s="13"/>
    </row>
    <row r="208" spans="12:13" x14ac:dyDescent="0.25">
      <c r="L208" s="1"/>
      <c r="M208" s="13"/>
    </row>
    <row r="209" spans="12:13" x14ac:dyDescent="0.25">
      <c r="L209" s="1"/>
      <c r="M209" s="13"/>
    </row>
    <row r="210" spans="12:13" x14ac:dyDescent="0.25">
      <c r="L210" s="1"/>
      <c r="M210" s="13"/>
    </row>
    <row r="211" spans="12:13" x14ac:dyDescent="0.25">
      <c r="L211" s="1"/>
      <c r="M211" s="13"/>
    </row>
    <row r="212" spans="12:13" x14ac:dyDescent="0.25">
      <c r="L212" s="1"/>
      <c r="M212" s="13"/>
    </row>
    <row r="213" spans="12:13" x14ac:dyDescent="0.25">
      <c r="L213" s="1"/>
      <c r="M213" s="13"/>
    </row>
    <row r="214" spans="12:13" x14ac:dyDescent="0.25">
      <c r="L214" s="1"/>
      <c r="M214" s="13"/>
    </row>
    <row r="215" spans="12:13" x14ac:dyDescent="0.25">
      <c r="L215" s="1"/>
      <c r="M215" s="13"/>
    </row>
    <row r="216" spans="12:13" x14ac:dyDescent="0.25">
      <c r="L216" s="1"/>
      <c r="M216" s="13"/>
    </row>
    <row r="217" spans="12:13" x14ac:dyDescent="0.25">
      <c r="L217" s="1"/>
      <c r="M217" s="13"/>
    </row>
    <row r="218" spans="12:13" x14ac:dyDescent="0.25">
      <c r="L218" s="1"/>
      <c r="M218" s="13"/>
    </row>
    <row r="219" spans="12:13" x14ac:dyDescent="0.25">
      <c r="L219" s="1"/>
      <c r="M219" s="13"/>
    </row>
    <row r="220" spans="12:13" x14ac:dyDescent="0.25">
      <c r="L220" s="1"/>
      <c r="M220" s="13"/>
    </row>
    <row r="221" spans="12:13" x14ac:dyDescent="0.25">
      <c r="L221" s="1"/>
      <c r="M221" s="13"/>
    </row>
    <row r="222" spans="12:13" x14ac:dyDescent="0.25">
      <c r="L222" s="1"/>
      <c r="M222" s="13"/>
    </row>
    <row r="223" spans="12:13" x14ac:dyDescent="0.25">
      <c r="L223" s="1"/>
      <c r="M223" s="13"/>
    </row>
    <row r="224" spans="12:13" x14ac:dyDescent="0.25">
      <c r="L224" s="1"/>
      <c r="M224" s="13"/>
    </row>
    <row r="225" spans="12:13" x14ac:dyDescent="0.25">
      <c r="L225" s="1"/>
      <c r="M225" s="13"/>
    </row>
    <row r="226" spans="12:13" x14ac:dyDescent="0.25">
      <c r="L226" s="1"/>
      <c r="M226" s="13"/>
    </row>
    <row r="227" spans="12:13" x14ac:dyDescent="0.25">
      <c r="L227" s="1"/>
      <c r="M227" s="13"/>
    </row>
    <row r="228" spans="12:13" x14ac:dyDescent="0.25">
      <c r="L228" s="1"/>
      <c r="M228" s="13"/>
    </row>
    <row r="229" spans="12:13" x14ac:dyDescent="0.25">
      <c r="L229" s="1"/>
      <c r="M229" s="13"/>
    </row>
    <row r="230" spans="12:13" x14ac:dyDescent="0.25">
      <c r="L230" s="1"/>
      <c r="M230" s="13"/>
    </row>
    <row r="231" spans="12:13" x14ac:dyDescent="0.25">
      <c r="L231" s="1"/>
      <c r="M231" s="13"/>
    </row>
    <row r="232" spans="12:13" x14ac:dyDescent="0.25">
      <c r="L232" s="1"/>
      <c r="M232" s="13"/>
    </row>
    <row r="233" spans="12:13" x14ac:dyDescent="0.25">
      <c r="L233" s="1"/>
      <c r="M233" s="13"/>
    </row>
    <row r="234" spans="12:13" x14ac:dyDescent="0.25">
      <c r="L234" s="1"/>
      <c r="M234" s="13"/>
    </row>
    <row r="235" spans="12:13" x14ac:dyDescent="0.25">
      <c r="L235" s="1"/>
      <c r="M235" s="13"/>
    </row>
    <row r="236" spans="12:13" x14ac:dyDescent="0.25">
      <c r="L236" s="1"/>
      <c r="M236" s="13"/>
    </row>
    <row r="237" spans="12:13" x14ac:dyDescent="0.25">
      <c r="L237" s="1"/>
      <c r="M237" s="13"/>
    </row>
    <row r="238" spans="12:13" x14ac:dyDescent="0.25">
      <c r="L238" s="1"/>
      <c r="M238" s="13"/>
    </row>
    <row r="239" spans="12:13" x14ac:dyDescent="0.25">
      <c r="L239" s="1"/>
      <c r="M239" s="13"/>
    </row>
    <row r="240" spans="12:13" x14ac:dyDescent="0.25">
      <c r="L240" s="1"/>
      <c r="M240" s="13"/>
    </row>
    <row r="241" spans="12:13" x14ac:dyDescent="0.25">
      <c r="L241" s="1"/>
      <c r="M241" s="13"/>
    </row>
    <row r="242" spans="12:13" x14ac:dyDescent="0.25">
      <c r="L242" s="1"/>
      <c r="M242" s="13"/>
    </row>
    <row r="243" spans="12:13" x14ac:dyDescent="0.25">
      <c r="L243" s="1"/>
      <c r="M243" s="13"/>
    </row>
    <row r="244" spans="12:13" x14ac:dyDescent="0.25">
      <c r="L244" s="1"/>
      <c r="M244" s="13"/>
    </row>
    <row r="245" spans="12:13" x14ac:dyDescent="0.25">
      <c r="L245" s="1"/>
      <c r="M245" s="13"/>
    </row>
    <row r="246" spans="12:13" x14ac:dyDescent="0.25">
      <c r="L246" s="1"/>
      <c r="M246" s="13"/>
    </row>
    <row r="247" spans="12:13" x14ac:dyDescent="0.25">
      <c r="L247" s="1"/>
      <c r="M247" s="13"/>
    </row>
    <row r="248" spans="12:13" x14ac:dyDescent="0.25">
      <c r="L248" s="1"/>
      <c r="M248" s="13"/>
    </row>
    <row r="249" spans="12:13" x14ac:dyDescent="0.25">
      <c r="L249" s="1"/>
      <c r="M249" s="13"/>
    </row>
    <row r="250" spans="12:13" x14ac:dyDescent="0.25">
      <c r="L250" s="1"/>
      <c r="M250" s="13"/>
    </row>
    <row r="251" spans="12:13" x14ac:dyDescent="0.25">
      <c r="L251" s="1"/>
      <c r="M251" s="13"/>
    </row>
  </sheetData>
  <conditionalFormatting sqref="A1:XFD1048576">
    <cfRule type="cellIs" dxfId="10" priority="1" operator="equal">
      <formula>0</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70BBA-7F3E-4979-AE84-8AAE2D2CB724}">
  <sheetPr codeName="Sheet13"/>
  <dimension ref="A1:AO251"/>
  <sheetViews>
    <sheetView workbookViewId="0">
      <selection activeCell="A17" sqref="A17:XFD423"/>
    </sheetView>
  </sheetViews>
  <sheetFormatPr defaultColWidth="21.42578125" defaultRowHeight="15" x14ac:dyDescent="0.25"/>
  <cols>
    <col min="1" max="1" width="13.7109375" customWidth="1"/>
    <col min="2" max="2" width="17.140625" customWidth="1"/>
    <col min="3" max="3" width="14.42578125" customWidth="1"/>
    <col min="4" max="4" width="11.85546875" bestFit="1" customWidth="1"/>
    <col min="5" max="5" width="23.7109375" bestFit="1" customWidth="1"/>
    <col min="6" max="6" width="9.42578125" bestFit="1" customWidth="1"/>
    <col min="7" max="10" width="9.42578125" customWidth="1"/>
    <col min="11" max="11" width="18.7109375" bestFit="1" customWidth="1"/>
    <col min="12" max="12" width="26" bestFit="1" customWidth="1"/>
    <col min="13" max="13" width="26" customWidth="1"/>
    <col min="14" max="14" width="19.5703125" customWidth="1"/>
    <col min="15" max="15" width="18.85546875" customWidth="1"/>
    <col min="16" max="16" width="22" bestFit="1" customWidth="1"/>
    <col min="17" max="19" width="11.85546875" bestFit="1" customWidth="1"/>
    <col min="20" max="20" width="24.42578125" bestFit="1" customWidth="1"/>
    <col min="21" max="21" width="15" bestFit="1" customWidth="1"/>
    <col min="22" max="22" width="14.42578125" bestFit="1" customWidth="1"/>
    <col min="23" max="23" width="10.42578125" bestFit="1" customWidth="1"/>
  </cols>
  <sheetData>
    <row r="1" spans="1:41" x14ac:dyDescent="0.25">
      <c r="A1" s="2" t="s">
        <v>2</v>
      </c>
      <c r="B1" s="2" t="s">
        <v>1</v>
      </c>
      <c r="C1" s="2" t="s">
        <v>0</v>
      </c>
      <c r="D1" s="2" t="s">
        <v>3</v>
      </c>
      <c r="E1" s="2" t="s">
        <v>339</v>
      </c>
      <c r="F1" s="2" t="s">
        <v>340</v>
      </c>
      <c r="G1" s="2" t="s">
        <v>590</v>
      </c>
      <c r="H1" s="2" t="s">
        <v>508</v>
      </c>
      <c r="I1" s="2" t="s">
        <v>5</v>
      </c>
      <c r="J1" s="2" t="s">
        <v>565</v>
      </c>
      <c r="K1" s="2" t="s">
        <v>592</v>
      </c>
      <c r="L1" s="2" t="s">
        <v>396</v>
      </c>
      <c r="M1" s="2" t="s">
        <v>9</v>
      </c>
      <c r="N1" s="2" t="s">
        <v>455</v>
      </c>
      <c r="O1" s="2" t="s">
        <v>456</v>
      </c>
      <c r="P1" s="2" t="s">
        <v>457</v>
      </c>
      <c r="Q1" s="2" t="s">
        <v>342</v>
      </c>
      <c r="R1" s="2" t="s">
        <v>343</v>
      </c>
      <c r="S1" s="2" t="s">
        <v>344</v>
      </c>
      <c r="T1" s="2" t="s">
        <v>458</v>
      </c>
      <c r="U1" s="2" t="s">
        <v>459</v>
      </c>
      <c r="V1" s="2" t="s">
        <v>460</v>
      </c>
      <c r="W1" s="2" t="s">
        <v>461</v>
      </c>
      <c r="X1" s="3"/>
      <c r="Y1" s="3"/>
      <c r="Z1" s="3"/>
      <c r="AA1" s="3"/>
      <c r="AB1" s="3"/>
      <c r="AC1" s="3"/>
      <c r="AD1" s="3"/>
      <c r="AE1" s="3"/>
      <c r="AF1" s="3"/>
      <c r="AG1" s="3"/>
      <c r="AH1" s="3"/>
      <c r="AI1" s="3"/>
      <c r="AJ1" s="3"/>
      <c r="AK1" s="3"/>
      <c r="AL1" s="3"/>
      <c r="AM1" s="3"/>
      <c r="AN1" s="3"/>
      <c r="AO1" s="3"/>
    </row>
    <row r="2" spans="1:41" x14ac:dyDescent="0.25">
      <c r="A2" t="str">
        <f>TRIM('Account Creation'!B2)</f>
        <v>Cristian</v>
      </c>
      <c r="B2" t="str">
        <f>TRIM('Account Creation'!C2)</f>
        <v>Jose</v>
      </c>
      <c r="C2" t="str">
        <f>TRIM('Account Creation'!D2)</f>
        <v>Ramirez</v>
      </c>
      <c r="D2">
        <f>'Account Creation'!M2</f>
        <v>2463</v>
      </c>
      <c r="E2" t="str">
        <f>TRIM('Help Desk'!D2)</f>
        <v>vn54tqf</v>
      </c>
      <c r="F2">
        <f>'Help Desk'!E2</f>
        <v>0</v>
      </c>
      <c r="G2" t="str">
        <f>'Account Creation'!J2</f>
        <v>WMCOM</v>
      </c>
      <c r="H2" t="str">
        <f>'Account Creation'!L2</f>
        <v>Chat</v>
      </c>
      <c r="I2" t="str">
        <f>'Account Creation'!K2</f>
        <v>Agent</v>
      </c>
      <c r="J2" t="str">
        <f>'Account Creation'!H2</f>
        <v>24-7 Intouch</v>
      </c>
      <c r="K2" t="str">
        <f>'Account Creation'!I2</f>
        <v>Guatemala City</v>
      </c>
      <c r="L2" s="1">
        <f>'Account Creation'!G2</f>
        <v>44851</v>
      </c>
      <c r="M2" s="13">
        <f>'Account Creation'!U2</f>
        <v>0</v>
      </c>
      <c r="N2" t="str">
        <f>TRIM('RNT_Store Spark'!A2)</f>
        <v>vn54tqf</v>
      </c>
      <c r="O2" t="str">
        <f>'RNT_Store Spark'!G2</f>
        <v>1@Walmart</v>
      </c>
      <c r="P2" t="str">
        <f>TRIM('VCC_Stores ONLY'!B2)</f>
        <v/>
      </c>
      <c r="Q2">
        <f>'Help Desk'!J2</f>
        <v>0</v>
      </c>
      <c r="R2">
        <f>'Help Desk'!K2</f>
        <v>0</v>
      </c>
      <c r="S2">
        <f>'Help Desk'!L2</f>
        <v>0</v>
      </c>
      <c r="T2" t="str">
        <f>CONCATENATE('Help Desk'!D2,"@walmart.com")</f>
        <v>vn54tqf@walmart.com</v>
      </c>
      <c r="U2" t="s">
        <v>462</v>
      </c>
      <c r="V2" t="str">
        <f>LITMOS!A2</f>
        <v>vn54tqf</v>
      </c>
      <c r="W2" t="str">
        <f>LITMOS!E2</f>
        <v>W@lmart1</v>
      </c>
    </row>
    <row r="3" spans="1:41" x14ac:dyDescent="0.25">
      <c r="A3" t="str">
        <f>TRIM('Account Creation'!B3)</f>
        <v>Claudia</v>
      </c>
      <c r="B3" t="str">
        <f>TRIM('Account Creation'!C3)</f>
        <v>Gabriela</v>
      </c>
      <c r="C3" t="str">
        <f>TRIM('Account Creation'!D3)</f>
        <v>Garcia</v>
      </c>
      <c r="D3">
        <f>'Account Creation'!M3</f>
        <v>2464</v>
      </c>
      <c r="E3" t="str">
        <f>TRIM('Help Desk'!D3)</f>
        <v>vn54tqh</v>
      </c>
      <c r="F3">
        <f>'Help Desk'!E3</f>
        <v>0</v>
      </c>
      <c r="G3" t="str">
        <f>'Account Creation'!J3</f>
        <v>WMCOM</v>
      </c>
      <c r="H3" t="str">
        <f>'Account Creation'!L3</f>
        <v>Chat</v>
      </c>
      <c r="I3" t="str">
        <f>'Account Creation'!K3</f>
        <v>Agent</v>
      </c>
      <c r="J3" t="str">
        <f>'Account Creation'!H3</f>
        <v>24-7 Intouch</v>
      </c>
      <c r="K3" t="str">
        <f>'Account Creation'!I3</f>
        <v>Guatemala City</v>
      </c>
      <c r="L3" s="1">
        <f>'Account Creation'!G3</f>
        <v>44851</v>
      </c>
      <c r="M3" s="13">
        <f>'Account Creation'!U3</f>
        <v>0</v>
      </c>
      <c r="N3" t="str">
        <f>TRIM('RNT_Store Spark'!A3)</f>
        <v>vn54tqh</v>
      </c>
      <c r="O3" t="str">
        <f>'RNT_Store Spark'!G3</f>
        <v>1@Walmart</v>
      </c>
      <c r="P3" t="str">
        <f>TRIM('VCC_Stores ONLY'!B3)</f>
        <v/>
      </c>
      <c r="Q3">
        <f>'Help Desk'!J3</f>
        <v>0</v>
      </c>
      <c r="R3">
        <f>'Help Desk'!K3</f>
        <v>0</v>
      </c>
      <c r="S3">
        <f>'Help Desk'!L3</f>
        <v>0</v>
      </c>
      <c r="T3" t="str">
        <f>CONCATENATE('Help Desk'!D3,"@walmart.com")</f>
        <v>vn54tqh@walmart.com</v>
      </c>
      <c r="U3" t="s">
        <v>462</v>
      </c>
      <c r="V3" t="str">
        <f>LITMOS!A3</f>
        <v>vn54tqh</v>
      </c>
      <c r="W3" t="str">
        <f>LITMOS!E3</f>
        <v>W@lmart1</v>
      </c>
    </row>
    <row r="4" spans="1:41" x14ac:dyDescent="0.25">
      <c r="A4" t="str">
        <f>TRIM('Account Creation'!B4)</f>
        <v>Luis</v>
      </c>
      <c r="B4" t="str">
        <f>TRIM('Account Creation'!C4)</f>
        <v>Fernando</v>
      </c>
      <c r="C4" t="str">
        <f>TRIM('Account Creation'!D4)</f>
        <v>Hernandez</v>
      </c>
      <c r="D4">
        <f>'Account Creation'!M4</f>
        <v>2465</v>
      </c>
      <c r="E4" t="str">
        <f>TRIM('Help Desk'!D4)</f>
        <v>vn54tqj</v>
      </c>
      <c r="F4">
        <f>'Help Desk'!E4</f>
        <v>0</v>
      </c>
      <c r="G4" t="str">
        <f>'Account Creation'!J4</f>
        <v>WMCOM</v>
      </c>
      <c r="H4" t="str">
        <f>'Account Creation'!L4</f>
        <v>Chat</v>
      </c>
      <c r="I4" t="str">
        <f>'Account Creation'!K4</f>
        <v>Agent</v>
      </c>
      <c r="J4" t="str">
        <f>'Account Creation'!H4</f>
        <v>24-7 Intouch</v>
      </c>
      <c r="K4" t="str">
        <f>'Account Creation'!I4</f>
        <v>Guatemala City</v>
      </c>
      <c r="L4" s="1">
        <f>'Account Creation'!G4</f>
        <v>44851</v>
      </c>
      <c r="M4" s="13">
        <f>'Account Creation'!U4</f>
        <v>0</v>
      </c>
      <c r="N4" t="str">
        <f>TRIM('RNT_Store Spark'!A4)</f>
        <v>vn54tqj</v>
      </c>
      <c r="O4" t="str">
        <f>'RNT_Store Spark'!G4</f>
        <v>1@Walmart</v>
      </c>
      <c r="P4" t="str">
        <f>TRIM('VCC_Stores ONLY'!B4)</f>
        <v/>
      </c>
      <c r="Q4">
        <f>'Help Desk'!J4</f>
        <v>0</v>
      </c>
      <c r="R4">
        <f>'Help Desk'!K4</f>
        <v>0</v>
      </c>
      <c r="S4">
        <f>'Help Desk'!L4</f>
        <v>0</v>
      </c>
      <c r="T4" t="str">
        <f>CONCATENATE('Help Desk'!D4,"@walmart.com")</f>
        <v>vn54tqj@walmart.com</v>
      </c>
      <c r="U4" t="s">
        <v>462</v>
      </c>
      <c r="V4" t="str">
        <f>LITMOS!A4</f>
        <v>vn54tqj</v>
      </c>
      <c r="W4" t="str">
        <f>LITMOS!E4</f>
        <v>W@lmart1</v>
      </c>
    </row>
    <row r="5" spans="1:41" x14ac:dyDescent="0.25">
      <c r="A5" t="str">
        <f>TRIM('Account Creation'!B5)</f>
        <v>Sofia</v>
      </c>
      <c r="B5" t="str">
        <f>TRIM('Account Creation'!C5)</f>
        <v>Bernice</v>
      </c>
      <c r="C5" t="str">
        <f>TRIM('Account Creation'!D5)</f>
        <v>Marroquin</v>
      </c>
      <c r="D5">
        <f>'Account Creation'!M5</f>
        <v>2466</v>
      </c>
      <c r="E5" t="str">
        <f>TRIM('Help Desk'!D5)</f>
        <v>vn54tql</v>
      </c>
      <c r="F5">
        <f>'Help Desk'!E5</f>
        <v>0</v>
      </c>
      <c r="G5" t="str">
        <f>'Account Creation'!J5</f>
        <v>WMCOM</v>
      </c>
      <c r="H5" t="str">
        <f>'Account Creation'!L5</f>
        <v>Chat</v>
      </c>
      <c r="I5" t="str">
        <f>'Account Creation'!K5</f>
        <v>Agent</v>
      </c>
      <c r="J5" t="str">
        <f>'Account Creation'!H5</f>
        <v>24-7 Intouch</v>
      </c>
      <c r="K5" t="str">
        <f>'Account Creation'!I5</f>
        <v>Guatemala City</v>
      </c>
      <c r="L5" s="1">
        <f>'Account Creation'!G5</f>
        <v>44851</v>
      </c>
      <c r="M5" s="13">
        <f>'Account Creation'!U5</f>
        <v>0</v>
      </c>
      <c r="N5" t="str">
        <f>TRIM('RNT_Store Spark'!A5)</f>
        <v>vn54tql</v>
      </c>
      <c r="O5" t="str">
        <f>'RNT_Store Spark'!G5</f>
        <v>1@Walmart</v>
      </c>
      <c r="P5" t="str">
        <f>TRIM('VCC_Stores ONLY'!B5)</f>
        <v/>
      </c>
      <c r="Q5">
        <f>'Help Desk'!J5</f>
        <v>0</v>
      </c>
      <c r="R5">
        <f>'Help Desk'!K5</f>
        <v>0</v>
      </c>
      <c r="S5">
        <f>'Help Desk'!L5</f>
        <v>0</v>
      </c>
      <c r="T5" t="str">
        <f>CONCATENATE('Help Desk'!D5,"@walmart.com")</f>
        <v>vn54tql@walmart.com</v>
      </c>
      <c r="U5" t="s">
        <v>462</v>
      </c>
      <c r="V5" t="str">
        <f>LITMOS!A5</f>
        <v>vn54tql</v>
      </c>
      <c r="W5" t="str">
        <f>LITMOS!E5</f>
        <v>W@lmart1</v>
      </c>
    </row>
    <row r="6" spans="1:41" x14ac:dyDescent="0.25">
      <c r="A6" t="str">
        <f>TRIM('Account Creation'!B6)</f>
        <v>Guillermo</v>
      </c>
      <c r="B6" t="str">
        <f>TRIM('Account Creation'!C6)</f>
        <v>Benjamin</v>
      </c>
      <c r="C6" t="str">
        <f>TRIM('Account Creation'!D6)</f>
        <v>Zamora</v>
      </c>
      <c r="D6">
        <f>'Account Creation'!M6</f>
        <v>2467</v>
      </c>
      <c r="E6" t="str">
        <f>TRIM('Help Desk'!D6)</f>
        <v>vn54tqn</v>
      </c>
      <c r="F6">
        <f>'Help Desk'!E6</f>
        <v>0</v>
      </c>
      <c r="G6" t="str">
        <f>'Account Creation'!J6</f>
        <v>WMCOM</v>
      </c>
      <c r="H6" t="str">
        <f>'Account Creation'!L6</f>
        <v>Chat</v>
      </c>
      <c r="I6" t="str">
        <f>'Account Creation'!K6</f>
        <v>Agent</v>
      </c>
      <c r="J6" t="str">
        <f>'Account Creation'!H6</f>
        <v>24-7 Intouch</v>
      </c>
      <c r="K6" t="str">
        <f>'Account Creation'!I6</f>
        <v>Guatemala City</v>
      </c>
      <c r="L6" s="1">
        <f>'Account Creation'!G6</f>
        <v>44851</v>
      </c>
      <c r="M6" s="13">
        <f>'Account Creation'!U6</f>
        <v>0</v>
      </c>
      <c r="N6" t="str">
        <f>TRIM('RNT_Store Spark'!A6)</f>
        <v>vn54tqn</v>
      </c>
      <c r="O6" t="str">
        <f>'RNT_Store Spark'!G6</f>
        <v>1@Walmart</v>
      </c>
      <c r="P6" t="str">
        <f>TRIM('VCC_Stores ONLY'!B6)</f>
        <v/>
      </c>
      <c r="Q6">
        <f>'Help Desk'!J6</f>
        <v>0</v>
      </c>
      <c r="R6">
        <f>'Help Desk'!K6</f>
        <v>0</v>
      </c>
      <c r="S6">
        <f>'Help Desk'!L6</f>
        <v>0</v>
      </c>
      <c r="T6" t="str">
        <f>CONCATENATE('Help Desk'!D6,"@walmart.com")</f>
        <v>vn54tqn@walmart.com</v>
      </c>
      <c r="U6" t="s">
        <v>462</v>
      </c>
      <c r="V6" t="str">
        <f>LITMOS!A6</f>
        <v>vn54tqn</v>
      </c>
      <c r="W6" t="str">
        <f>LITMOS!E6</f>
        <v>W@lmart1</v>
      </c>
    </row>
    <row r="7" spans="1:41" x14ac:dyDescent="0.25">
      <c r="A7" t="str">
        <f>TRIM('Account Creation'!B7)</f>
        <v>Katherine</v>
      </c>
      <c r="B7" t="str">
        <f>TRIM('Account Creation'!C7)</f>
        <v>Gabriela</v>
      </c>
      <c r="C7" t="str">
        <f>TRIM('Account Creation'!D7)</f>
        <v>Santizo</v>
      </c>
      <c r="D7">
        <f>'Account Creation'!M7</f>
        <v>2468</v>
      </c>
      <c r="E7" t="str">
        <f>TRIM('Help Desk'!D7)</f>
        <v>vn54tqo</v>
      </c>
      <c r="F7">
        <f>'Help Desk'!E7</f>
        <v>0</v>
      </c>
      <c r="G7" t="str">
        <f>'Account Creation'!J7</f>
        <v>WMCOM</v>
      </c>
      <c r="H7" t="str">
        <f>'Account Creation'!L7</f>
        <v>Chat</v>
      </c>
      <c r="I7" t="str">
        <f>'Account Creation'!K7</f>
        <v>Agent</v>
      </c>
      <c r="J7" t="str">
        <f>'Account Creation'!H7</f>
        <v>24-7 Intouch</v>
      </c>
      <c r="K7" t="str">
        <f>'Account Creation'!I7</f>
        <v>Guatemala City</v>
      </c>
      <c r="L7" s="1">
        <f>'Account Creation'!G7</f>
        <v>44851</v>
      </c>
      <c r="M7" s="13">
        <f>'Account Creation'!U7</f>
        <v>0</v>
      </c>
      <c r="N7" t="str">
        <f>TRIM('RNT_Store Spark'!A7)</f>
        <v>vn54tqo</v>
      </c>
      <c r="O7" t="str">
        <f>'RNT_Store Spark'!G7</f>
        <v>1@Walmart</v>
      </c>
      <c r="P7" t="str">
        <f>TRIM('VCC_Stores ONLY'!B7)</f>
        <v/>
      </c>
      <c r="Q7">
        <f>'Help Desk'!J7</f>
        <v>0</v>
      </c>
      <c r="R7">
        <f>'Help Desk'!K7</f>
        <v>0</v>
      </c>
      <c r="S7">
        <f>'Help Desk'!L7</f>
        <v>0</v>
      </c>
      <c r="T7" t="str">
        <f>CONCATENATE('Help Desk'!D7,"@walmart.com")</f>
        <v>vn54tqo@walmart.com</v>
      </c>
      <c r="U7" t="s">
        <v>462</v>
      </c>
      <c r="V7" t="str">
        <f>LITMOS!A7</f>
        <v>vn54tqo</v>
      </c>
      <c r="W7" t="str">
        <f>LITMOS!E7</f>
        <v>W@lmart1</v>
      </c>
    </row>
    <row r="8" spans="1:41" x14ac:dyDescent="0.25">
      <c r="A8" t="str">
        <f>TRIM('Account Creation'!B8)</f>
        <v>Josue</v>
      </c>
      <c r="B8" t="str">
        <f>TRIM('Account Creation'!C8)</f>
        <v>David</v>
      </c>
      <c r="C8" t="str">
        <f>TRIM('Account Creation'!D8)</f>
        <v>Manrique</v>
      </c>
      <c r="D8">
        <f>'Account Creation'!M8</f>
        <v>2469</v>
      </c>
      <c r="E8" t="str">
        <f>TRIM('Help Desk'!D8)</f>
        <v>vn54tqq</v>
      </c>
      <c r="F8">
        <f>'Help Desk'!E8</f>
        <v>0</v>
      </c>
      <c r="G8" t="str">
        <f>'Account Creation'!J8</f>
        <v>WMCOM</v>
      </c>
      <c r="H8" t="str">
        <f>'Account Creation'!L8</f>
        <v>Chat</v>
      </c>
      <c r="I8" t="str">
        <f>'Account Creation'!K8</f>
        <v>Agent</v>
      </c>
      <c r="J8" t="str">
        <f>'Account Creation'!H8</f>
        <v>24-7 Intouch</v>
      </c>
      <c r="K8" t="str">
        <f>'Account Creation'!I8</f>
        <v>Guatemala City</v>
      </c>
      <c r="L8" s="1">
        <f>'Account Creation'!G8</f>
        <v>44851</v>
      </c>
      <c r="M8" s="13">
        <f>'Account Creation'!U8</f>
        <v>0</v>
      </c>
      <c r="N8" t="str">
        <f>TRIM('RNT_Store Spark'!A8)</f>
        <v>vn54tqq</v>
      </c>
      <c r="O8" t="str">
        <f>'RNT_Store Spark'!G8</f>
        <v>1@Walmart</v>
      </c>
      <c r="P8" t="str">
        <f>TRIM('VCC_Stores ONLY'!B8)</f>
        <v/>
      </c>
      <c r="Q8">
        <f>'Help Desk'!J8</f>
        <v>0</v>
      </c>
      <c r="R8">
        <f>'Help Desk'!K8</f>
        <v>0</v>
      </c>
      <c r="S8">
        <f>'Help Desk'!L8</f>
        <v>0</v>
      </c>
      <c r="T8" t="str">
        <f>CONCATENATE('Help Desk'!D8,"@walmart.com")</f>
        <v>vn54tqq@walmart.com</v>
      </c>
      <c r="U8" t="s">
        <v>462</v>
      </c>
      <c r="V8" t="str">
        <f>LITMOS!A8</f>
        <v>vn54tqq</v>
      </c>
      <c r="W8" t="str">
        <f>LITMOS!E8</f>
        <v>W@lmart1</v>
      </c>
    </row>
    <row r="9" spans="1:41" x14ac:dyDescent="0.25">
      <c r="A9" t="str">
        <f>TRIM('Account Creation'!B9)</f>
        <v>Kristtel</v>
      </c>
      <c r="B9" t="str">
        <f>TRIM('Account Creation'!C9)</f>
        <v>Carolina</v>
      </c>
      <c r="C9" t="str">
        <f>TRIM('Account Creation'!D9)</f>
        <v>Hernandez</v>
      </c>
      <c r="D9">
        <f>'Account Creation'!M9</f>
        <v>2470</v>
      </c>
      <c r="E9" t="str">
        <f>TRIM('Help Desk'!D9)</f>
        <v>vn54tqs</v>
      </c>
      <c r="F9">
        <f>'Help Desk'!E9</f>
        <v>0</v>
      </c>
      <c r="G9" t="str">
        <f>'Account Creation'!J9</f>
        <v>WMCOM</v>
      </c>
      <c r="H9" t="str">
        <f>'Account Creation'!L9</f>
        <v>Chat</v>
      </c>
      <c r="I9" t="str">
        <f>'Account Creation'!K9</f>
        <v>Agent</v>
      </c>
      <c r="J9" t="str">
        <f>'Account Creation'!H9</f>
        <v>24-7 Intouch</v>
      </c>
      <c r="K9" t="str">
        <f>'Account Creation'!I9</f>
        <v>Guatemala City</v>
      </c>
      <c r="L9" s="1">
        <f>'Account Creation'!G9</f>
        <v>44851</v>
      </c>
      <c r="M9" s="13">
        <f>'Account Creation'!U9</f>
        <v>0</v>
      </c>
      <c r="N9" t="str">
        <f>TRIM('RNT_Store Spark'!A9)</f>
        <v>vn54tqs</v>
      </c>
      <c r="O9" t="str">
        <f>'RNT_Store Spark'!G9</f>
        <v>1@Walmart</v>
      </c>
      <c r="P9" t="str">
        <f>TRIM('VCC_Stores ONLY'!B9)</f>
        <v/>
      </c>
      <c r="Q9">
        <f>'Help Desk'!J9</f>
        <v>0</v>
      </c>
      <c r="R9">
        <f>'Help Desk'!K9</f>
        <v>0</v>
      </c>
      <c r="S9">
        <f>'Help Desk'!L9</f>
        <v>0</v>
      </c>
      <c r="T9" t="str">
        <f>CONCATENATE('Help Desk'!D9,"@walmart.com")</f>
        <v>vn54tqs@walmart.com</v>
      </c>
      <c r="U9" t="s">
        <v>462</v>
      </c>
      <c r="V9" t="str">
        <f>LITMOS!A9</f>
        <v>vn54tqs</v>
      </c>
      <c r="W9" t="str">
        <f>LITMOS!E9</f>
        <v>W@lmart1</v>
      </c>
    </row>
    <row r="10" spans="1:41" x14ac:dyDescent="0.25">
      <c r="A10" t="str">
        <f>TRIM('Account Creation'!B10)</f>
        <v>Juan</v>
      </c>
      <c r="B10" t="str">
        <f>TRIM('Account Creation'!C10)</f>
        <v>Pablo</v>
      </c>
      <c r="C10" t="str">
        <f>TRIM('Account Creation'!D10)</f>
        <v>Flores</v>
      </c>
      <c r="D10">
        <f>'Account Creation'!M10</f>
        <v>2471</v>
      </c>
      <c r="E10" t="str">
        <f>TRIM('Help Desk'!D10)</f>
        <v>vn54tqu</v>
      </c>
      <c r="F10">
        <f>'Help Desk'!E10</f>
        <v>0</v>
      </c>
      <c r="G10" t="str">
        <f>'Account Creation'!J10</f>
        <v>WMCOM</v>
      </c>
      <c r="H10" t="str">
        <f>'Account Creation'!L10</f>
        <v>Chat</v>
      </c>
      <c r="I10" t="str">
        <f>'Account Creation'!K10</f>
        <v>Agent</v>
      </c>
      <c r="J10" t="str">
        <f>'Account Creation'!H10</f>
        <v>24-7 Intouch</v>
      </c>
      <c r="K10" t="str">
        <f>'Account Creation'!I10</f>
        <v>Guatemala City</v>
      </c>
      <c r="L10" s="1">
        <f>'Account Creation'!G10</f>
        <v>44851</v>
      </c>
      <c r="M10" s="13">
        <f>'Account Creation'!U10</f>
        <v>0</v>
      </c>
      <c r="N10" t="str">
        <f>TRIM('RNT_Store Spark'!A10)</f>
        <v>vn54tqu</v>
      </c>
      <c r="O10" t="str">
        <f>'RNT_Store Spark'!G10</f>
        <v>1@Walmart</v>
      </c>
      <c r="P10" t="str">
        <f>TRIM('VCC_Stores ONLY'!B10)</f>
        <v/>
      </c>
      <c r="Q10">
        <f>'Help Desk'!J10</f>
        <v>0</v>
      </c>
      <c r="R10">
        <f>'Help Desk'!K10</f>
        <v>0</v>
      </c>
      <c r="S10">
        <f>'Help Desk'!L10</f>
        <v>0</v>
      </c>
      <c r="T10" t="str">
        <f>CONCATENATE('Help Desk'!D10,"@walmart.com")</f>
        <v>vn54tqu@walmart.com</v>
      </c>
      <c r="U10" t="s">
        <v>462</v>
      </c>
      <c r="V10" t="str">
        <f>LITMOS!A10</f>
        <v>vn54tqu</v>
      </c>
      <c r="W10" t="str">
        <f>LITMOS!E10</f>
        <v>W@lmart1</v>
      </c>
    </row>
    <row r="11" spans="1:41" x14ac:dyDescent="0.25">
      <c r="A11" t="str">
        <f>TRIM('Account Creation'!B11)</f>
        <v>Gabriel</v>
      </c>
      <c r="B11" t="str">
        <f>TRIM('Account Creation'!C11)</f>
        <v>Adolfo</v>
      </c>
      <c r="C11" t="str">
        <f>TRIM('Account Creation'!D11)</f>
        <v>Morales</v>
      </c>
      <c r="D11">
        <f>'Account Creation'!M11</f>
        <v>2472</v>
      </c>
      <c r="E11" t="str">
        <f>TRIM('Help Desk'!D11)</f>
        <v>vn54tqw</v>
      </c>
      <c r="F11">
        <f>'Help Desk'!E11</f>
        <v>0</v>
      </c>
      <c r="G11" t="str">
        <f>'Account Creation'!J11</f>
        <v>WMCOM</v>
      </c>
      <c r="H11" t="str">
        <f>'Account Creation'!L11</f>
        <v>Chat</v>
      </c>
      <c r="I11" t="str">
        <f>'Account Creation'!K11</f>
        <v>Agent</v>
      </c>
      <c r="J11" t="str">
        <f>'Account Creation'!H11</f>
        <v>24-7 Intouch</v>
      </c>
      <c r="K11" t="str">
        <f>'Account Creation'!I11</f>
        <v>Guatemala City</v>
      </c>
      <c r="L11" s="1">
        <f>'Account Creation'!G11</f>
        <v>44851</v>
      </c>
      <c r="M11" s="13">
        <f>'Account Creation'!U11</f>
        <v>0</v>
      </c>
      <c r="N11" t="str">
        <f>TRIM('RNT_Store Spark'!A11)</f>
        <v>vn54tqw</v>
      </c>
      <c r="O11" t="str">
        <f>'RNT_Store Spark'!G11</f>
        <v>1@Walmart</v>
      </c>
      <c r="P11" t="str">
        <f>TRIM('VCC_Stores ONLY'!B11)</f>
        <v/>
      </c>
      <c r="Q11">
        <f>'Help Desk'!J11</f>
        <v>0</v>
      </c>
      <c r="R11">
        <f>'Help Desk'!K11</f>
        <v>0</v>
      </c>
      <c r="S11">
        <f>'Help Desk'!L11</f>
        <v>0</v>
      </c>
      <c r="T11" t="str">
        <f>CONCATENATE('Help Desk'!D11,"@walmart.com")</f>
        <v>vn54tqw@walmart.com</v>
      </c>
      <c r="U11" t="s">
        <v>462</v>
      </c>
      <c r="V11" t="str">
        <f>LITMOS!A11</f>
        <v>vn54tqw</v>
      </c>
      <c r="W11" t="str">
        <f>LITMOS!E11</f>
        <v>W@lmart1</v>
      </c>
    </row>
    <row r="12" spans="1:41" x14ac:dyDescent="0.25">
      <c r="A12" t="str">
        <f>TRIM('Account Creation'!B12)</f>
        <v>Mercedez</v>
      </c>
      <c r="B12" t="str">
        <f>TRIM('Account Creation'!C12)</f>
        <v>Isabel</v>
      </c>
      <c r="C12" t="str">
        <f>TRIM('Account Creation'!D12)</f>
        <v>De Leon</v>
      </c>
      <c r="D12">
        <f>'Account Creation'!M12</f>
        <v>2473</v>
      </c>
      <c r="E12" t="str">
        <f>TRIM('Help Desk'!D12)</f>
        <v>vn54tqy</v>
      </c>
      <c r="F12">
        <f>'Help Desk'!E12</f>
        <v>0</v>
      </c>
      <c r="G12" t="str">
        <f>'Account Creation'!J12</f>
        <v>WMCOM</v>
      </c>
      <c r="H12" t="str">
        <f>'Account Creation'!L12</f>
        <v>Chat</v>
      </c>
      <c r="I12" t="str">
        <f>'Account Creation'!K12</f>
        <v>Agent</v>
      </c>
      <c r="J12" t="str">
        <f>'Account Creation'!H12</f>
        <v>24-7 Intouch</v>
      </c>
      <c r="K12" t="str">
        <f>'Account Creation'!I12</f>
        <v>Guatemala City</v>
      </c>
      <c r="L12" s="1">
        <f>'Account Creation'!G12</f>
        <v>44851</v>
      </c>
      <c r="M12" s="13">
        <f>'Account Creation'!U12</f>
        <v>0</v>
      </c>
      <c r="N12" t="str">
        <f>TRIM('RNT_Store Spark'!A12)</f>
        <v>vn54tqy</v>
      </c>
      <c r="O12" t="str">
        <f>'RNT_Store Spark'!G12</f>
        <v>1@Walmart</v>
      </c>
      <c r="P12" t="str">
        <f>TRIM('VCC_Stores ONLY'!B12)</f>
        <v/>
      </c>
      <c r="Q12">
        <f>'Help Desk'!J12</f>
        <v>0</v>
      </c>
      <c r="R12">
        <f>'Help Desk'!K12</f>
        <v>0</v>
      </c>
      <c r="S12">
        <f>'Help Desk'!L12</f>
        <v>0</v>
      </c>
      <c r="T12" t="str">
        <f>CONCATENATE('Help Desk'!D12,"@walmart.com")</f>
        <v>vn54tqy@walmart.com</v>
      </c>
      <c r="U12" t="s">
        <v>462</v>
      </c>
      <c r="V12" t="str">
        <f>LITMOS!A12</f>
        <v>vn54tqy</v>
      </c>
      <c r="W12" t="str">
        <f>LITMOS!E12</f>
        <v>W@lmart1</v>
      </c>
    </row>
    <row r="13" spans="1:41" x14ac:dyDescent="0.25">
      <c r="A13" t="str">
        <f>TRIM('Account Creation'!B13)</f>
        <v>Eduardo</v>
      </c>
      <c r="B13" t="str">
        <f>TRIM('Account Creation'!C13)</f>
        <v>Andres</v>
      </c>
      <c r="C13" t="str">
        <f>TRIM('Account Creation'!D13)</f>
        <v>Prera</v>
      </c>
      <c r="D13">
        <f>'Account Creation'!M13</f>
        <v>2474</v>
      </c>
      <c r="E13" t="str">
        <f>TRIM('Help Desk'!D13)</f>
        <v>vn54tr0</v>
      </c>
      <c r="F13">
        <f>'Help Desk'!E13</f>
        <v>0</v>
      </c>
      <c r="G13" t="str">
        <f>'Account Creation'!J13</f>
        <v>WMCOM</v>
      </c>
      <c r="H13" t="str">
        <f>'Account Creation'!L13</f>
        <v>Chat</v>
      </c>
      <c r="I13" t="str">
        <f>'Account Creation'!K13</f>
        <v>Agent</v>
      </c>
      <c r="J13" t="str">
        <f>'Account Creation'!H13</f>
        <v>24-7 Intouch</v>
      </c>
      <c r="K13" t="str">
        <f>'Account Creation'!I13</f>
        <v>Guatemala City</v>
      </c>
      <c r="L13" s="1">
        <f>'Account Creation'!G13</f>
        <v>44851</v>
      </c>
      <c r="M13" s="13">
        <f>'Account Creation'!U13</f>
        <v>0</v>
      </c>
      <c r="N13" t="str">
        <f>TRIM('RNT_Store Spark'!A13)</f>
        <v>vn54tr0</v>
      </c>
      <c r="O13" t="str">
        <f>'RNT_Store Spark'!G13</f>
        <v>1@Walmart</v>
      </c>
      <c r="P13" t="str">
        <f>TRIM('VCC_Stores ONLY'!B13)</f>
        <v/>
      </c>
      <c r="Q13">
        <f>'Help Desk'!J13</f>
        <v>0</v>
      </c>
      <c r="R13">
        <f>'Help Desk'!K13</f>
        <v>0</v>
      </c>
      <c r="S13">
        <f>'Help Desk'!L13</f>
        <v>0</v>
      </c>
      <c r="T13" t="str">
        <f>CONCATENATE('Help Desk'!D13,"@walmart.com")</f>
        <v>vn54tr0@walmart.com</v>
      </c>
      <c r="U13" t="s">
        <v>462</v>
      </c>
      <c r="V13" t="str">
        <f>LITMOS!A13</f>
        <v>vn54tr0</v>
      </c>
      <c r="W13" t="str">
        <f>LITMOS!E13</f>
        <v>W@lmart1</v>
      </c>
    </row>
    <row r="14" spans="1:41" x14ac:dyDescent="0.25">
      <c r="A14" t="str">
        <f>TRIM('Account Creation'!B14)</f>
        <v>Madelin</v>
      </c>
      <c r="B14" t="str">
        <f>TRIM('Account Creation'!C14)</f>
        <v>Johana</v>
      </c>
      <c r="C14" t="str">
        <f>TRIM('Account Creation'!D14)</f>
        <v>Abal</v>
      </c>
      <c r="D14">
        <f>'Account Creation'!M14</f>
        <v>2475</v>
      </c>
      <c r="E14" t="str">
        <f>TRIM('Help Desk'!D14)</f>
        <v>vn54tr2</v>
      </c>
      <c r="F14">
        <f>'Help Desk'!E14</f>
        <v>0</v>
      </c>
      <c r="G14" t="str">
        <f>'Account Creation'!J14</f>
        <v>WMCOM</v>
      </c>
      <c r="H14" t="str">
        <f>'Account Creation'!L14</f>
        <v>Chat</v>
      </c>
      <c r="I14" t="str">
        <f>'Account Creation'!K14</f>
        <v>Agent</v>
      </c>
      <c r="J14" t="str">
        <f>'Account Creation'!H14</f>
        <v>24-7 Intouch</v>
      </c>
      <c r="K14" t="str">
        <f>'Account Creation'!I14</f>
        <v>Guatemala City</v>
      </c>
      <c r="L14" s="1">
        <f>'Account Creation'!G14</f>
        <v>44851</v>
      </c>
      <c r="M14" s="13">
        <f>'Account Creation'!U14</f>
        <v>0</v>
      </c>
      <c r="N14" t="str">
        <f>TRIM('RNT_Store Spark'!A14)</f>
        <v>vn54tr2</v>
      </c>
      <c r="O14" t="str">
        <f>'RNT_Store Spark'!G14</f>
        <v>1@Walmart</v>
      </c>
      <c r="P14" t="str">
        <f>TRIM('VCC_Stores ONLY'!B14)</f>
        <v/>
      </c>
      <c r="Q14">
        <f>'Help Desk'!J14</f>
        <v>0</v>
      </c>
      <c r="R14">
        <f>'Help Desk'!K14</f>
        <v>0</v>
      </c>
      <c r="S14">
        <f>'Help Desk'!L14</f>
        <v>0</v>
      </c>
      <c r="T14" t="str">
        <f>CONCATENATE('Help Desk'!D14,"@walmart.com")</f>
        <v>vn54tr2@walmart.com</v>
      </c>
      <c r="U14" t="s">
        <v>462</v>
      </c>
      <c r="V14" t="str">
        <f>LITMOS!A14</f>
        <v>vn54tr2</v>
      </c>
      <c r="W14" t="str">
        <f>LITMOS!E14</f>
        <v>W@lmart1</v>
      </c>
    </row>
    <row r="15" spans="1:41" x14ac:dyDescent="0.25">
      <c r="A15" t="str">
        <f>TRIM('Account Creation'!B15)</f>
        <v>Dyana</v>
      </c>
      <c r="B15" t="str">
        <f>TRIM('Account Creation'!C15)</f>
        <v>Priscila</v>
      </c>
      <c r="C15" t="str">
        <f>TRIM('Account Creation'!D15)</f>
        <v>Calicio</v>
      </c>
      <c r="D15">
        <f>'Account Creation'!M15</f>
        <v>2476</v>
      </c>
      <c r="E15" t="str">
        <f>TRIM('Help Desk'!D15)</f>
        <v>vn54tr4</v>
      </c>
      <c r="F15">
        <f>'Help Desk'!E15</f>
        <v>0</v>
      </c>
      <c r="G15" t="str">
        <f>'Account Creation'!J15</f>
        <v>WMCOM</v>
      </c>
      <c r="H15" t="str">
        <f>'Account Creation'!L15</f>
        <v>Chat</v>
      </c>
      <c r="I15" t="str">
        <f>'Account Creation'!K15</f>
        <v>Agent</v>
      </c>
      <c r="J15" t="str">
        <f>'Account Creation'!H15</f>
        <v>24-7 Intouch</v>
      </c>
      <c r="K15" t="str">
        <f>'Account Creation'!I15</f>
        <v>Guatemala City</v>
      </c>
      <c r="L15" s="1">
        <f>'Account Creation'!G15</f>
        <v>44851</v>
      </c>
      <c r="M15" s="13">
        <f>'Account Creation'!U15</f>
        <v>0</v>
      </c>
      <c r="N15" t="str">
        <f>TRIM('RNT_Store Spark'!A15)</f>
        <v>vn54tr4</v>
      </c>
      <c r="O15" t="str">
        <f>'RNT_Store Spark'!G15</f>
        <v>1@Walmart</v>
      </c>
      <c r="P15" t="str">
        <f>TRIM('VCC_Stores ONLY'!B15)</f>
        <v/>
      </c>
      <c r="Q15">
        <f>'Help Desk'!J15</f>
        <v>0</v>
      </c>
      <c r="R15">
        <f>'Help Desk'!K15</f>
        <v>0</v>
      </c>
      <c r="S15">
        <f>'Help Desk'!L15</f>
        <v>0</v>
      </c>
      <c r="T15" t="str">
        <f>CONCATENATE('Help Desk'!D15,"@walmart.com")</f>
        <v>vn54tr4@walmart.com</v>
      </c>
      <c r="U15" t="s">
        <v>462</v>
      </c>
      <c r="V15" t="str">
        <f>LITMOS!A15</f>
        <v>vn54tr4</v>
      </c>
      <c r="W15" t="str">
        <f>LITMOS!E15</f>
        <v>W@lmart1</v>
      </c>
    </row>
    <row r="16" spans="1:41" x14ac:dyDescent="0.25">
      <c r="A16" t="str">
        <f>TRIM('Account Creation'!B16)</f>
        <v>Sandra</v>
      </c>
      <c r="B16" t="str">
        <f>TRIM('Account Creation'!C16)</f>
        <v>Virginia</v>
      </c>
      <c r="C16" t="str">
        <f>TRIM('Account Creation'!D16)</f>
        <v>Arango</v>
      </c>
      <c r="D16">
        <f>'Account Creation'!M16</f>
        <v>2477</v>
      </c>
      <c r="E16" t="str">
        <f>TRIM('Help Desk'!D16)</f>
        <v>vn54tr6</v>
      </c>
      <c r="F16">
        <f>'Help Desk'!E16</f>
        <v>0</v>
      </c>
      <c r="G16" t="str">
        <f>'Account Creation'!J16</f>
        <v>WMCOM</v>
      </c>
      <c r="H16" t="str">
        <f>'Account Creation'!L16</f>
        <v>Chat</v>
      </c>
      <c r="I16" t="str">
        <f>'Account Creation'!K16</f>
        <v>Agent</v>
      </c>
      <c r="J16" t="str">
        <f>'Account Creation'!H16</f>
        <v>24-7 Intouch</v>
      </c>
      <c r="K16" t="str">
        <f>'Account Creation'!I16</f>
        <v>Guatemala City</v>
      </c>
      <c r="L16" s="1">
        <f>'Account Creation'!G16</f>
        <v>44851</v>
      </c>
      <c r="M16" s="13">
        <f>'Account Creation'!U16</f>
        <v>0</v>
      </c>
      <c r="N16" t="str">
        <f>TRIM('RNT_Store Spark'!A16)</f>
        <v>vn54tr6</v>
      </c>
      <c r="O16" t="str">
        <f>'RNT_Store Spark'!G16</f>
        <v>1@Walmart</v>
      </c>
      <c r="P16" t="str">
        <f>TRIM('VCC_Stores ONLY'!B16)</f>
        <v/>
      </c>
      <c r="Q16">
        <f>'Help Desk'!J16</f>
        <v>0</v>
      </c>
      <c r="R16">
        <f>'Help Desk'!K16</f>
        <v>0</v>
      </c>
      <c r="S16">
        <f>'Help Desk'!L16</f>
        <v>0</v>
      </c>
      <c r="T16" t="str">
        <f>CONCATENATE('Help Desk'!D16,"@walmart.com")</f>
        <v>vn54tr6@walmart.com</v>
      </c>
      <c r="U16" t="s">
        <v>462</v>
      </c>
      <c r="V16" t="str">
        <f>LITMOS!A16</f>
        <v>vn54tr6</v>
      </c>
      <c r="W16" t="str">
        <f>LITMOS!E16</f>
        <v>W@lmart1</v>
      </c>
    </row>
    <row r="17" spans="12:13" x14ac:dyDescent="0.25">
      <c r="L17" s="1"/>
      <c r="M17" s="13"/>
    </row>
    <row r="18" spans="12:13" x14ac:dyDescent="0.25">
      <c r="L18" s="1"/>
      <c r="M18" s="13"/>
    </row>
    <row r="19" spans="12:13" x14ac:dyDescent="0.25">
      <c r="L19" s="1"/>
      <c r="M19" s="13"/>
    </row>
    <row r="20" spans="12:13" x14ac:dyDescent="0.25">
      <c r="L20" s="1"/>
      <c r="M20" s="13"/>
    </row>
    <row r="21" spans="12:13" x14ac:dyDescent="0.25">
      <c r="L21" s="1"/>
      <c r="M21" s="13"/>
    </row>
    <row r="22" spans="12:13" x14ac:dyDescent="0.25">
      <c r="L22" s="1"/>
      <c r="M22" s="13"/>
    </row>
    <row r="23" spans="12:13" x14ac:dyDescent="0.25">
      <c r="L23" s="1"/>
      <c r="M23" s="13"/>
    </row>
    <row r="24" spans="12:13" x14ac:dyDescent="0.25">
      <c r="L24" s="1"/>
      <c r="M24" s="13"/>
    </row>
    <row r="25" spans="12:13" x14ac:dyDescent="0.25">
      <c r="L25" s="1"/>
      <c r="M25" s="13"/>
    </row>
    <row r="26" spans="12:13" x14ac:dyDescent="0.25">
      <c r="L26" s="1"/>
      <c r="M26" s="13"/>
    </row>
    <row r="27" spans="12:13" x14ac:dyDescent="0.25">
      <c r="L27" s="1"/>
      <c r="M27" s="13"/>
    </row>
    <row r="28" spans="12:13" x14ac:dyDescent="0.25">
      <c r="L28" s="1"/>
      <c r="M28" s="13"/>
    </row>
    <row r="29" spans="12:13" x14ac:dyDescent="0.25">
      <c r="L29" s="1"/>
      <c r="M29" s="13"/>
    </row>
    <row r="30" spans="12:13" x14ac:dyDescent="0.25">
      <c r="L30" s="1"/>
      <c r="M30" s="13"/>
    </row>
    <row r="31" spans="12:13" x14ac:dyDescent="0.25">
      <c r="L31" s="1"/>
      <c r="M31" s="13"/>
    </row>
    <row r="32" spans="12:13" x14ac:dyDescent="0.25">
      <c r="L32" s="1"/>
      <c r="M32" s="13"/>
    </row>
    <row r="33" spans="12:13" x14ac:dyDescent="0.25">
      <c r="L33" s="1"/>
      <c r="M33" s="13"/>
    </row>
    <row r="34" spans="12:13" x14ac:dyDescent="0.25">
      <c r="L34" s="1"/>
      <c r="M34" s="13"/>
    </row>
    <row r="35" spans="12:13" x14ac:dyDescent="0.25">
      <c r="L35" s="1"/>
      <c r="M35" s="13"/>
    </row>
    <row r="36" spans="12:13" x14ac:dyDescent="0.25">
      <c r="L36" s="1"/>
      <c r="M36" s="13"/>
    </row>
    <row r="37" spans="12:13" x14ac:dyDescent="0.25">
      <c r="L37" s="1"/>
      <c r="M37" s="13"/>
    </row>
    <row r="38" spans="12:13" x14ac:dyDescent="0.25">
      <c r="L38" s="1"/>
      <c r="M38" s="13"/>
    </row>
    <row r="39" spans="12:13" x14ac:dyDescent="0.25">
      <c r="L39" s="1"/>
      <c r="M39" s="13"/>
    </row>
    <row r="40" spans="12:13" x14ac:dyDescent="0.25">
      <c r="L40" s="1"/>
      <c r="M40" s="13"/>
    </row>
    <row r="41" spans="12:13" x14ac:dyDescent="0.25">
      <c r="L41" s="1"/>
      <c r="M41" s="13"/>
    </row>
    <row r="42" spans="12:13" x14ac:dyDescent="0.25">
      <c r="L42" s="1"/>
      <c r="M42" s="13"/>
    </row>
    <row r="43" spans="12:13" x14ac:dyDescent="0.25">
      <c r="L43" s="1"/>
      <c r="M43" s="13"/>
    </row>
    <row r="44" spans="12:13" x14ac:dyDescent="0.25">
      <c r="L44" s="1"/>
      <c r="M44" s="13"/>
    </row>
    <row r="45" spans="12:13" x14ac:dyDescent="0.25">
      <c r="L45" s="1"/>
      <c r="M45" s="13"/>
    </row>
    <row r="46" spans="12:13" x14ac:dyDescent="0.25">
      <c r="L46" s="1"/>
      <c r="M46" s="13"/>
    </row>
    <row r="47" spans="12:13" x14ac:dyDescent="0.25">
      <c r="L47" s="1"/>
      <c r="M47" s="13"/>
    </row>
    <row r="48" spans="12:13" x14ac:dyDescent="0.25">
      <c r="L48" s="1"/>
      <c r="M48" s="13"/>
    </row>
    <row r="49" spans="12:13" x14ac:dyDescent="0.25">
      <c r="L49" s="1"/>
      <c r="M49" s="13"/>
    </row>
    <row r="50" spans="12:13" x14ac:dyDescent="0.25">
      <c r="L50" s="1"/>
      <c r="M50" s="13"/>
    </row>
    <row r="51" spans="12:13" x14ac:dyDescent="0.25">
      <c r="L51" s="1"/>
      <c r="M51" s="13"/>
    </row>
    <row r="52" spans="12:13" x14ac:dyDescent="0.25">
      <c r="L52" s="1"/>
      <c r="M52" s="13"/>
    </row>
    <row r="53" spans="12:13" x14ac:dyDescent="0.25">
      <c r="L53" s="1"/>
      <c r="M53" s="13"/>
    </row>
    <row r="54" spans="12:13" x14ac:dyDescent="0.25">
      <c r="L54" s="1"/>
      <c r="M54" s="13"/>
    </row>
    <row r="55" spans="12:13" x14ac:dyDescent="0.25">
      <c r="L55" s="1"/>
      <c r="M55" s="13"/>
    </row>
    <row r="56" spans="12:13" x14ac:dyDescent="0.25">
      <c r="L56" s="1"/>
      <c r="M56" s="13"/>
    </row>
    <row r="57" spans="12:13" x14ac:dyDescent="0.25">
      <c r="L57" s="1"/>
      <c r="M57" s="13"/>
    </row>
    <row r="58" spans="12:13" x14ac:dyDescent="0.25">
      <c r="L58" s="1"/>
      <c r="M58" s="13"/>
    </row>
    <row r="59" spans="12:13" x14ac:dyDescent="0.25">
      <c r="L59" s="1"/>
      <c r="M59" s="13"/>
    </row>
    <row r="60" spans="12:13" x14ac:dyDescent="0.25">
      <c r="L60" s="1"/>
      <c r="M60" s="13"/>
    </row>
    <row r="61" spans="12:13" x14ac:dyDescent="0.25">
      <c r="L61" s="1"/>
      <c r="M61" s="13"/>
    </row>
    <row r="62" spans="12:13" x14ac:dyDescent="0.25">
      <c r="L62" s="1"/>
      <c r="M62" s="13"/>
    </row>
    <row r="63" spans="12:13" x14ac:dyDescent="0.25">
      <c r="L63" s="1"/>
      <c r="M63" s="13"/>
    </row>
    <row r="64" spans="12:13" x14ac:dyDescent="0.25">
      <c r="L64" s="1"/>
      <c r="M64" s="13"/>
    </row>
    <row r="65" spans="12:13" x14ac:dyDescent="0.25">
      <c r="L65" s="1"/>
      <c r="M65" s="13"/>
    </row>
    <row r="66" spans="12:13" x14ac:dyDescent="0.25">
      <c r="L66" s="1"/>
      <c r="M66" s="13"/>
    </row>
    <row r="67" spans="12:13" x14ac:dyDescent="0.25">
      <c r="L67" s="1"/>
      <c r="M67" s="13"/>
    </row>
    <row r="68" spans="12:13" x14ac:dyDescent="0.25">
      <c r="L68" s="1"/>
      <c r="M68" s="13"/>
    </row>
    <row r="69" spans="12:13" x14ac:dyDescent="0.25">
      <c r="L69" s="1"/>
      <c r="M69" s="13"/>
    </row>
    <row r="70" spans="12:13" x14ac:dyDescent="0.25">
      <c r="L70" s="1"/>
      <c r="M70" s="13"/>
    </row>
    <row r="71" spans="12:13" x14ac:dyDescent="0.25">
      <c r="L71" s="1"/>
      <c r="M71" s="13"/>
    </row>
    <row r="72" spans="12:13" x14ac:dyDescent="0.25">
      <c r="L72" s="1"/>
      <c r="M72" s="13"/>
    </row>
    <row r="73" spans="12:13" x14ac:dyDescent="0.25">
      <c r="L73" s="1"/>
      <c r="M73" s="13"/>
    </row>
    <row r="74" spans="12:13" x14ac:dyDescent="0.25">
      <c r="L74" s="1"/>
      <c r="M74" s="13"/>
    </row>
    <row r="75" spans="12:13" x14ac:dyDescent="0.25">
      <c r="L75" s="1"/>
      <c r="M75" s="13"/>
    </row>
    <row r="76" spans="12:13" x14ac:dyDescent="0.25">
      <c r="L76" s="1"/>
      <c r="M76" s="13"/>
    </row>
    <row r="77" spans="12:13" x14ac:dyDescent="0.25">
      <c r="L77" s="1"/>
      <c r="M77" s="13"/>
    </row>
    <row r="78" spans="12:13" x14ac:dyDescent="0.25">
      <c r="L78" s="1"/>
      <c r="M78" s="13"/>
    </row>
    <row r="79" spans="12:13" x14ac:dyDescent="0.25">
      <c r="L79" s="1"/>
      <c r="M79" s="13"/>
    </row>
    <row r="80" spans="12:13" x14ac:dyDescent="0.25">
      <c r="L80" s="1"/>
      <c r="M80" s="13"/>
    </row>
    <row r="81" spans="12:13" x14ac:dyDescent="0.25">
      <c r="L81" s="1"/>
      <c r="M81" s="13"/>
    </row>
    <row r="82" spans="12:13" x14ac:dyDescent="0.25">
      <c r="L82" s="1"/>
      <c r="M82" s="13"/>
    </row>
    <row r="83" spans="12:13" x14ac:dyDescent="0.25">
      <c r="L83" s="1"/>
      <c r="M83" s="13"/>
    </row>
    <row r="84" spans="12:13" x14ac:dyDescent="0.25">
      <c r="L84" s="1"/>
      <c r="M84" s="13"/>
    </row>
    <row r="85" spans="12:13" x14ac:dyDescent="0.25">
      <c r="L85" s="1"/>
      <c r="M85" s="13"/>
    </row>
    <row r="86" spans="12:13" x14ac:dyDescent="0.25">
      <c r="L86" s="1"/>
      <c r="M86" s="13"/>
    </row>
    <row r="87" spans="12:13" x14ac:dyDescent="0.25">
      <c r="L87" s="1"/>
      <c r="M87" s="13"/>
    </row>
    <row r="88" spans="12:13" x14ac:dyDescent="0.25">
      <c r="L88" s="1"/>
      <c r="M88" s="13"/>
    </row>
    <row r="89" spans="12:13" x14ac:dyDescent="0.25">
      <c r="L89" s="1"/>
      <c r="M89" s="13"/>
    </row>
    <row r="90" spans="12:13" x14ac:dyDescent="0.25">
      <c r="L90" s="1"/>
      <c r="M90" s="13"/>
    </row>
    <row r="91" spans="12:13" x14ac:dyDescent="0.25">
      <c r="L91" s="1"/>
      <c r="M91" s="13"/>
    </row>
    <row r="92" spans="12:13" x14ac:dyDescent="0.25">
      <c r="L92" s="1"/>
      <c r="M92" s="13"/>
    </row>
    <row r="93" spans="12:13" x14ac:dyDescent="0.25">
      <c r="L93" s="1"/>
      <c r="M93" s="13"/>
    </row>
    <row r="94" spans="12:13" x14ac:dyDescent="0.25">
      <c r="L94" s="1"/>
      <c r="M94" s="13"/>
    </row>
    <row r="95" spans="12:13" x14ac:dyDescent="0.25">
      <c r="L95" s="1"/>
      <c r="M95" s="13"/>
    </row>
    <row r="96" spans="12:13" x14ac:dyDescent="0.25">
      <c r="L96" s="1"/>
      <c r="M96" s="13"/>
    </row>
    <row r="97" spans="12:13" x14ac:dyDescent="0.25">
      <c r="L97" s="1"/>
      <c r="M97" s="13"/>
    </row>
    <row r="98" spans="12:13" x14ac:dyDescent="0.25">
      <c r="L98" s="1"/>
      <c r="M98" s="13"/>
    </row>
    <row r="99" spans="12:13" x14ac:dyDescent="0.25">
      <c r="L99" s="1"/>
      <c r="M99" s="13"/>
    </row>
    <row r="100" spans="12:13" x14ac:dyDescent="0.25">
      <c r="L100" s="1"/>
      <c r="M100" s="13"/>
    </row>
    <row r="101" spans="12:13" x14ac:dyDescent="0.25">
      <c r="L101" s="1"/>
      <c r="M101" s="13"/>
    </row>
    <row r="102" spans="12:13" x14ac:dyDescent="0.25">
      <c r="L102" s="1"/>
      <c r="M102" s="13"/>
    </row>
    <row r="103" spans="12:13" x14ac:dyDescent="0.25">
      <c r="L103" s="1"/>
      <c r="M103" s="13"/>
    </row>
    <row r="104" spans="12:13" x14ac:dyDescent="0.25">
      <c r="L104" s="1"/>
      <c r="M104" s="13"/>
    </row>
    <row r="105" spans="12:13" x14ac:dyDescent="0.25">
      <c r="L105" s="1"/>
      <c r="M105" s="13"/>
    </row>
    <row r="106" spans="12:13" x14ac:dyDescent="0.25">
      <c r="L106" s="1"/>
      <c r="M106" s="13"/>
    </row>
    <row r="107" spans="12:13" x14ac:dyDescent="0.25">
      <c r="L107" s="1"/>
      <c r="M107" s="13"/>
    </row>
    <row r="108" spans="12:13" x14ac:dyDescent="0.25">
      <c r="L108" s="1"/>
      <c r="M108" s="13"/>
    </row>
    <row r="109" spans="12:13" x14ac:dyDescent="0.25">
      <c r="L109" s="1"/>
      <c r="M109" s="13"/>
    </row>
    <row r="110" spans="12:13" x14ac:dyDescent="0.25">
      <c r="L110" s="1"/>
      <c r="M110" s="13"/>
    </row>
    <row r="111" spans="12:13" x14ac:dyDescent="0.25">
      <c r="L111" s="1"/>
      <c r="M111" s="13"/>
    </row>
    <row r="112" spans="12:13" x14ac:dyDescent="0.25">
      <c r="L112" s="1"/>
      <c r="M112" s="13"/>
    </row>
    <row r="113" spans="12:13" x14ac:dyDescent="0.25">
      <c r="L113" s="1"/>
      <c r="M113" s="13"/>
    </row>
    <row r="114" spans="12:13" x14ac:dyDescent="0.25">
      <c r="L114" s="1"/>
      <c r="M114" s="13"/>
    </row>
    <row r="115" spans="12:13" x14ac:dyDescent="0.25">
      <c r="L115" s="1"/>
      <c r="M115" s="13"/>
    </row>
    <row r="116" spans="12:13" x14ac:dyDescent="0.25">
      <c r="L116" s="1"/>
      <c r="M116" s="13"/>
    </row>
    <row r="117" spans="12:13" x14ac:dyDescent="0.25">
      <c r="L117" s="1"/>
      <c r="M117" s="13"/>
    </row>
    <row r="118" spans="12:13" x14ac:dyDescent="0.25">
      <c r="L118" s="1"/>
      <c r="M118" s="13"/>
    </row>
    <row r="119" spans="12:13" x14ac:dyDescent="0.25">
      <c r="L119" s="1"/>
      <c r="M119" s="13"/>
    </row>
    <row r="120" spans="12:13" x14ac:dyDescent="0.25">
      <c r="L120" s="1"/>
      <c r="M120" s="13"/>
    </row>
    <row r="121" spans="12:13" x14ac:dyDescent="0.25">
      <c r="L121" s="1"/>
      <c r="M121" s="13"/>
    </row>
    <row r="122" spans="12:13" x14ac:dyDescent="0.25">
      <c r="L122" s="1"/>
      <c r="M122" s="13"/>
    </row>
    <row r="123" spans="12:13" x14ac:dyDescent="0.25">
      <c r="L123" s="1"/>
      <c r="M123" s="13"/>
    </row>
    <row r="124" spans="12:13" x14ac:dyDescent="0.25">
      <c r="L124" s="1"/>
      <c r="M124" s="13"/>
    </row>
    <row r="125" spans="12:13" x14ac:dyDescent="0.25">
      <c r="L125" s="1"/>
      <c r="M125" s="13"/>
    </row>
    <row r="126" spans="12:13" x14ac:dyDescent="0.25">
      <c r="L126" s="1"/>
      <c r="M126" s="13"/>
    </row>
    <row r="127" spans="12:13" x14ac:dyDescent="0.25">
      <c r="L127" s="1"/>
      <c r="M127" s="13"/>
    </row>
    <row r="128" spans="12:13" x14ac:dyDescent="0.25">
      <c r="L128" s="1"/>
      <c r="M128" s="13"/>
    </row>
    <row r="129" spans="12:13" x14ac:dyDescent="0.25">
      <c r="L129" s="1"/>
      <c r="M129" s="13"/>
    </row>
    <row r="130" spans="12:13" x14ac:dyDescent="0.25">
      <c r="L130" s="1"/>
      <c r="M130" s="13"/>
    </row>
    <row r="131" spans="12:13" x14ac:dyDescent="0.25">
      <c r="L131" s="1"/>
      <c r="M131" s="13"/>
    </row>
    <row r="132" spans="12:13" x14ac:dyDescent="0.25">
      <c r="L132" s="1"/>
      <c r="M132" s="13"/>
    </row>
    <row r="133" spans="12:13" x14ac:dyDescent="0.25">
      <c r="L133" s="1"/>
      <c r="M133" s="13"/>
    </row>
    <row r="134" spans="12:13" x14ac:dyDescent="0.25">
      <c r="L134" s="1"/>
      <c r="M134" s="13"/>
    </row>
    <row r="135" spans="12:13" x14ac:dyDescent="0.25">
      <c r="L135" s="1"/>
      <c r="M135" s="13"/>
    </row>
    <row r="136" spans="12:13" x14ac:dyDescent="0.25">
      <c r="L136" s="1"/>
      <c r="M136" s="13"/>
    </row>
    <row r="137" spans="12:13" x14ac:dyDescent="0.25">
      <c r="L137" s="1"/>
      <c r="M137" s="13"/>
    </row>
    <row r="138" spans="12:13" x14ac:dyDescent="0.25">
      <c r="L138" s="1"/>
      <c r="M138" s="13"/>
    </row>
    <row r="139" spans="12:13" x14ac:dyDescent="0.25">
      <c r="L139" s="1"/>
      <c r="M139" s="13"/>
    </row>
    <row r="140" spans="12:13" x14ac:dyDescent="0.25">
      <c r="L140" s="1"/>
      <c r="M140" s="13"/>
    </row>
    <row r="141" spans="12:13" x14ac:dyDescent="0.25">
      <c r="L141" s="1"/>
      <c r="M141" s="13"/>
    </row>
    <row r="142" spans="12:13" x14ac:dyDescent="0.25">
      <c r="L142" s="1"/>
      <c r="M142" s="13"/>
    </row>
    <row r="143" spans="12:13" x14ac:dyDescent="0.25">
      <c r="L143" s="1"/>
      <c r="M143" s="13"/>
    </row>
    <row r="144" spans="12:13" x14ac:dyDescent="0.25">
      <c r="L144" s="1"/>
      <c r="M144" s="13"/>
    </row>
    <row r="145" spans="12:13" x14ac:dyDescent="0.25">
      <c r="L145" s="1"/>
      <c r="M145" s="13"/>
    </row>
    <row r="146" spans="12:13" x14ac:dyDescent="0.25">
      <c r="L146" s="1"/>
      <c r="M146" s="13"/>
    </row>
    <row r="147" spans="12:13" x14ac:dyDescent="0.25">
      <c r="L147" s="1"/>
      <c r="M147" s="13"/>
    </row>
    <row r="148" spans="12:13" x14ac:dyDescent="0.25">
      <c r="L148" s="1"/>
      <c r="M148" s="13"/>
    </row>
    <row r="149" spans="12:13" x14ac:dyDescent="0.25">
      <c r="L149" s="1"/>
      <c r="M149" s="13"/>
    </row>
    <row r="150" spans="12:13" x14ac:dyDescent="0.25">
      <c r="L150" s="1"/>
      <c r="M150" s="13"/>
    </row>
    <row r="151" spans="12:13" x14ac:dyDescent="0.25">
      <c r="L151" s="1"/>
      <c r="M151" s="13"/>
    </row>
    <row r="152" spans="12:13" x14ac:dyDescent="0.25">
      <c r="L152" s="1"/>
      <c r="M152" s="13"/>
    </row>
    <row r="153" spans="12:13" x14ac:dyDescent="0.25">
      <c r="L153" s="1"/>
      <c r="M153" s="13"/>
    </row>
    <row r="154" spans="12:13" x14ac:dyDescent="0.25">
      <c r="L154" s="1"/>
      <c r="M154" s="13"/>
    </row>
    <row r="155" spans="12:13" x14ac:dyDescent="0.25">
      <c r="L155" s="1"/>
      <c r="M155" s="13"/>
    </row>
    <row r="156" spans="12:13" x14ac:dyDescent="0.25">
      <c r="L156" s="1"/>
      <c r="M156" s="13"/>
    </row>
    <row r="157" spans="12:13" x14ac:dyDescent="0.25">
      <c r="L157" s="1"/>
      <c r="M157" s="13"/>
    </row>
    <row r="158" spans="12:13" x14ac:dyDescent="0.25">
      <c r="L158" s="1"/>
      <c r="M158" s="13"/>
    </row>
    <row r="159" spans="12:13" x14ac:dyDescent="0.25">
      <c r="L159" s="1"/>
      <c r="M159" s="13"/>
    </row>
    <row r="160" spans="12:13" x14ac:dyDescent="0.25">
      <c r="L160" s="1"/>
      <c r="M160" s="13"/>
    </row>
    <row r="161" spans="12:13" x14ac:dyDescent="0.25">
      <c r="L161" s="1"/>
      <c r="M161" s="13"/>
    </row>
    <row r="162" spans="12:13" x14ac:dyDescent="0.25">
      <c r="L162" s="1"/>
      <c r="M162" s="13"/>
    </row>
    <row r="163" spans="12:13" x14ac:dyDescent="0.25">
      <c r="L163" s="1"/>
      <c r="M163" s="13"/>
    </row>
    <row r="164" spans="12:13" x14ac:dyDescent="0.25">
      <c r="L164" s="1"/>
      <c r="M164" s="13"/>
    </row>
    <row r="165" spans="12:13" x14ac:dyDescent="0.25">
      <c r="L165" s="1"/>
      <c r="M165" s="13"/>
    </row>
    <row r="166" spans="12:13" x14ac:dyDescent="0.25">
      <c r="L166" s="1"/>
      <c r="M166" s="13"/>
    </row>
    <row r="167" spans="12:13" x14ac:dyDescent="0.25">
      <c r="L167" s="1"/>
      <c r="M167" s="13"/>
    </row>
    <row r="168" spans="12:13" x14ac:dyDescent="0.25">
      <c r="L168" s="1"/>
      <c r="M168" s="13"/>
    </row>
    <row r="169" spans="12:13" x14ac:dyDescent="0.25">
      <c r="L169" s="1"/>
      <c r="M169" s="13"/>
    </row>
    <row r="170" spans="12:13" x14ac:dyDescent="0.25">
      <c r="L170" s="1"/>
      <c r="M170" s="13"/>
    </row>
    <row r="171" spans="12:13" x14ac:dyDescent="0.25">
      <c r="L171" s="1"/>
      <c r="M171" s="13"/>
    </row>
    <row r="172" spans="12:13" x14ac:dyDescent="0.25">
      <c r="L172" s="1"/>
      <c r="M172" s="13"/>
    </row>
    <row r="173" spans="12:13" x14ac:dyDescent="0.25">
      <c r="L173" s="1"/>
      <c r="M173" s="13"/>
    </row>
    <row r="174" spans="12:13" x14ac:dyDescent="0.25">
      <c r="L174" s="1"/>
      <c r="M174" s="13"/>
    </row>
    <row r="175" spans="12:13" x14ac:dyDescent="0.25">
      <c r="L175" s="1"/>
      <c r="M175" s="13"/>
    </row>
    <row r="176" spans="12:13" x14ac:dyDescent="0.25">
      <c r="L176" s="1"/>
      <c r="M176" s="13"/>
    </row>
    <row r="177" spans="12:13" x14ac:dyDescent="0.25">
      <c r="L177" s="1"/>
      <c r="M177" s="13"/>
    </row>
    <row r="178" spans="12:13" x14ac:dyDescent="0.25">
      <c r="L178" s="1"/>
      <c r="M178" s="13"/>
    </row>
    <row r="179" spans="12:13" x14ac:dyDescent="0.25">
      <c r="L179" s="1"/>
      <c r="M179" s="13"/>
    </row>
    <row r="180" spans="12:13" x14ac:dyDescent="0.25">
      <c r="L180" s="1"/>
      <c r="M180" s="13"/>
    </row>
    <row r="181" spans="12:13" x14ac:dyDescent="0.25">
      <c r="L181" s="1"/>
      <c r="M181" s="13"/>
    </row>
    <row r="182" spans="12:13" x14ac:dyDescent="0.25">
      <c r="L182" s="1"/>
      <c r="M182" s="13"/>
    </row>
    <row r="183" spans="12:13" x14ac:dyDescent="0.25">
      <c r="L183" s="1"/>
      <c r="M183" s="13"/>
    </row>
    <row r="184" spans="12:13" x14ac:dyDescent="0.25">
      <c r="L184" s="1"/>
      <c r="M184" s="13"/>
    </row>
    <row r="185" spans="12:13" x14ac:dyDescent="0.25">
      <c r="L185" s="1"/>
      <c r="M185" s="13"/>
    </row>
    <row r="186" spans="12:13" x14ac:dyDescent="0.25">
      <c r="L186" s="1"/>
      <c r="M186" s="13"/>
    </row>
    <row r="187" spans="12:13" x14ac:dyDescent="0.25">
      <c r="L187" s="1"/>
      <c r="M187" s="13"/>
    </row>
    <row r="188" spans="12:13" x14ac:dyDescent="0.25">
      <c r="L188" s="1"/>
      <c r="M188" s="13"/>
    </row>
    <row r="189" spans="12:13" x14ac:dyDescent="0.25">
      <c r="L189" s="1"/>
      <c r="M189" s="13"/>
    </row>
    <row r="190" spans="12:13" x14ac:dyDescent="0.25">
      <c r="L190" s="1"/>
      <c r="M190" s="13"/>
    </row>
    <row r="191" spans="12:13" x14ac:dyDescent="0.25">
      <c r="L191" s="1"/>
      <c r="M191" s="13"/>
    </row>
    <row r="192" spans="12:13" x14ac:dyDescent="0.25">
      <c r="L192" s="1"/>
      <c r="M192" s="13"/>
    </row>
    <row r="193" spans="12:13" x14ac:dyDescent="0.25">
      <c r="L193" s="1"/>
      <c r="M193" s="13"/>
    </row>
    <row r="194" spans="12:13" x14ac:dyDescent="0.25">
      <c r="L194" s="1"/>
      <c r="M194" s="13"/>
    </row>
    <row r="195" spans="12:13" x14ac:dyDescent="0.25">
      <c r="L195" s="1"/>
      <c r="M195" s="13"/>
    </row>
    <row r="196" spans="12:13" x14ac:dyDescent="0.25">
      <c r="L196" s="1"/>
      <c r="M196" s="13"/>
    </row>
    <row r="197" spans="12:13" x14ac:dyDescent="0.25">
      <c r="L197" s="1"/>
      <c r="M197" s="13"/>
    </row>
    <row r="198" spans="12:13" x14ac:dyDescent="0.25">
      <c r="L198" s="1"/>
      <c r="M198" s="13"/>
    </row>
    <row r="199" spans="12:13" x14ac:dyDescent="0.25">
      <c r="L199" s="1"/>
      <c r="M199" s="13"/>
    </row>
    <row r="200" spans="12:13" x14ac:dyDescent="0.25">
      <c r="L200" s="1"/>
      <c r="M200" s="13"/>
    </row>
    <row r="201" spans="12:13" x14ac:dyDescent="0.25">
      <c r="L201" s="1"/>
      <c r="M201" s="13"/>
    </row>
    <row r="202" spans="12:13" x14ac:dyDescent="0.25">
      <c r="L202" s="1"/>
      <c r="M202" s="13"/>
    </row>
    <row r="203" spans="12:13" x14ac:dyDescent="0.25">
      <c r="L203" s="1"/>
      <c r="M203" s="13"/>
    </row>
    <row r="204" spans="12:13" x14ac:dyDescent="0.25">
      <c r="L204" s="1"/>
      <c r="M204" s="13"/>
    </row>
    <row r="205" spans="12:13" x14ac:dyDescent="0.25">
      <c r="L205" s="1"/>
      <c r="M205" s="13"/>
    </row>
    <row r="206" spans="12:13" x14ac:dyDescent="0.25">
      <c r="L206" s="1"/>
      <c r="M206" s="13"/>
    </row>
    <row r="207" spans="12:13" x14ac:dyDescent="0.25">
      <c r="L207" s="1"/>
      <c r="M207" s="13"/>
    </row>
    <row r="208" spans="12:13" x14ac:dyDescent="0.25">
      <c r="L208" s="1"/>
      <c r="M208" s="13"/>
    </row>
    <row r="209" spans="12:13" x14ac:dyDescent="0.25">
      <c r="L209" s="1"/>
      <c r="M209" s="13"/>
    </row>
    <row r="210" spans="12:13" x14ac:dyDescent="0.25">
      <c r="L210" s="1"/>
      <c r="M210" s="13"/>
    </row>
    <row r="211" spans="12:13" x14ac:dyDescent="0.25">
      <c r="L211" s="1"/>
      <c r="M211" s="13"/>
    </row>
    <row r="212" spans="12:13" x14ac:dyDescent="0.25">
      <c r="L212" s="1"/>
      <c r="M212" s="13"/>
    </row>
    <row r="213" spans="12:13" x14ac:dyDescent="0.25">
      <c r="L213" s="1"/>
      <c r="M213" s="13"/>
    </row>
    <row r="214" spans="12:13" x14ac:dyDescent="0.25">
      <c r="L214" s="1"/>
      <c r="M214" s="13"/>
    </row>
    <row r="215" spans="12:13" x14ac:dyDescent="0.25">
      <c r="L215" s="1"/>
      <c r="M215" s="13"/>
    </row>
    <row r="216" spans="12:13" x14ac:dyDescent="0.25">
      <c r="L216" s="1"/>
      <c r="M216" s="13"/>
    </row>
    <row r="217" spans="12:13" x14ac:dyDescent="0.25">
      <c r="L217" s="1"/>
      <c r="M217" s="13"/>
    </row>
    <row r="218" spans="12:13" x14ac:dyDescent="0.25">
      <c r="L218" s="1"/>
      <c r="M218" s="13"/>
    </row>
    <row r="219" spans="12:13" x14ac:dyDescent="0.25">
      <c r="L219" s="1"/>
      <c r="M219" s="13"/>
    </row>
    <row r="220" spans="12:13" x14ac:dyDescent="0.25">
      <c r="L220" s="1"/>
      <c r="M220" s="13"/>
    </row>
    <row r="221" spans="12:13" x14ac:dyDescent="0.25">
      <c r="L221" s="1"/>
      <c r="M221" s="13"/>
    </row>
    <row r="222" spans="12:13" x14ac:dyDescent="0.25">
      <c r="L222" s="1"/>
      <c r="M222" s="13"/>
    </row>
    <row r="223" spans="12:13" x14ac:dyDescent="0.25">
      <c r="L223" s="1"/>
      <c r="M223" s="13"/>
    </row>
    <row r="224" spans="12:13" x14ac:dyDescent="0.25">
      <c r="L224" s="1"/>
      <c r="M224" s="13"/>
    </row>
    <row r="225" spans="12:13" x14ac:dyDescent="0.25">
      <c r="L225" s="1"/>
      <c r="M225" s="13"/>
    </row>
    <row r="226" spans="12:13" x14ac:dyDescent="0.25">
      <c r="L226" s="1"/>
      <c r="M226" s="13"/>
    </row>
    <row r="227" spans="12:13" x14ac:dyDescent="0.25">
      <c r="L227" s="1"/>
      <c r="M227" s="13"/>
    </row>
    <row r="228" spans="12:13" x14ac:dyDescent="0.25">
      <c r="L228" s="1"/>
      <c r="M228" s="13"/>
    </row>
    <row r="229" spans="12:13" x14ac:dyDescent="0.25">
      <c r="L229" s="1"/>
      <c r="M229" s="13"/>
    </row>
    <row r="230" spans="12:13" x14ac:dyDescent="0.25">
      <c r="L230" s="1"/>
      <c r="M230" s="13"/>
    </row>
    <row r="231" spans="12:13" x14ac:dyDescent="0.25">
      <c r="L231" s="1"/>
      <c r="M231" s="13"/>
    </row>
    <row r="232" spans="12:13" x14ac:dyDescent="0.25">
      <c r="L232" s="1"/>
      <c r="M232" s="13"/>
    </row>
    <row r="233" spans="12:13" x14ac:dyDescent="0.25">
      <c r="L233" s="1"/>
      <c r="M233" s="13"/>
    </row>
    <row r="234" spans="12:13" x14ac:dyDescent="0.25">
      <c r="L234" s="1"/>
      <c r="M234" s="13"/>
    </row>
    <row r="235" spans="12:13" x14ac:dyDescent="0.25">
      <c r="L235" s="1"/>
      <c r="M235" s="13"/>
    </row>
    <row r="236" spans="12:13" x14ac:dyDescent="0.25">
      <c r="L236" s="1"/>
      <c r="M236" s="13"/>
    </row>
    <row r="237" spans="12:13" x14ac:dyDescent="0.25">
      <c r="L237" s="1"/>
      <c r="M237" s="13"/>
    </row>
    <row r="238" spans="12:13" x14ac:dyDescent="0.25">
      <c r="L238" s="1"/>
      <c r="M238" s="13"/>
    </row>
    <row r="239" spans="12:13" x14ac:dyDescent="0.25">
      <c r="L239" s="1"/>
      <c r="M239" s="13"/>
    </row>
    <row r="240" spans="12:13" x14ac:dyDescent="0.25">
      <c r="L240" s="1"/>
      <c r="M240" s="13"/>
    </row>
    <row r="241" spans="12:13" x14ac:dyDescent="0.25">
      <c r="L241" s="1"/>
      <c r="M241" s="13"/>
    </row>
    <row r="242" spans="12:13" x14ac:dyDescent="0.25">
      <c r="L242" s="1"/>
      <c r="M242" s="13"/>
    </row>
    <row r="243" spans="12:13" x14ac:dyDescent="0.25">
      <c r="L243" s="1"/>
      <c r="M243" s="13"/>
    </row>
    <row r="244" spans="12:13" x14ac:dyDescent="0.25">
      <c r="L244" s="1"/>
      <c r="M244" s="13"/>
    </row>
    <row r="245" spans="12:13" x14ac:dyDescent="0.25">
      <c r="L245" s="1"/>
      <c r="M245" s="13"/>
    </row>
    <row r="246" spans="12:13" x14ac:dyDescent="0.25">
      <c r="L246" s="1"/>
      <c r="M246" s="13"/>
    </row>
    <row r="247" spans="12:13" x14ac:dyDescent="0.25">
      <c r="L247" s="1"/>
      <c r="M247" s="13"/>
    </row>
    <row r="248" spans="12:13" x14ac:dyDescent="0.25">
      <c r="L248" s="1"/>
      <c r="M248" s="13"/>
    </row>
    <row r="249" spans="12:13" x14ac:dyDescent="0.25">
      <c r="L249" s="1"/>
      <c r="M249" s="13"/>
    </row>
    <row r="250" spans="12:13" x14ac:dyDescent="0.25">
      <c r="L250" s="1"/>
      <c r="M250" s="13"/>
    </row>
    <row r="251" spans="12:13" x14ac:dyDescent="0.25">
      <c r="L251" s="1"/>
      <c r="M251" s="13"/>
    </row>
  </sheetData>
  <conditionalFormatting sqref="A252:K1048576 L1:XFD1048576 A1:F251">
    <cfRule type="cellIs" dxfId="9" priority="2" operator="equal">
      <formula>0</formula>
    </cfRule>
  </conditionalFormatting>
  <conditionalFormatting sqref="G1:K251">
    <cfRule type="cellIs" dxfId="8" priority="1" operator="equal">
      <formula>0</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E3BC1-C168-4F5E-9C46-D5AA75A949C8}">
  <sheetPr codeName="Sheet14"/>
  <dimension ref="A1:AO250"/>
  <sheetViews>
    <sheetView workbookViewId="0">
      <selection activeCell="A17" sqref="A17:XFD251"/>
    </sheetView>
  </sheetViews>
  <sheetFormatPr defaultColWidth="21.42578125" defaultRowHeight="15" x14ac:dyDescent="0.25"/>
  <cols>
    <col min="1" max="1" width="15.42578125" customWidth="1"/>
    <col min="2" max="2" width="19.5703125" customWidth="1"/>
    <col min="3" max="3" width="15.140625" customWidth="1"/>
    <col min="4" max="4" width="11.85546875" bestFit="1" customWidth="1"/>
    <col min="5" max="5" width="23.7109375" bestFit="1" customWidth="1"/>
    <col min="6" max="6" width="9.42578125" bestFit="1" customWidth="1"/>
    <col min="7" max="10" width="9.42578125" customWidth="1"/>
    <col min="11" max="11" width="12.7109375" bestFit="1" customWidth="1"/>
    <col min="12" max="12" width="26" bestFit="1" customWidth="1"/>
    <col min="13" max="13" width="26" customWidth="1"/>
    <col min="14" max="14" width="19.5703125" customWidth="1"/>
    <col min="15" max="15" width="18.85546875" customWidth="1"/>
    <col min="16" max="16" width="22" bestFit="1" customWidth="1"/>
    <col min="17" max="19" width="11.85546875" bestFit="1" customWidth="1"/>
    <col min="20" max="20" width="15.7109375" bestFit="1" customWidth="1"/>
    <col min="21" max="21" width="15" bestFit="1" customWidth="1"/>
    <col min="22" max="22" width="14.42578125" bestFit="1" customWidth="1"/>
    <col min="23" max="23" width="10.42578125" bestFit="1" customWidth="1"/>
  </cols>
  <sheetData>
    <row r="1" spans="1:41" x14ac:dyDescent="0.25">
      <c r="A1" s="2" t="s">
        <v>2</v>
      </c>
      <c r="B1" s="2" t="s">
        <v>1</v>
      </c>
      <c r="C1" s="2" t="s">
        <v>0</v>
      </c>
      <c r="D1" s="2" t="s">
        <v>3</v>
      </c>
      <c r="E1" s="2" t="s">
        <v>339</v>
      </c>
      <c r="F1" s="2" t="s">
        <v>340</v>
      </c>
      <c r="G1" s="2" t="s">
        <v>590</v>
      </c>
      <c r="H1" s="2" t="s">
        <v>508</v>
      </c>
      <c r="I1" s="2" t="s">
        <v>5</v>
      </c>
      <c r="J1" s="2" t="s">
        <v>565</v>
      </c>
      <c r="K1" s="2" t="s">
        <v>592</v>
      </c>
      <c r="L1" s="2" t="s">
        <v>396</v>
      </c>
      <c r="M1" s="2" t="s">
        <v>9</v>
      </c>
      <c r="N1" s="2" t="s">
        <v>455</v>
      </c>
      <c r="O1" s="2" t="s">
        <v>456</v>
      </c>
      <c r="P1" s="2" t="s">
        <v>457</v>
      </c>
      <c r="Q1" s="2" t="s">
        <v>342</v>
      </c>
      <c r="R1" s="2" t="s">
        <v>343</v>
      </c>
      <c r="S1" s="2" t="s">
        <v>344</v>
      </c>
      <c r="T1" s="2" t="s">
        <v>458</v>
      </c>
      <c r="U1" s="2" t="s">
        <v>459</v>
      </c>
      <c r="V1" s="2" t="s">
        <v>460</v>
      </c>
      <c r="W1" s="2" t="s">
        <v>461</v>
      </c>
      <c r="X1" s="3"/>
      <c r="Y1" s="3"/>
      <c r="Z1" s="3"/>
      <c r="AA1" s="3"/>
      <c r="AB1" s="3"/>
      <c r="AC1" s="3"/>
      <c r="AD1" s="3"/>
      <c r="AE1" s="3"/>
      <c r="AF1" s="3"/>
      <c r="AG1" s="3"/>
      <c r="AH1" s="3"/>
      <c r="AI1" s="3"/>
      <c r="AJ1" s="3"/>
      <c r="AK1" s="3"/>
      <c r="AL1" s="3"/>
      <c r="AM1" s="3"/>
      <c r="AN1" s="3"/>
      <c r="AO1" s="3"/>
    </row>
    <row r="2" spans="1:41" x14ac:dyDescent="0.25">
      <c r="A2" t="str">
        <f>'Account Creation'!B2</f>
        <v>Cristian</v>
      </c>
      <c r="B2" t="str">
        <f>'Account Creation'!C2</f>
        <v>Jose</v>
      </c>
      <c r="C2" t="str">
        <f>'Account Creation'!D2</f>
        <v>Ramirez</v>
      </c>
      <c r="D2">
        <f>'Account Creation'!M2</f>
        <v>2463</v>
      </c>
      <c r="E2" t="str">
        <f>'Help Desk'!D2</f>
        <v>vn54tqf</v>
      </c>
      <c r="F2">
        <f>'Help Desk'!E2</f>
        <v>0</v>
      </c>
      <c r="G2" t="str">
        <f>'Account Creation'!J2</f>
        <v>WMCOM</v>
      </c>
      <c r="H2" t="str">
        <f>'Account Creation'!L2</f>
        <v>Chat</v>
      </c>
      <c r="I2" t="str">
        <f>'Account Creation'!K2</f>
        <v>Agent</v>
      </c>
      <c r="J2" t="str">
        <f>'Account Creation'!H2</f>
        <v>24-7 Intouch</v>
      </c>
      <c r="K2" t="str">
        <f>'Account Creation'!I2</f>
        <v>Guatemala City</v>
      </c>
      <c r="L2" s="1">
        <f>'Account Creation'!G2</f>
        <v>44851</v>
      </c>
      <c r="M2" s="13">
        <f>'Account Creation'!U2</f>
        <v>0</v>
      </c>
      <c r="N2" t="str">
        <f>'RNT_Store CRPV_2'!A2</f>
        <v>vn54tqf</v>
      </c>
      <c r="O2" t="str">
        <f>RNT_Ecomm!G2</f>
        <v>1@Password</v>
      </c>
      <c r="P2">
        <f>'VCC_Stores ONLY'!B2</f>
        <v>0</v>
      </c>
      <c r="Q2">
        <f>'Help Desk'!J2</f>
        <v>0</v>
      </c>
      <c r="R2">
        <f>'Help Desk'!K2</f>
        <v>0</v>
      </c>
      <c r="S2">
        <f>'Help Desk'!L2</f>
        <v>0</v>
      </c>
      <c r="T2" t="str">
        <f>CONCATENATE('Help Desk'!D2,"@walmart.com")</f>
        <v>vn54tqf@walmart.com</v>
      </c>
      <c r="U2" t="s">
        <v>462</v>
      </c>
      <c r="V2" t="str">
        <f>LITMOS!A2</f>
        <v>vn54tqf</v>
      </c>
      <c r="W2" t="str">
        <f>LITMOS!E2</f>
        <v>W@lmart1</v>
      </c>
    </row>
    <row r="3" spans="1:41" x14ac:dyDescent="0.25">
      <c r="A3" t="str">
        <f>'Account Creation'!B3</f>
        <v>Claudia</v>
      </c>
      <c r="B3" t="str">
        <f>'Account Creation'!C3</f>
        <v>Gabriela</v>
      </c>
      <c r="C3" t="str">
        <f>'Account Creation'!D3</f>
        <v>Garcia</v>
      </c>
      <c r="D3">
        <f>'Account Creation'!M3</f>
        <v>2464</v>
      </c>
      <c r="E3" t="str">
        <f>'Help Desk'!D3</f>
        <v>vn54tqh</v>
      </c>
      <c r="F3">
        <f>'Help Desk'!E3</f>
        <v>0</v>
      </c>
      <c r="G3" t="str">
        <f>'Account Creation'!J3</f>
        <v>WMCOM</v>
      </c>
      <c r="H3" t="str">
        <f>'Account Creation'!L3</f>
        <v>Chat</v>
      </c>
      <c r="I3" t="str">
        <f>'Account Creation'!K3</f>
        <v>Agent</v>
      </c>
      <c r="J3" t="str">
        <f>'Account Creation'!H3</f>
        <v>24-7 Intouch</v>
      </c>
      <c r="K3" t="str">
        <f>'Account Creation'!I3</f>
        <v>Guatemala City</v>
      </c>
      <c r="L3" s="1">
        <f>'Account Creation'!G3</f>
        <v>44851</v>
      </c>
      <c r="M3" s="13">
        <f>'Account Creation'!U3</f>
        <v>0</v>
      </c>
      <c r="N3" t="str">
        <f>'RNT_Store CRPV_2'!A3</f>
        <v>vn54tqh</v>
      </c>
      <c r="O3" t="str">
        <f>RNT_Ecomm!G3</f>
        <v>1@Password</v>
      </c>
      <c r="P3">
        <f>'VCC_Stores ONLY'!B3</f>
        <v>0</v>
      </c>
      <c r="Q3">
        <f>'Help Desk'!J3</f>
        <v>0</v>
      </c>
      <c r="R3">
        <f>'Help Desk'!K3</f>
        <v>0</v>
      </c>
      <c r="S3">
        <f>'Help Desk'!L3</f>
        <v>0</v>
      </c>
      <c r="T3" t="str">
        <f>CONCATENATE('Help Desk'!D3,"@walmart.com")</f>
        <v>vn54tqh@walmart.com</v>
      </c>
      <c r="U3" t="s">
        <v>462</v>
      </c>
      <c r="V3" t="str">
        <f>LITMOS!A3</f>
        <v>vn54tqh</v>
      </c>
      <c r="W3" t="str">
        <f>LITMOS!E3</f>
        <v>W@lmart1</v>
      </c>
    </row>
    <row r="4" spans="1:41" x14ac:dyDescent="0.25">
      <c r="A4" t="str">
        <f>'Account Creation'!B4</f>
        <v>Luis</v>
      </c>
      <c r="B4" t="str">
        <f>'Account Creation'!C4</f>
        <v>Fernando</v>
      </c>
      <c r="C4" t="str">
        <f>'Account Creation'!D4</f>
        <v>Hernandez</v>
      </c>
      <c r="D4">
        <f>'Account Creation'!M4</f>
        <v>2465</v>
      </c>
      <c r="E4" t="str">
        <f>'Help Desk'!D4</f>
        <v>vn54tqj</v>
      </c>
      <c r="F4">
        <f>'Help Desk'!E4</f>
        <v>0</v>
      </c>
      <c r="G4" t="str">
        <f>'Account Creation'!J4</f>
        <v>WMCOM</v>
      </c>
      <c r="H4" t="str">
        <f>'Account Creation'!L4</f>
        <v>Chat</v>
      </c>
      <c r="I4" t="str">
        <f>'Account Creation'!K4</f>
        <v>Agent</v>
      </c>
      <c r="J4" t="str">
        <f>'Account Creation'!H4</f>
        <v>24-7 Intouch</v>
      </c>
      <c r="K4" t="str">
        <f>'Account Creation'!I4</f>
        <v>Guatemala City</v>
      </c>
      <c r="L4" s="1">
        <f>'Account Creation'!G4</f>
        <v>44851</v>
      </c>
      <c r="M4" s="13">
        <f>'Account Creation'!U4</f>
        <v>0</v>
      </c>
      <c r="N4" t="str">
        <f>'RNT_Store CRPV_2'!A4</f>
        <v>vn54tqj</v>
      </c>
      <c r="O4" t="str">
        <f>RNT_Ecomm!G4</f>
        <v>1@Password</v>
      </c>
      <c r="P4">
        <f>'VCC_Stores ONLY'!B4</f>
        <v>0</v>
      </c>
      <c r="Q4">
        <f>'Help Desk'!J4</f>
        <v>0</v>
      </c>
      <c r="R4">
        <f>'Help Desk'!K4</f>
        <v>0</v>
      </c>
      <c r="S4">
        <f>'Help Desk'!L4</f>
        <v>0</v>
      </c>
      <c r="T4" t="str">
        <f>CONCATENATE('Help Desk'!D4,"@walmart.com")</f>
        <v>vn54tqj@walmart.com</v>
      </c>
      <c r="U4" t="s">
        <v>462</v>
      </c>
      <c r="V4" t="str">
        <f>LITMOS!A4</f>
        <v>vn54tqj</v>
      </c>
      <c r="W4" t="str">
        <f>LITMOS!E4</f>
        <v>W@lmart1</v>
      </c>
    </row>
    <row r="5" spans="1:41" x14ac:dyDescent="0.25">
      <c r="A5" t="str">
        <f>'Account Creation'!B5</f>
        <v>Sofia</v>
      </c>
      <c r="B5" t="str">
        <f>'Account Creation'!C5</f>
        <v>Bernice</v>
      </c>
      <c r="C5" t="str">
        <f>'Account Creation'!D5</f>
        <v>Marroquin</v>
      </c>
      <c r="D5">
        <f>'Account Creation'!M5</f>
        <v>2466</v>
      </c>
      <c r="E5" t="str">
        <f>'Help Desk'!D5</f>
        <v>vn54tql</v>
      </c>
      <c r="F5">
        <f>'Help Desk'!E5</f>
        <v>0</v>
      </c>
      <c r="G5" t="str">
        <f>'Account Creation'!J5</f>
        <v>WMCOM</v>
      </c>
      <c r="H5" t="str">
        <f>'Account Creation'!L5</f>
        <v>Chat</v>
      </c>
      <c r="I5" t="str">
        <f>'Account Creation'!K5</f>
        <v>Agent</v>
      </c>
      <c r="J5" t="str">
        <f>'Account Creation'!H5</f>
        <v>24-7 Intouch</v>
      </c>
      <c r="K5" t="str">
        <f>'Account Creation'!I5</f>
        <v>Guatemala City</v>
      </c>
      <c r="L5" s="1">
        <f>'Account Creation'!G5</f>
        <v>44851</v>
      </c>
      <c r="M5" s="13">
        <f>'Account Creation'!U5</f>
        <v>0</v>
      </c>
      <c r="N5" t="str">
        <f>'RNT_Store CRPV_2'!A5</f>
        <v>vn54tql</v>
      </c>
      <c r="O5" t="str">
        <f>RNT_Ecomm!G5</f>
        <v>1@Password</v>
      </c>
      <c r="P5">
        <f>'VCC_Stores ONLY'!B5</f>
        <v>0</v>
      </c>
      <c r="Q5">
        <f>'Help Desk'!J5</f>
        <v>0</v>
      </c>
      <c r="R5">
        <f>'Help Desk'!K5</f>
        <v>0</v>
      </c>
      <c r="S5">
        <f>'Help Desk'!L5</f>
        <v>0</v>
      </c>
      <c r="T5" t="str">
        <f>CONCATENATE('Help Desk'!D5,"@walmart.com")</f>
        <v>vn54tql@walmart.com</v>
      </c>
      <c r="U5" t="s">
        <v>462</v>
      </c>
      <c r="V5" t="str">
        <f>LITMOS!A5</f>
        <v>vn54tql</v>
      </c>
      <c r="W5" t="str">
        <f>LITMOS!E5</f>
        <v>W@lmart1</v>
      </c>
    </row>
    <row r="6" spans="1:41" x14ac:dyDescent="0.25">
      <c r="A6" t="str">
        <f>'Account Creation'!B6</f>
        <v>Guillermo</v>
      </c>
      <c r="B6" t="str">
        <f>'Account Creation'!C6</f>
        <v>Benjamin</v>
      </c>
      <c r="C6" t="str">
        <f>'Account Creation'!D6</f>
        <v>Zamora</v>
      </c>
      <c r="D6">
        <f>'Account Creation'!M6</f>
        <v>2467</v>
      </c>
      <c r="E6" t="str">
        <f>'Help Desk'!D6</f>
        <v>vn54tqn</v>
      </c>
      <c r="F6">
        <f>'Help Desk'!E6</f>
        <v>0</v>
      </c>
      <c r="G6" t="str">
        <f>'Account Creation'!J6</f>
        <v>WMCOM</v>
      </c>
      <c r="H6" t="str">
        <f>'Account Creation'!L6</f>
        <v>Chat</v>
      </c>
      <c r="I6" t="str">
        <f>'Account Creation'!K6</f>
        <v>Agent</v>
      </c>
      <c r="J6" t="str">
        <f>'Account Creation'!H6</f>
        <v>24-7 Intouch</v>
      </c>
      <c r="K6" t="str">
        <f>'Account Creation'!I6</f>
        <v>Guatemala City</v>
      </c>
      <c r="L6" s="1">
        <f>'Account Creation'!G6</f>
        <v>44851</v>
      </c>
      <c r="M6" s="13">
        <f>'Account Creation'!U6</f>
        <v>0</v>
      </c>
      <c r="N6" t="str">
        <f>'RNT_Store CRPV_2'!A6</f>
        <v>vn54tqn</v>
      </c>
      <c r="O6" t="str">
        <f>RNT_Ecomm!G6</f>
        <v>1@Password</v>
      </c>
      <c r="P6">
        <f>'VCC_Stores ONLY'!B6</f>
        <v>0</v>
      </c>
      <c r="Q6">
        <f>'Help Desk'!J6</f>
        <v>0</v>
      </c>
      <c r="R6">
        <f>'Help Desk'!K6</f>
        <v>0</v>
      </c>
      <c r="S6">
        <f>'Help Desk'!L6</f>
        <v>0</v>
      </c>
      <c r="T6" t="str">
        <f>CONCATENATE('Help Desk'!D6,"@walmart.com")</f>
        <v>vn54tqn@walmart.com</v>
      </c>
      <c r="U6" t="s">
        <v>462</v>
      </c>
      <c r="V6" t="str">
        <f>LITMOS!A6</f>
        <v>vn54tqn</v>
      </c>
      <c r="W6" t="str">
        <f>LITMOS!E6</f>
        <v>W@lmart1</v>
      </c>
    </row>
    <row r="7" spans="1:41" x14ac:dyDescent="0.25">
      <c r="A7" t="str">
        <f>'Account Creation'!B7</f>
        <v>Katherine</v>
      </c>
      <c r="B7" t="str">
        <f>'Account Creation'!C7</f>
        <v>Gabriela</v>
      </c>
      <c r="C7" t="str">
        <f>'Account Creation'!D7</f>
        <v>Santizo</v>
      </c>
      <c r="D7">
        <f>'Account Creation'!M7</f>
        <v>2468</v>
      </c>
      <c r="E7" t="str">
        <f>'Help Desk'!D7</f>
        <v>vn54tqo</v>
      </c>
      <c r="F7">
        <f>'Help Desk'!E7</f>
        <v>0</v>
      </c>
      <c r="G7" t="str">
        <f>'Account Creation'!J7</f>
        <v>WMCOM</v>
      </c>
      <c r="H7" t="str">
        <f>'Account Creation'!L7</f>
        <v>Chat</v>
      </c>
      <c r="I7" t="str">
        <f>'Account Creation'!K7</f>
        <v>Agent</v>
      </c>
      <c r="J7" t="str">
        <f>'Account Creation'!H7</f>
        <v>24-7 Intouch</v>
      </c>
      <c r="K7" t="str">
        <f>'Account Creation'!I7</f>
        <v>Guatemala City</v>
      </c>
      <c r="L7" s="1">
        <f>'Account Creation'!G7</f>
        <v>44851</v>
      </c>
      <c r="M7" s="13">
        <f>'Account Creation'!U7</f>
        <v>0</v>
      </c>
      <c r="N7" t="str">
        <f>'RNT_Store CRPV_2'!A7</f>
        <v>vn54tqo</v>
      </c>
      <c r="O7" t="str">
        <f>RNT_Ecomm!G7</f>
        <v>1@Password</v>
      </c>
      <c r="P7">
        <f>'VCC_Stores ONLY'!B7</f>
        <v>0</v>
      </c>
      <c r="Q7">
        <f>'Help Desk'!J7</f>
        <v>0</v>
      </c>
      <c r="R7">
        <f>'Help Desk'!K7</f>
        <v>0</v>
      </c>
      <c r="S7">
        <f>'Help Desk'!L7</f>
        <v>0</v>
      </c>
      <c r="T7" t="str">
        <f>CONCATENATE('Help Desk'!D7,"@walmart.com")</f>
        <v>vn54tqo@walmart.com</v>
      </c>
      <c r="U7" t="s">
        <v>462</v>
      </c>
      <c r="V7" t="str">
        <f>LITMOS!A7</f>
        <v>vn54tqo</v>
      </c>
      <c r="W7" t="str">
        <f>LITMOS!E7</f>
        <v>W@lmart1</v>
      </c>
    </row>
    <row r="8" spans="1:41" x14ac:dyDescent="0.25">
      <c r="A8" t="str">
        <f>'Account Creation'!B8</f>
        <v>Josue</v>
      </c>
      <c r="B8" t="str">
        <f>'Account Creation'!C8</f>
        <v>David</v>
      </c>
      <c r="C8" t="str">
        <f>'Account Creation'!D8</f>
        <v>Manrique</v>
      </c>
      <c r="D8">
        <f>'Account Creation'!M8</f>
        <v>2469</v>
      </c>
      <c r="E8" t="str">
        <f>'Help Desk'!D8</f>
        <v>vn54tqq</v>
      </c>
      <c r="F8">
        <f>'Help Desk'!E8</f>
        <v>0</v>
      </c>
      <c r="G8" t="str">
        <f>'Account Creation'!J8</f>
        <v>WMCOM</v>
      </c>
      <c r="H8" t="str">
        <f>'Account Creation'!L8</f>
        <v>Chat</v>
      </c>
      <c r="I8" t="str">
        <f>'Account Creation'!K8</f>
        <v>Agent</v>
      </c>
      <c r="J8" t="str">
        <f>'Account Creation'!H8</f>
        <v>24-7 Intouch</v>
      </c>
      <c r="K8" t="str">
        <f>'Account Creation'!I8</f>
        <v>Guatemala City</v>
      </c>
      <c r="L8" s="1">
        <f>'Account Creation'!G8</f>
        <v>44851</v>
      </c>
      <c r="M8" s="13">
        <f>'Account Creation'!U8</f>
        <v>0</v>
      </c>
      <c r="N8" t="str">
        <f>'RNT_Store CRPV_2'!A8</f>
        <v>vn54tqq</v>
      </c>
      <c r="O8" t="str">
        <f>RNT_Ecomm!G8</f>
        <v>1@Password</v>
      </c>
      <c r="P8">
        <f>'VCC_Stores ONLY'!B8</f>
        <v>0</v>
      </c>
      <c r="Q8">
        <f>'Help Desk'!J8</f>
        <v>0</v>
      </c>
      <c r="R8">
        <f>'Help Desk'!K8</f>
        <v>0</v>
      </c>
      <c r="S8">
        <f>'Help Desk'!L8</f>
        <v>0</v>
      </c>
      <c r="T8" t="str">
        <f>CONCATENATE('Help Desk'!D8,"@walmart.com")</f>
        <v>vn54tqq@walmart.com</v>
      </c>
      <c r="U8" t="s">
        <v>462</v>
      </c>
      <c r="V8" t="str">
        <f>LITMOS!A8</f>
        <v>vn54tqq</v>
      </c>
      <c r="W8" t="str">
        <f>LITMOS!E8</f>
        <v>W@lmart1</v>
      </c>
    </row>
    <row r="9" spans="1:41" x14ac:dyDescent="0.25">
      <c r="A9" t="str">
        <f>'Account Creation'!B9</f>
        <v>Kristtel</v>
      </c>
      <c r="B9" t="str">
        <f>'Account Creation'!C9</f>
        <v>Carolina</v>
      </c>
      <c r="C9" t="str">
        <f>'Account Creation'!D9</f>
        <v>Hernandez</v>
      </c>
      <c r="D9">
        <f>'Account Creation'!M9</f>
        <v>2470</v>
      </c>
      <c r="E9" t="str">
        <f>'Help Desk'!D9</f>
        <v>vn54tqs</v>
      </c>
      <c r="F9">
        <f>'Help Desk'!E9</f>
        <v>0</v>
      </c>
      <c r="G9" t="str">
        <f>'Account Creation'!J9</f>
        <v>WMCOM</v>
      </c>
      <c r="H9" t="str">
        <f>'Account Creation'!L9</f>
        <v>Chat</v>
      </c>
      <c r="I9" t="str">
        <f>'Account Creation'!K9</f>
        <v>Agent</v>
      </c>
      <c r="J9" t="str">
        <f>'Account Creation'!H9</f>
        <v>24-7 Intouch</v>
      </c>
      <c r="K9" t="str">
        <f>'Account Creation'!I9</f>
        <v>Guatemala City</v>
      </c>
      <c r="L9" s="1">
        <f>'Account Creation'!G9</f>
        <v>44851</v>
      </c>
      <c r="M9" s="13">
        <f>'Account Creation'!U9</f>
        <v>0</v>
      </c>
      <c r="N9" t="str">
        <f>'RNT_Store CRPV_2'!A9</f>
        <v>vn54tqs</v>
      </c>
      <c r="O9" t="str">
        <f>RNT_Ecomm!G9</f>
        <v>1@Password</v>
      </c>
      <c r="P9">
        <f>'VCC_Stores ONLY'!B9</f>
        <v>0</v>
      </c>
      <c r="Q9">
        <f>'Help Desk'!J9</f>
        <v>0</v>
      </c>
      <c r="R9">
        <f>'Help Desk'!K9</f>
        <v>0</v>
      </c>
      <c r="S9">
        <f>'Help Desk'!L9</f>
        <v>0</v>
      </c>
      <c r="T9" t="str">
        <f>CONCATENATE('Help Desk'!D9,"@walmart.com")</f>
        <v>vn54tqs@walmart.com</v>
      </c>
      <c r="U9" t="s">
        <v>462</v>
      </c>
      <c r="V9" t="str">
        <f>LITMOS!A9</f>
        <v>vn54tqs</v>
      </c>
      <c r="W9" t="str">
        <f>LITMOS!E9</f>
        <v>W@lmart1</v>
      </c>
    </row>
    <row r="10" spans="1:41" x14ac:dyDescent="0.25">
      <c r="A10" t="str">
        <f>'Account Creation'!B10</f>
        <v>Juan</v>
      </c>
      <c r="B10" t="str">
        <f>'Account Creation'!C10</f>
        <v>Pablo</v>
      </c>
      <c r="C10" t="str">
        <f>'Account Creation'!D10</f>
        <v>Flores</v>
      </c>
      <c r="D10">
        <f>'Account Creation'!M10</f>
        <v>2471</v>
      </c>
      <c r="E10" t="str">
        <f>'Help Desk'!D10</f>
        <v>vn54tqu</v>
      </c>
      <c r="F10">
        <f>'Help Desk'!E10</f>
        <v>0</v>
      </c>
      <c r="G10" t="str">
        <f>'Account Creation'!J10</f>
        <v>WMCOM</v>
      </c>
      <c r="H10" t="str">
        <f>'Account Creation'!L10</f>
        <v>Chat</v>
      </c>
      <c r="I10" t="str">
        <f>'Account Creation'!K10</f>
        <v>Agent</v>
      </c>
      <c r="J10" t="str">
        <f>'Account Creation'!H10</f>
        <v>24-7 Intouch</v>
      </c>
      <c r="K10" t="str">
        <f>'Account Creation'!I10</f>
        <v>Guatemala City</v>
      </c>
      <c r="L10" s="1">
        <f>'Account Creation'!G10</f>
        <v>44851</v>
      </c>
      <c r="M10" s="13">
        <f>'Account Creation'!U10</f>
        <v>0</v>
      </c>
      <c r="N10" t="str">
        <f>'RNT_Store CRPV_2'!A10</f>
        <v>vn54tqu</v>
      </c>
      <c r="O10" t="str">
        <f>RNT_Ecomm!G10</f>
        <v>1@Password</v>
      </c>
      <c r="P10">
        <f>'VCC_Stores ONLY'!B10</f>
        <v>0</v>
      </c>
      <c r="Q10">
        <f>'Help Desk'!J10</f>
        <v>0</v>
      </c>
      <c r="R10">
        <f>'Help Desk'!K10</f>
        <v>0</v>
      </c>
      <c r="S10">
        <f>'Help Desk'!L10</f>
        <v>0</v>
      </c>
      <c r="T10" t="str">
        <f>CONCATENATE('Help Desk'!D10,"@walmart.com")</f>
        <v>vn54tqu@walmart.com</v>
      </c>
      <c r="U10" t="s">
        <v>462</v>
      </c>
      <c r="V10" t="str">
        <f>LITMOS!A10</f>
        <v>vn54tqu</v>
      </c>
      <c r="W10" t="str">
        <f>LITMOS!E10</f>
        <v>W@lmart1</v>
      </c>
    </row>
    <row r="11" spans="1:41" x14ac:dyDescent="0.25">
      <c r="A11" t="str">
        <f>'Account Creation'!B11</f>
        <v>Gabriel</v>
      </c>
      <c r="B11" t="str">
        <f>'Account Creation'!C11</f>
        <v>Adolfo</v>
      </c>
      <c r="C11" t="str">
        <f>'Account Creation'!D11</f>
        <v>Morales</v>
      </c>
      <c r="D11">
        <f>'Account Creation'!M11</f>
        <v>2472</v>
      </c>
      <c r="E11" t="str">
        <f>'Help Desk'!D11</f>
        <v>vn54tqw</v>
      </c>
      <c r="F11">
        <f>'Help Desk'!E11</f>
        <v>0</v>
      </c>
      <c r="G11" t="str">
        <f>'Account Creation'!J11</f>
        <v>WMCOM</v>
      </c>
      <c r="H11" t="str">
        <f>'Account Creation'!L11</f>
        <v>Chat</v>
      </c>
      <c r="I11" t="str">
        <f>'Account Creation'!K11</f>
        <v>Agent</v>
      </c>
      <c r="J11" t="str">
        <f>'Account Creation'!H11</f>
        <v>24-7 Intouch</v>
      </c>
      <c r="K11" t="str">
        <f>'Account Creation'!I11</f>
        <v>Guatemala City</v>
      </c>
      <c r="L11" s="1">
        <f>'Account Creation'!G11</f>
        <v>44851</v>
      </c>
      <c r="M11" s="13">
        <f>'Account Creation'!U11</f>
        <v>0</v>
      </c>
      <c r="N11" t="str">
        <f>'RNT_Store CRPV_2'!A11</f>
        <v>vn54tqw</v>
      </c>
      <c r="O11" t="str">
        <f>RNT_Ecomm!G11</f>
        <v>1@Password</v>
      </c>
      <c r="P11">
        <f>'VCC_Stores ONLY'!B11</f>
        <v>0</v>
      </c>
      <c r="Q11">
        <f>'Help Desk'!J11</f>
        <v>0</v>
      </c>
      <c r="R11">
        <f>'Help Desk'!K11</f>
        <v>0</v>
      </c>
      <c r="S11">
        <f>'Help Desk'!L11</f>
        <v>0</v>
      </c>
      <c r="T11" t="str">
        <f>CONCATENATE('Help Desk'!D11,"@walmart.com")</f>
        <v>vn54tqw@walmart.com</v>
      </c>
      <c r="U11" t="s">
        <v>462</v>
      </c>
      <c r="V11" t="str">
        <f>LITMOS!A11</f>
        <v>vn54tqw</v>
      </c>
      <c r="W11" t="str">
        <f>LITMOS!E11</f>
        <v>W@lmart1</v>
      </c>
    </row>
    <row r="12" spans="1:41" x14ac:dyDescent="0.25">
      <c r="A12" t="str">
        <f>'Account Creation'!B12</f>
        <v>Mercedez</v>
      </c>
      <c r="B12" t="str">
        <f>'Account Creation'!C12</f>
        <v>Isabel</v>
      </c>
      <c r="C12" t="str">
        <f>'Account Creation'!D12</f>
        <v>De Leon</v>
      </c>
      <c r="D12">
        <f>'Account Creation'!M12</f>
        <v>2473</v>
      </c>
      <c r="E12" t="str">
        <f>'Help Desk'!D12</f>
        <v>vn54tqy</v>
      </c>
      <c r="F12">
        <f>'Help Desk'!E12</f>
        <v>0</v>
      </c>
      <c r="G12" t="str">
        <f>'Account Creation'!J12</f>
        <v>WMCOM</v>
      </c>
      <c r="H12" t="str">
        <f>'Account Creation'!L12</f>
        <v>Chat</v>
      </c>
      <c r="I12" t="str">
        <f>'Account Creation'!K12</f>
        <v>Agent</v>
      </c>
      <c r="J12" t="str">
        <f>'Account Creation'!H12</f>
        <v>24-7 Intouch</v>
      </c>
      <c r="K12" t="str">
        <f>'Account Creation'!I12</f>
        <v>Guatemala City</v>
      </c>
      <c r="L12" s="1">
        <f>'Account Creation'!G12</f>
        <v>44851</v>
      </c>
      <c r="M12" s="13">
        <f>'Account Creation'!U12</f>
        <v>0</v>
      </c>
      <c r="N12" t="str">
        <f>'RNT_Store CRPV_2'!A12</f>
        <v>vn54tqy</v>
      </c>
      <c r="O12" t="str">
        <f>RNT_Ecomm!G12</f>
        <v>1@Password</v>
      </c>
      <c r="P12">
        <f>'VCC_Stores ONLY'!B12</f>
        <v>0</v>
      </c>
      <c r="Q12">
        <f>'Help Desk'!J12</f>
        <v>0</v>
      </c>
      <c r="R12">
        <f>'Help Desk'!K12</f>
        <v>0</v>
      </c>
      <c r="S12">
        <f>'Help Desk'!L12</f>
        <v>0</v>
      </c>
      <c r="T12" t="str">
        <f>CONCATENATE('Help Desk'!D12,"@walmart.com")</f>
        <v>vn54tqy@walmart.com</v>
      </c>
      <c r="U12" t="s">
        <v>462</v>
      </c>
      <c r="V12" t="str">
        <f>LITMOS!A12</f>
        <v>vn54tqy</v>
      </c>
      <c r="W12" t="str">
        <f>LITMOS!E12</f>
        <v>W@lmart1</v>
      </c>
    </row>
    <row r="13" spans="1:41" x14ac:dyDescent="0.25">
      <c r="A13" t="str">
        <f>'Account Creation'!B13</f>
        <v>Eduardo</v>
      </c>
      <c r="B13" t="str">
        <f>'Account Creation'!C13</f>
        <v>Andres</v>
      </c>
      <c r="C13" t="str">
        <f>'Account Creation'!D13</f>
        <v>Prera</v>
      </c>
      <c r="D13">
        <f>'Account Creation'!M13</f>
        <v>2474</v>
      </c>
      <c r="E13" t="str">
        <f>'Help Desk'!D13</f>
        <v>vn54tr0</v>
      </c>
      <c r="F13">
        <f>'Help Desk'!E13</f>
        <v>0</v>
      </c>
      <c r="G13" t="str">
        <f>'Account Creation'!J13</f>
        <v>WMCOM</v>
      </c>
      <c r="H13" t="str">
        <f>'Account Creation'!L13</f>
        <v>Chat</v>
      </c>
      <c r="I13" t="str">
        <f>'Account Creation'!K13</f>
        <v>Agent</v>
      </c>
      <c r="J13" t="str">
        <f>'Account Creation'!H13</f>
        <v>24-7 Intouch</v>
      </c>
      <c r="K13" t="str">
        <f>'Account Creation'!I13</f>
        <v>Guatemala City</v>
      </c>
      <c r="L13" s="1">
        <f>'Account Creation'!G13</f>
        <v>44851</v>
      </c>
      <c r="M13" s="13">
        <f>'Account Creation'!U13</f>
        <v>0</v>
      </c>
      <c r="N13" t="str">
        <f>'RNT_Store CRPV_2'!A13</f>
        <v>vn54tr0</v>
      </c>
      <c r="O13" t="str">
        <f>RNT_Ecomm!G13</f>
        <v>1@Password</v>
      </c>
      <c r="P13">
        <f>'VCC_Stores ONLY'!B13</f>
        <v>0</v>
      </c>
      <c r="Q13">
        <f>'Help Desk'!J13</f>
        <v>0</v>
      </c>
      <c r="R13">
        <f>'Help Desk'!K13</f>
        <v>0</v>
      </c>
      <c r="S13">
        <f>'Help Desk'!L13</f>
        <v>0</v>
      </c>
      <c r="T13" t="str">
        <f>CONCATENATE('Help Desk'!D13,"@walmart.com")</f>
        <v>vn54tr0@walmart.com</v>
      </c>
      <c r="U13" t="s">
        <v>462</v>
      </c>
      <c r="V13" t="str">
        <f>LITMOS!A13</f>
        <v>vn54tr0</v>
      </c>
      <c r="W13" t="str">
        <f>LITMOS!E13</f>
        <v>W@lmart1</v>
      </c>
    </row>
    <row r="14" spans="1:41" x14ac:dyDescent="0.25">
      <c r="A14" t="str">
        <f>'Account Creation'!B14</f>
        <v>Madelin</v>
      </c>
      <c r="B14" t="str">
        <f>'Account Creation'!C14</f>
        <v>Johana</v>
      </c>
      <c r="C14" t="str">
        <f>'Account Creation'!D14</f>
        <v>Abal</v>
      </c>
      <c r="D14">
        <f>'Account Creation'!M14</f>
        <v>2475</v>
      </c>
      <c r="E14" t="str">
        <f>'Help Desk'!D14</f>
        <v>vn54tr2</v>
      </c>
      <c r="F14">
        <f>'Help Desk'!E14</f>
        <v>0</v>
      </c>
      <c r="G14" t="str">
        <f>'Account Creation'!J14</f>
        <v>WMCOM</v>
      </c>
      <c r="H14" t="str">
        <f>'Account Creation'!L14</f>
        <v>Chat</v>
      </c>
      <c r="I14" t="str">
        <f>'Account Creation'!K14</f>
        <v>Agent</v>
      </c>
      <c r="J14" t="str">
        <f>'Account Creation'!H14</f>
        <v>24-7 Intouch</v>
      </c>
      <c r="K14" t="str">
        <f>'Account Creation'!I14</f>
        <v>Guatemala City</v>
      </c>
      <c r="L14" s="1">
        <f>'Account Creation'!G14</f>
        <v>44851</v>
      </c>
      <c r="M14" s="13">
        <f>'Account Creation'!U14</f>
        <v>0</v>
      </c>
      <c r="N14" t="str">
        <f>'RNT_Store CRPV_2'!A14</f>
        <v>vn54tr2</v>
      </c>
      <c r="O14" t="str">
        <f>RNT_Ecomm!G14</f>
        <v>1@Password</v>
      </c>
      <c r="P14">
        <f>'VCC_Stores ONLY'!B14</f>
        <v>0</v>
      </c>
      <c r="Q14">
        <f>'Help Desk'!J14</f>
        <v>0</v>
      </c>
      <c r="R14">
        <f>'Help Desk'!K14</f>
        <v>0</v>
      </c>
      <c r="S14">
        <f>'Help Desk'!L14</f>
        <v>0</v>
      </c>
      <c r="T14" t="str">
        <f>CONCATENATE('Help Desk'!D14,"@walmart.com")</f>
        <v>vn54tr2@walmart.com</v>
      </c>
      <c r="U14" t="s">
        <v>462</v>
      </c>
      <c r="V14" t="str">
        <f>LITMOS!A14</f>
        <v>vn54tr2</v>
      </c>
      <c r="W14" t="str">
        <f>LITMOS!E14</f>
        <v>W@lmart1</v>
      </c>
    </row>
    <row r="15" spans="1:41" x14ac:dyDescent="0.25">
      <c r="A15" t="str">
        <f>'Account Creation'!B15</f>
        <v>Dyana</v>
      </c>
      <c r="B15" t="str">
        <f>'Account Creation'!C15</f>
        <v>Priscila</v>
      </c>
      <c r="C15" t="str">
        <f>'Account Creation'!D15</f>
        <v>Calicio</v>
      </c>
      <c r="D15">
        <f>'Account Creation'!M15</f>
        <v>2476</v>
      </c>
      <c r="E15" t="str">
        <f>'Help Desk'!D15</f>
        <v>vn54tr4</v>
      </c>
      <c r="F15">
        <f>'Help Desk'!E15</f>
        <v>0</v>
      </c>
      <c r="G15" t="str">
        <f>'Account Creation'!J15</f>
        <v>WMCOM</v>
      </c>
      <c r="H15" t="str">
        <f>'Account Creation'!L15</f>
        <v>Chat</v>
      </c>
      <c r="I15" t="str">
        <f>'Account Creation'!K15</f>
        <v>Agent</v>
      </c>
      <c r="J15" t="str">
        <f>'Account Creation'!H15</f>
        <v>24-7 Intouch</v>
      </c>
      <c r="K15" t="str">
        <f>'Account Creation'!I15</f>
        <v>Guatemala City</v>
      </c>
      <c r="L15" s="1">
        <f>'Account Creation'!G15</f>
        <v>44851</v>
      </c>
      <c r="M15" s="13">
        <f>'Account Creation'!U15</f>
        <v>0</v>
      </c>
      <c r="N15" t="str">
        <f>'RNT_Store CRPV_2'!A15</f>
        <v>vn54tr4</v>
      </c>
      <c r="O15" t="str">
        <f>RNT_Ecomm!G15</f>
        <v>1@Password</v>
      </c>
      <c r="P15">
        <f>'VCC_Stores ONLY'!B15</f>
        <v>0</v>
      </c>
      <c r="Q15">
        <f>'Help Desk'!J15</f>
        <v>0</v>
      </c>
      <c r="R15">
        <f>'Help Desk'!K15</f>
        <v>0</v>
      </c>
      <c r="S15">
        <f>'Help Desk'!L15</f>
        <v>0</v>
      </c>
      <c r="T15" t="str">
        <f>CONCATENATE('Help Desk'!D15,"@walmart.com")</f>
        <v>vn54tr4@walmart.com</v>
      </c>
      <c r="U15" t="s">
        <v>462</v>
      </c>
      <c r="V15" t="str">
        <f>LITMOS!A15</f>
        <v>vn54tr4</v>
      </c>
      <c r="W15" t="str">
        <f>LITMOS!E15</f>
        <v>W@lmart1</v>
      </c>
    </row>
    <row r="16" spans="1:41" x14ac:dyDescent="0.25">
      <c r="A16" t="str">
        <f>'Account Creation'!B16</f>
        <v>Sandra</v>
      </c>
      <c r="B16" t="str">
        <f>'Account Creation'!C16</f>
        <v>Virginia</v>
      </c>
      <c r="C16" t="str">
        <f>'Account Creation'!D16</f>
        <v>Arango</v>
      </c>
      <c r="D16">
        <f>'Account Creation'!M16</f>
        <v>2477</v>
      </c>
      <c r="E16" t="str">
        <f>'Help Desk'!D16</f>
        <v>vn54tr6</v>
      </c>
      <c r="F16">
        <f>'Help Desk'!E16</f>
        <v>0</v>
      </c>
      <c r="G16" t="str">
        <f>'Account Creation'!J16</f>
        <v>WMCOM</v>
      </c>
      <c r="H16" t="str">
        <f>'Account Creation'!L16</f>
        <v>Chat</v>
      </c>
      <c r="I16" t="str">
        <f>'Account Creation'!K16</f>
        <v>Agent</v>
      </c>
      <c r="J16" t="str">
        <f>'Account Creation'!H16</f>
        <v>24-7 Intouch</v>
      </c>
      <c r="K16" t="str">
        <f>'Account Creation'!I16</f>
        <v>Guatemala City</v>
      </c>
      <c r="L16" s="1">
        <f>'Account Creation'!G16</f>
        <v>44851</v>
      </c>
      <c r="M16" s="13">
        <f>'Account Creation'!U16</f>
        <v>0</v>
      </c>
      <c r="N16" t="str">
        <f>'RNT_Store CRPV_2'!A16</f>
        <v>vn54tr6</v>
      </c>
      <c r="O16" t="str">
        <f>RNT_Ecomm!G16</f>
        <v>1@Password</v>
      </c>
      <c r="P16">
        <f>'VCC_Stores ONLY'!B16</f>
        <v>0</v>
      </c>
      <c r="Q16">
        <f>'Help Desk'!J16</f>
        <v>0</v>
      </c>
      <c r="R16">
        <f>'Help Desk'!K16</f>
        <v>0</v>
      </c>
      <c r="S16">
        <f>'Help Desk'!L16</f>
        <v>0</v>
      </c>
      <c r="T16" t="str">
        <f>CONCATENATE('Help Desk'!D16,"@walmart.com")</f>
        <v>vn54tr6@walmart.com</v>
      </c>
      <c r="U16" t="s">
        <v>462</v>
      </c>
      <c r="V16" t="str">
        <f>LITMOS!A16</f>
        <v>vn54tr6</v>
      </c>
      <c r="W16" t="str">
        <f>LITMOS!E16</f>
        <v>W@lmart1</v>
      </c>
    </row>
    <row r="17" spans="12:13" x14ac:dyDescent="0.25">
      <c r="L17" s="1"/>
      <c r="M17" s="13"/>
    </row>
    <row r="18" spans="12:13" x14ac:dyDescent="0.25">
      <c r="L18" s="1"/>
      <c r="M18" s="13"/>
    </row>
    <row r="19" spans="12:13" x14ac:dyDescent="0.25">
      <c r="L19" s="1"/>
      <c r="M19" s="13"/>
    </row>
    <row r="20" spans="12:13" x14ac:dyDescent="0.25">
      <c r="L20" s="1"/>
      <c r="M20" s="13"/>
    </row>
    <row r="21" spans="12:13" x14ac:dyDescent="0.25">
      <c r="L21" s="1"/>
      <c r="M21" s="13"/>
    </row>
    <row r="22" spans="12:13" x14ac:dyDescent="0.25">
      <c r="L22" s="1"/>
      <c r="M22" s="13"/>
    </row>
    <row r="23" spans="12:13" x14ac:dyDescent="0.25">
      <c r="L23" s="1"/>
      <c r="M23" s="13"/>
    </row>
    <row r="24" spans="12:13" x14ac:dyDescent="0.25">
      <c r="L24" s="1"/>
      <c r="M24" s="13"/>
    </row>
    <row r="25" spans="12:13" x14ac:dyDescent="0.25">
      <c r="L25" s="1"/>
      <c r="M25" s="13"/>
    </row>
    <row r="26" spans="12:13" x14ac:dyDescent="0.25">
      <c r="L26" s="1"/>
      <c r="M26" s="13"/>
    </row>
    <row r="27" spans="12:13" x14ac:dyDescent="0.25">
      <c r="L27" s="1"/>
      <c r="M27" s="13"/>
    </row>
    <row r="28" spans="12:13" x14ac:dyDescent="0.25">
      <c r="L28" s="1"/>
      <c r="M28" s="13"/>
    </row>
    <row r="29" spans="12:13" x14ac:dyDescent="0.25">
      <c r="L29" s="1"/>
      <c r="M29" s="13"/>
    </row>
    <row r="30" spans="12:13" x14ac:dyDescent="0.25">
      <c r="L30" s="1"/>
      <c r="M30" s="13"/>
    </row>
    <row r="31" spans="12:13" x14ac:dyDescent="0.25">
      <c r="L31" s="1"/>
      <c r="M31" s="13"/>
    </row>
    <row r="32" spans="12:13" x14ac:dyDescent="0.25">
      <c r="L32" s="1"/>
      <c r="M32" s="13"/>
    </row>
    <row r="33" spans="12:13" x14ac:dyDescent="0.25">
      <c r="L33" s="1"/>
      <c r="M33" s="13"/>
    </row>
    <row r="34" spans="12:13" x14ac:dyDescent="0.25">
      <c r="L34" s="1"/>
      <c r="M34" s="13"/>
    </row>
    <row r="35" spans="12:13" x14ac:dyDescent="0.25">
      <c r="L35" s="1"/>
      <c r="M35" s="13"/>
    </row>
    <row r="36" spans="12:13" x14ac:dyDescent="0.25">
      <c r="L36" s="1"/>
      <c r="M36" s="13"/>
    </row>
    <row r="37" spans="12:13" x14ac:dyDescent="0.25">
      <c r="L37" s="1"/>
      <c r="M37" s="13"/>
    </row>
    <row r="38" spans="12:13" x14ac:dyDescent="0.25">
      <c r="L38" s="1"/>
      <c r="M38" s="13"/>
    </row>
    <row r="39" spans="12:13" x14ac:dyDescent="0.25">
      <c r="L39" s="1"/>
      <c r="M39" s="13"/>
    </row>
    <row r="40" spans="12:13" x14ac:dyDescent="0.25">
      <c r="L40" s="1"/>
      <c r="M40" s="13"/>
    </row>
    <row r="41" spans="12:13" x14ac:dyDescent="0.25">
      <c r="L41" s="1"/>
      <c r="M41" s="13"/>
    </row>
    <row r="42" spans="12:13" x14ac:dyDescent="0.25">
      <c r="L42" s="1"/>
      <c r="M42" s="13"/>
    </row>
    <row r="43" spans="12:13" x14ac:dyDescent="0.25">
      <c r="L43" s="1"/>
      <c r="M43" s="13"/>
    </row>
    <row r="44" spans="12:13" x14ac:dyDescent="0.25">
      <c r="L44" s="1"/>
      <c r="M44" s="13"/>
    </row>
    <row r="45" spans="12:13" x14ac:dyDescent="0.25">
      <c r="L45" s="1"/>
      <c r="M45" s="13"/>
    </row>
    <row r="46" spans="12:13" x14ac:dyDescent="0.25">
      <c r="L46" s="1"/>
      <c r="M46" s="13"/>
    </row>
    <row r="47" spans="12:13" x14ac:dyDescent="0.25">
      <c r="L47" s="1"/>
      <c r="M47" s="13"/>
    </row>
    <row r="48" spans="12:13" x14ac:dyDescent="0.25">
      <c r="L48" s="1"/>
      <c r="M48" s="13"/>
    </row>
    <row r="49" spans="12:13" x14ac:dyDescent="0.25">
      <c r="L49" s="1"/>
      <c r="M49" s="13"/>
    </row>
    <row r="50" spans="12:13" x14ac:dyDescent="0.25">
      <c r="L50" s="1"/>
      <c r="M50" s="13"/>
    </row>
    <row r="51" spans="12:13" x14ac:dyDescent="0.25">
      <c r="L51" s="1"/>
      <c r="M51" s="13"/>
    </row>
    <row r="52" spans="12:13" x14ac:dyDescent="0.25">
      <c r="L52" s="1"/>
      <c r="M52" s="13"/>
    </row>
    <row r="53" spans="12:13" x14ac:dyDescent="0.25">
      <c r="L53" s="1"/>
      <c r="M53" s="13"/>
    </row>
    <row r="54" spans="12:13" x14ac:dyDescent="0.25">
      <c r="L54" s="1"/>
      <c r="M54" s="13"/>
    </row>
    <row r="55" spans="12:13" x14ac:dyDescent="0.25">
      <c r="L55" s="1"/>
      <c r="M55" s="13"/>
    </row>
    <row r="56" spans="12:13" x14ac:dyDescent="0.25">
      <c r="L56" s="1"/>
      <c r="M56" s="13"/>
    </row>
    <row r="57" spans="12:13" x14ac:dyDescent="0.25">
      <c r="L57" s="1"/>
      <c r="M57" s="13"/>
    </row>
    <row r="58" spans="12:13" x14ac:dyDescent="0.25">
      <c r="L58" s="1"/>
      <c r="M58" s="13"/>
    </row>
    <row r="59" spans="12:13" x14ac:dyDescent="0.25">
      <c r="L59" s="1"/>
      <c r="M59" s="13"/>
    </row>
    <row r="60" spans="12:13" x14ac:dyDescent="0.25">
      <c r="L60" s="1"/>
      <c r="M60" s="13"/>
    </row>
    <row r="61" spans="12:13" x14ac:dyDescent="0.25">
      <c r="L61" s="1"/>
      <c r="M61" s="13"/>
    </row>
    <row r="62" spans="12:13" x14ac:dyDescent="0.25">
      <c r="L62" s="1"/>
      <c r="M62" s="13"/>
    </row>
    <row r="63" spans="12:13" x14ac:dyDescent="0.25">
      <c r="L63" s="1"/>
      <c r="M63" s="13"/>
    </row>
    <row r="64" spans="12:13" x14ac:dyDescent="0.25">
      <c r="L64" s="1"/>
      <c r="M64" s="13"/>
    </row>
    <row r="65" spans="12:13" x14ac:dyDescent="0.25">
      <c r="L65" s="1"/>
      <c r="M65" s="13"/>
    </row>
    <row r="66" spans="12:13" x14ac:dyDescent="0.25">
      <c r="L66" s="1"/>
      <c r="M66" s="13"/>
    </row>
    <row r="67" spans="12:13" x14ac:dyDescent="0.25">
      <c r="L67" s="1"/>
      <c r="M67" s="13"/>
    </row>
    <row r="68" spans="12:13" x14ac:dyDescent="0.25">
      <c r="L68" s="1"/>
      <c r="M68" s="13"/>
    </row>
    <row r="69" spans="12:13" x14ac:dyDescent="0.25">
      <c r="L69" s="1"/>
      <c r="M69" s="13"/>
    </row>
    <row r="70" spans="12:13" x14ac:dyDescent="0.25">
      <c r="L70" s="1"/>
      <c r="M70" s="13"/>
    </row>
    <row r="71" spans="12:13" x14ac:dyDescent="0.25">
      <c r="L71" s="1"/>
      <c r="M71" s="13"/>
    </row>
    <row r="72" spans="12:13" x14ac:dyDescent="0.25">
      <c r="L72" s="1"/>
      <c r="M72" s="13"/>
    </row>
    <row r="73" spans="12:13" x14ac:dyDescent="0.25">
      <c r="L73" s="1"/>
      <c r="M73" s="13"/>
    </row>
    <row r="74" spans="12:13" x14ac:dyDescent="0.25">
      <c r="L74" s="1"/>
      <c r="M74" s="13"/>
    </row>
    <row r="75" spans="12:13" x14ac:dyDescent="0.25">
      <c r="L75" s="1"/>
      <c r="M75" s="13"/>
    </row>
    <row r="76" spans="12:13" x14ac:dyDescent="0.25">
      <c r="L76" s="1"/>
      <c r="M76" s="13"/>
    </row>
    <row r="77" spans="12:13" x14ac:dyDescent="0.25">
      <c r="L77" s="1"/>
      <c r="M77" s="13"/>
    </row>
    <row r="78" spans="12:13" x14ac:dyDescent="0.25">
      <c r="L78" s="1"/>
      <c r="M78" s="13"/>
    </row>
    <row r="79" spans="12:13" x14ac:dyDescent="0.25">
      <c r="L79" s="1"/>
      <c r="M79" s="13"/>
    </row>
    <row r="80" spans="12:13" x14ac:dyDescent="0.25">
      <c r="L80" s="1"/>
      <c r="M80" s="13"/>
    </row>
    <row r="81" spans="12:13" x14ac:dyDescent="0.25">
      <c r="L81" s="1"/>
      <c r="M81" s="13"/>
    </row>
    <row r="82" spans="12:13" x14ac:dyDescent="0.25">
      <c r="L82" s="1"/>
      <c r="M82" s="13"/>
    </row>
    <row r="83" spans="12:13" x14ac:dyDescent="0.25">
      <c r="L83" s="1"/>
      <c r="M83" s="13"/>
    </row>
    <row r="84" spans="12:13" x14ac:dyDescent="0.25">
      <c r="L84" s="1"/>
      <c r="M84" s="13"/>
    </row>
    <row r="85" spans="12:13" x14ac:dyDescent="0.25">
      <c r="L85" s="1"/>
      <c r="M85" s="13"/>
    </row>
    <row r="86" spans="12:13" x14ac:dyDescent="0.25">
      <c r="L86" s="1"/>
      <c r="M86" s="13"/>
    </row>
    <row r="87" spans="12:13" x14ac:dyDescent="0.25">
      <c r="L87" s="1"/>
      <c r="M87" s="13"/>
    </row>
    <row r="88" spans="12:13" x14ac:dyDescent="0.25">
      <c r="L88" s="1"/>
      <c r="M88" s="13"/>
    </row>
    <row r="89" spans="12:13" x14ac:dyDescent="0.25">
      <c r="L89" s="1"/>
      <c r="M89" s="13"/>
    </row>
    <row r="90" spans="12:13" x14ac:dyDescent="0.25">
      <c r="L90" s="1"/>
      <c r="M90" s="13"/>
    </row>
    <row r="91" spans="12:13" x14ac:dyDescent="0.25">
      <c r="L91" s="1"/>
      <c r="M91" s="13"/>
    </row>
    <row r="92" spans="12:13" x14ac:dyDescent="0.25">
      <c r="L92" s="1"/>
      <c r="M92" s="13"/>
    </row>
    <row r="93" spans="12:13" x14ac:dyDescent="0.25">
      <c r="L93" s="1"/>
      <c r="M93" s="13"/>
    </row>
    <row r="94" spans="12:13" x14ac:dyDescent="0.25">
      <c r="L94" s="1"/>
      <c r="M94" s="13"/>
    </row>
    <row r="95" spans="12:13" x14ac:dyDescent="0.25">
      <c r="L95" s="1"/>
      <c r="M95" s="13"/>
    </row>
    <row r="96" spans="12:13" x14ac:dyDescent="0.25">
      <c r="L96" s="1"/>
      <c r="M96" s="13"/>
    </row>
    <row r="97" spans="12:13" x14ac:dyDescent="0.25">
      <c r="L97" s="1"/>
      <c r="M97" s="13"/>
    </row>
    <row r="98" spans="12:13" x14ac:dyDescent="0.25">
      <c r="L98" s="1"/>
      <c r="M98" s="13"/>
    </row>
    <row r="99" spans="12:13" x14ac:dyDescent="0.25">
      <c r="L99" s="1"/>
      <c r="M99" s="13"/>
    </row>
    <row r="100" spans="12:13" x14ac:dyDescent="0.25">
      <c r="L100" s="1"/>
      <c r="M100" s="13"/>
    </row>
    <row r="101" spans="12:13" x14ac:dyDescent="0.25">
      <c r="L101" s="1"/>
      <c r="M101" s="13"/>
    </row>
    <row r="102" spans="12:13" x14ac:dyDescent="0.25">
      <c r="L102" s="1"/>
      <c r="M102" s="13"/>
    </row>
    <row r="103" spans="12:13" x14ac:dyDescent="0.25">
      <c r="L103" s="1"/>
      <c r="M103" s="13"/>
    </row>
    <row r="104" spans="12:13" x14ac:dyDescent="0.25">
      <c r="L104" s="1"/>
      <c r="M104" s="13"/>
    </row>
    <row r="105" spans="12:13" x14ac:dyDescent="0.25">
      <c r="L105" s="1"/>
      <c r="M105" s="13"/>
    </row>
    <row r="106" spans="12:13" x14ac:dyDescent="0.25">
      <c r="L106" s="1"/>
      <c r="M106" s="13"/>
    </row>
    <row r="107" spans="12:13" x14ac:dyDescent="0.25">
      <c r="L107" s="1"/>
      <c r="M107" s="13"/>
    </row>
    <row r="108" spans="12:13" x14ac:dyDescent="0.25">
      <c r="L108" s="1"/>
      <c r="M108" s="13"/>
    </row>
    <row r="109" spans="12:13" x14ac:dyDescent="0.25">
      <c r="L109" s="1"/>
      <c r="M109" s="13"/>
    </row>
    <row r="110" spans="12:13" x14ac:dyDescent="0.25">
      <c r="L110" s="1"/>
      <c r="M110" s="13"/>
    </row>
    <row r="111" spans="12:13" x14ac:dyDescent="0.25">
      <c r="L111" s="1"/>
      <c r="M111" s="13"/>
    </row>
    <row r="112" spans="12:13" x14ac:dyDescent="0.25">
      <c r="L112" s="1"/>
      <c r="M112" s="13"/>
    </row>
    <row r="113" spans="12:13" x14ac:dyDescent="0.25">
      <c r="L113" s="1"/>
      <c r="M113" s="13"/>
    </row>
    <row r="114" spans="12:13" x14ac:dyDescent="0.25">
      <c r="L114" s="1"/>
      <c r="M114" s="13"/>
    </row>
    <row r="115" spans="12:13" x14ac:dyDescent="0.25">
      <c r="L115" s="1"/>
      <c r="M115" s="13"/>
    </row>
    <row r="116" spans="12:13" x14ac:dyDescent="0.25">
      <c r="L116" s="1"/>
      <c r="M116" s="13"/>
    </row>
    <row r="117" spans="12:13" x14ac:dyDescent="0.25">
      <c r="L117" s="1"/>
      <c r="M117" s="13"/>
    </row>
    <row r="118" spans="12:13" x14ac:dyDescent="0.25">
      <c r="L118" s="1"/>
      <c r="M118" s="13"/>
    </row>
    <row r="119" spans="12:13" x14ac:dyDescent="0.25">
      <c r="L119" s="1"/>
      <c r="M119" s="13"/>
    </row>
    <row r="120" spans="12:13" x14ac:dyDescent="0.25">
      <c r="L120" s="1"/>
      <c r="M120" s="13"/>
    </row>
    <row r="121" spans="12:13" x14ac:dyDescent="0.25">
      <c r="L121" s="1"/>
      <c r="M121" s="13"/>
    </row>
    <row r="122" spans="12:13" x14ac:dyDescent="0.25">
      <c r="L122" s="1"/>
      <c r="M122" s="13"/>
    </row>
    <row r="123" spans="12:13" x14ac:dyDescent="0.25">
      <c r="L123" s="1"/>
      <c r="M123" s="13"/>
    </row>
    <row r="124" spans="12:13" x14ac:dyDescent="0.25">
      <c r="L124" s="1"/>
      <c r="M124" s="13"/>
    </row>
    <row r="125" spans="12:13" x14ac:dyDescent="0.25">
      <c r="L125" s="1"/>
      <c r="M125" s="13"/>
    </row>
    <row r="126" spans="12:13" x14ac:dyDescent="0.25">
      <c r="L126" s="1"/>
      <c r="M126" s="13"/>
    </row>
    <row r="127" spans="12:13" x14ac:dyDescent="0.25">
      <c r="L127" s="1"/>
      <c r="M127" s="13"/>
    </row>
    <row r="128" spans="12:13" x14ac:dyDescent="0.25">
      <c r="L128" s="1"/>
      <c r="M128" s="13"/>
    </row>
    <row r="129" spans="12:13" x14ac:dyDescent="0.25">
      <c r="L129" s="1"/>
      <c r="M129" s="13"/>
    </row>
    <row r="130" spans="12:13" x14ac:dyDescent="0.25">
      <c r="L130" s="1"/>
      <c r="M130" s="13"/>
    </row>
    <row r="131" spans="12:13" x14ac:dyDescent="0.25">
      <c r="L131" s="1"/>
      <c r="M131" s="13"/>
    </row>
    <row r="132" spans="12:13" x14ac:dyDescent="0.25">
      <c r="L132" s="1"/>
      <c r="M132" s="13"/>
    </row>
    <row r="133" spans="12:13" x14ac:dyDescent="0.25">
      <c r="L133" s="1"/>
      <c r="M133" s="13"/>
    </row>
    <row r="134" spans="12:13" x14ac:dyDescent="0.25">
      <c r="L134" s="1"/>
      <c r="M134" s="13"/>
    </row>
    <row r="135" spans="12:13" x14ac:dyDescent="0.25">
      <c r="L135" s="1"/>
      <c r="M135" s="13"/>
    </row>
    <row r="136" spans="12:13" x14ac:dyDescent="0.25">
      <c r="L136" s="1"/>
      <c r="M136" s="13"/>
    </row>
    <row r="137" spans="12:13" x14ac:dyDescent="0.25">
      <c r="L137" s="1"/>
      <c r="M137" s="13"/>
    </row>
    <row r="138" spans="12:13" x14ac:dyDescent="0.25">
      <c r="L138" s="1"/>
      <c r="M138" s="13"/>
    </row>
    <row r="139" spans="12:13" x14ac:dyDescent="0.25">
      <c r="L139" s="1"/>
      <c r="M139" s="13"/>
    </row>
    <row r="140" spans="12:13" x14ac:dyDescent="0.25">
      <c r="L140" s="1"/>
      <c r="M140" s="13"/>
    </row>
    <row r="141" spans="12:13" x14ac:dyDescent="0.25">
      <c r="L141" s="1"/>
      <c r="M141" s="13"/>
    </row>
    <row r="142" spans="12:13" x14ac:dyDescent="0.25">
      <c r="L142" s="1"/>
      <c r="M142" s="13"/>
    </row>
    <row r="143" spans="12:13" x14ac:dyDescent="0.25">
      <c r="L143" s="1"/>
      <c r="M143" s="13"/>
    </row>
    <row r="144" spans="12:13" x14ac:dyDescent="0.25">
      <c r="L144" s="1"/>
      <c r="M144" s="13"/>
    </row>
    <row r="145" spans="12:13" x14ac:dyDescent="0.25">
      <c r="L145" s="1"/>
      <c r="M145" s="13"/>
    </row>
    <row r="146" spans="12:13" x14ac:dyDescent="0.25">
      <c r="L146" s="1"/>
      <c r="M146" s="13"/>
    </row>
    <row r="147" spans="12:13" x14ac:dyDescent="0.25">
      <c r="L147" s="1"/>
      <c r="M147" s="13"/>
    </row>
    <row r="148" spans="12:13" x14ac:dyDescent="0.25">
      <c r="L148" s="1"/>
      <c r="M148" s="13"/>
    </row>
    <row r="149" spans="12:13" x14ac:dyDescent="0.25">
      <c r="L149" s="1"/>
      <c r="M149" s="13"/>
    </row>
    <row r="150" spans="12:13" x14ac:dyDescent="0.25">
      <c r="L150" s="1"/>
      <c r="M150" s="13"/>
    </row>
    <row r="151" spans="12:13" x14ac:dyDescent="0.25">
      <c r="L151" s="1"/>
      <c r="M151" s="13"/>
    </row>
    <row r="152" spans="12:13" x14ac:dyDescent="0.25">
      <c r="L152" s="1"/>
      <c r="M152" s="13"/>
    </row>
    <row r="153" spans="12:13" x14ac:dyDescent="0.25">
      <c r="L153" s="1"/>
      <c r="M153" s="13"/>
    </row>
    <row r="154" spans="12:13" x14ac:dyDescent="0.25">
      <c r="L154" s="1"/>
      <c r="M154" s="13"/>
    </row>
    <row r="155" spans="12:13" x14ac:dyDescent="0.25">
      <c r="L155" s="1"/>
      <c r="M155" s="13"/>
    </row>
    <row r="156" spans="12:13" x14ac:dyDescent="0.25">
      <c r="L156" s="1"/>
      <c r="M156" s="13"/>
    </row>
    <row r="157" spans="12:13" x14ac:dyDescent="0.25">
      <c r="L157" s="1"/>
      <c r="M157" s="13"/>
    </row>
    <row r="158" spans="12:13" x14ac:dyDescent="0.25">
      <c r="L158" s="1"/>
      <c r="M158" s="13"/>
    </row>
    <row r="159" spans="12:13" x14ac:dyDescent="0.25">
      <c r="L159" s="1"/>
      <c r="M159" s="13"/>
    </row>
    <row r="160" spans="12:13" x14ac:dyDescent="0.25">
      <c r="L160" s="1"/>
      <c r="M160" s="13"/>
    </row>
    <row r="161" spans="12:13" x14ac:dyDescent="0.25">
      <c r="L161" s="1"/>
      <c r="M161" s="13"/>
    </row>
    <row r="162" spans="12:13" x14ac:dyDescent="0.25">
      <c r="L162" s="1"/>
      <c r="M162" s="13"/>
    </row>
    <row r="163" spans="12:13" x14ac:dyDescent="0.25">
      <c r="L163" s="1"/>
      <c r="M163" s="13"/>
    </row>
    <row r="164" spans="12:13" x14ac:dyDescent="0.25">
      <c r="L164" s="1"/>
      <c r="M164" s="13"/>
    </row>
    <row r="165" spans="12:13" x14ac:dyDescent="0.25">
      <c r="L165" s="1"/>
      <c r="M165" s="13"/>
    </row>
    <row r="166" spans="12:13" x14ac:dyDescent="0.25">
      <c r="L166" s="1"/>
      <c r="M166" s="13"/>
    </row>
    <row r="167" spans="12:13" x14ac:dyDescent="0.25">
      <c r="L167" s="1"/>
      <c r="M167" s="13"/>
    </row>
    <row r="168" spans="12:13" x14ac:dyDescent="0.25">
      <c r="L168" s="1"/>
      <c r="M168" s="13"/>
    </row>
    <row r="169" spans="12:13" x14ac:dyDescent="0.25">
      <c r="L169" s="1"/>
      <c r="M169" s="13"/>
    </row>
    <row r="170" spans="12:13" x14ac:dyDescent="0.25">
      <c r="L170" s="1"/>
      <c r="M170" s="13"/>
    </row>
    <row r="171" spans="12:13" x14ac:dyDescent="0.25">
      <c r="L171" s="1"/>
      <c r="M171" s="13"/>
    </row>
    <row r="172" spans="12:13" x14ac:dyDescent="0.25">
      <c r="L172" s="1"/>
      <c r="M172" s="13"/>
    </row>
    <row r="173" spans="12:13" x14ac:dyDescent="0.25">
      <c r="L173" s="1"/>
      <c r="M173" s="13"/>
    </row>
    <row r="174" spans="12:13" x14ac:dyDescent="0.25">
      <c r="L174" s="1"/>
      <c r="M174" s="13"/>
    </row>
    <row r="175" spans="12:13" x14ac:dyDescent="0.25">
      <c r="L175" s="1"/>
      <c r="M175" s="13"/>
    </row>
    <row r="176" spans="12:13" x14ac:dyDescent="0.25">
      <c r="L176" s="1"/>
      <c r="M176" s="13"/>
    </row>
    <row r="177" spans="12:13" x14ac:dyDescent="0.25">
      <c r="L177" s="1"/>
      <c r="M177" s="13"/>
    </row>
    <row r="178" spans="12:13" x14ac:dyDescent="0.25">
      <c r="L178" s="1"/>
      <c r="M178" s="13"/>
    </row>
    <row r="179" spans="12:13" x14ac:dyDescent="0.25">
      <c r="L179" s="1"/>
      <c r="M179" s="13"/>
    </row>
    <row r="180" spans="12:13" x14ac:dyDescent="0.25">
      <c r="L180" s="1"/>
      <c r="M180" s="13"/>
    </row>
    <row r="181" spans="12:13" x14ac:dyDescent="0.25">
      <c r="L181" s="1"/>
      <c r="M181" s="13"/>
    </row>
    <row r="182" spans="12:13" x14ac:dyDescent="0.25">
      <c r="L182" s="1"/>
      <c r="M182" s="13"/>
    </row>
    <row r="183" spans="12:13" x14ac:dyDescent="0.25">
      <c r="L183" s="1"/>
      <c r="M183" s="13"/>
    </row>
    <row r="184" spans="12:13" x14ac:dyDescent="0.25">
      <c r="L184" s="1"/>
      <c r="M184" s="13"/>
    </row>
    <row r="185" spans="12:13" x14ac:dyDescent="0.25">
      <c r="L185" s="1"/>
      <c r="M185" s="13"/>
    </row>
    <row r="186" spans="12:13" x14ac:dyDescent="0.25">
      <c r="L186" s="1"/>
      <c r="M186" s="13"/>
    </row>
    <row r="187" spans="12:13" x14ac:dyDescent="0.25">
      <c r="L187" s="1"/>
      <c r="M187" s="13"/>
    </row>
    <row r="188" spans="12:13" x14ac:dyDescent="0.25">
      <c r="L188" s="1"/>
      <c r="M188" s="13"/>
    </row>
    <row r="189" spans="12:13" x14ac:dyDescent="0.25">
      <c r="L189" s="1"/>
      <c r="M189" s="13"/>
    </row>
    <row r="190" spans="12:13" x14ac:dyDescent="0.25">
      <c r="L190" s="1"/>
      <c r="M190" s="13"/>
    </row>
    <row r="191" spans="12:13" x14ac:dyDescent="0.25">
      <c r="L191" s="1"/>
      <c r="M191" s="13"/>
    </row>
    <row r="192" spans="12:13" x14ac:dyDescent="0.25">
      <c r="L192" s="1"/>
      <c r="M192" s="13"/>
    </row>
    <row r="193" spans="12:13" x14ac:dyDescent="0.25">
      <c r="L193" s="1"/>
      <c r="M193" s="13"/>
    </row>
    <row r="194" spans="12:13" x14ac:dyDescent="0.25">
      <c r="L194" s="1"/>
      <c r="M194" s="13"/>
    </row>
    <row r="195" spans="12:13" x14ac:dyDescent="0.25">
      <c r="L195" s="1"/>
      <c r="M195" s="13"/>
    </row>
    <row r="196" spans="12:13" x14ac:dyDescent="0.25">
      <c r="L196" s="1"/>
      <c r="M196" s="13"/>
    </row>
    <row r="197" spans="12:13" x14ac:dyDescent="0.25">
      <c r="L197" s="1"/>
      <c r="M197" s="13"/>
    </row>
    <row r="198" spans="12:13" x14ac:dyDescent="0.25">
      <c r="L198" s="1"/>
      <c r="M198" s="13"/>
    </row>
    <row r="199" spans="12:13" x14ac:dyDescent="0.25">
      <c r="L199" s="1"/>
      <c r="M199" s="13"/>
    </row>
    <row r="200" spans="12:13" x14ac:dyDescent="0.25">
      <c r="L200" s="1"/>
      <c r="M200" s="13"/>
    </row>
    <row r="201" spans="12:13" x14ac:dyDescent="0.25">
      <c r="L201" s="1"/>
      <c r="M201" s="13"/>
    </row>
    <row r="202" spans="12:13" x14ac:dyDescent="0.25">
      <c r="L202" s="1"/>
      <c r="M202" s="13"/>
    </row>
    <row r="203" spans="12:13" x14ac:dyDescent="0.25">
      <c r="L203" s="1"/>
      <c r="M203" s="13"/>
    </row>
    <row r="204" spans="12:13" x14ac:dyDescent="0.25">
      <c r="L204" s="1"/>
      <c r="M204" s="13"/>
    </row>
    <row r="205" spans="12:13" x14ac:dyDescent="0.25">
      <c r="L205" s="1"/>
      <c r="M205" s="13"/>
    </row>
    <row r="206" spans="12:13" x14ac:dyDescent="0.25">
      <c r="L206" s="1"/>
      <c r="M206" s="13"/>
    </row>
    <row r="207" spans="12:13" x14ac:dyDescent="0.25">
      <c r="L207" s="1"/>
      <c r="M207" s="13"/>
    </row>
    <row r="208" spans="12:13" x14ac:dyDescent="0.25">
      <c r="L208" s="1"/>
      <c r="M208" s="13"/>
    </row>
    <row r="209" spans="12:13" x14ac:dyDescent="0.25">
      <c r="L209" s="1"/>
      <c r="M209" s="13"/>
    </row>
    <row r="210" spans="12:13" x14ac:dyDescent="0.25">
      <c r="L210" s="1"/>
      <c r="M210" s="13"/>
    </row>
    <row r="211" spans="12:13" x14ac:dyDescent="0.25">
      <c r="L211" s="1"/>
      <c r="M211" s="13"/>
    </row>
    <row r="212" spans="12:13" x14ac:dyDescent="0.25">
      <c r="L212" s="1"/>
      <c r="M212" s="13"/>
    </row>
    <row r="213" spans="12:13" x14ac:dyDescent="0.25">
      <c r="L213" s="1"/>
      <c r="M213" s="13"/>
    </row>
    <row r="214" spans="12:13" x14ac:dyDescent="0.25">
      <c r="L214" s="1"/>
      <c r="M214" s="13"/>
    </row>
    <row r="215" spans="12:13" x14ac:dyDescent="0.25">
      <c r="L215" s="1"/>
      <c r="M215" s="13"/>
    </row>
    <row r="216" spans="12:13" x14ac:dyDescent="0.25">
      <c r="L216" s="1"/>
      <c r="M216" s="13"/>
    </row>
    <row r="217" spans="12:13" x14ac:dyDescent="0.25">
      <c r="L217" s="1"/>
      <c r="M217" s="13"/>
    </row>
    <row r="218" spans="12:13" x14ac:dyDescent="0.25">
      <c r="L218" s="1"/>
      <c r="M218" s="13"/>
    </row>
    <row r="219" spans="12:13" x14ac:dyDescent="0.25">
      <c r="L219" s="1"/>
      <c r="M219" s="13"/>
    </row>
    <row r="220" spans="12:13" x14ac:dyDescent="0.25">
      <c r="L220" s="1"/>
      <c r="M220" s="13"/>
    </row>
    <row r="221" spans="12:13" x14ac:dyDescent="0.25">
      <c r="L221" s="1"/>
      <c r="M221" s="13"/>
    </row>
    <row r="222" spans="12:13" x14ac:dyDescent="0.25">
      <c r="L222" s="1"/>
      <c r="M222" s="13"/>
    </row>
    <row r="223" spans="12:13" x14ac:dyDescent="0.25">
      <c r="L223" s="1"/>
      <c r="M223" s="13"/>
    </row>
    <row r="224" spans="12:13" x14ac:dyDescent="0.25">
      <c r="L224" s="1"/>
      <c r="M224" s="13"/>
    </row>
    <row r="225" spans="12:13" x14ac:dyDescent="0.25">
      <c r="L225" s="1"/>
      <c r="M225" s="13"/>
    </row>
    <row r="226" spans="12:13" x14ac:dyDescent="0.25">
      <c r="L226" s="1"/>
      <c r="M226" s="13"/>
    </row>
    <row r="227" spans="12:13" x14ac:dyDescent="0.25">
      <c r="L227" s="1"/>
      <c r="M227" s="13"/>
    </row>
    <row r="228" spans="12:13" x14ac:dyDescent="0.25">
      <c r="L228" s="1"/>
      <c r="M228" s="13"/>
    </row>
    <row r="229" spans="12:13" x14ac:dyDescent="0.25">
      <c r="L229" s="1"/>
      <c r="M229" s="13"/>
    </row>
    <row r="230" spans="12:13" x14ac:dyDescent="0.25">
      <c r="L230" s="1"/>
      <c r="M230" s="13"/>
    </row>
    <row r="231" spans="12:13" x14ac:dyDescent="0.25">
      <c r="L231" s="1"/>
      <c r="M231" s="13"/>
    </row>
    <row r="232" spans="12:13" x14ac:dyDescent="0.25">
      <c r="L232" s="1"/>
      <c r="M232" s="13"/>
    </row>
    <row r="233" spans="12:13" x14ac:dyDescent="0.25">
      <c r="L233" s="1"/>
      <c r="M233" s="13"/>
    </row>
    <row r="234" spans="12:13" x14ac:dyDescent="0.25">
      <c r="L234" s="1"/>
      <c r="M234" s="13"/>
    </row>
    <row r="235" spans="12:13" x14ac:dyDescent="0.25">
      <c r="L235" s="1"/>
      <c r="M235" s="13"/>
    </row>
    <row r="236" spans="12:13" x14ac:dyDescent="0.25">
      <c r="L236" s="1"/>
      <c r="M236" s="13"/>
    </row>
    <row r="237" spans="12:13" x14ac:dyDescent="0.25">
      <c r="L237" s="1"/>
      <c r="M237" s="13"/>
    </row>
    <row r="238" spans="12:13" x14ac:dyDescent="0.25">
      <c r="L238" s="1"/>
      <c r="M238" s="13"/>
    </row>
    <row r="239" spans="12:13" x14ac:dyDescent="0.25">
      <c r="L239" s="1"/>
      <c r="M239" s="13"/>
    </row>
    <row r="240" spans="12:13" x14ac:dyDescent="0.25">
      <c r="L240" s="1"/>
      <c r="M240" s="13"/>
    </row>
    <row r="241" spans="12:13" x14ac:dyDescent="0.25">
      <c r="L241" s="1"/>
      <c r="M241" s="13"/>
    </row>
    <row r="242" spans="12:13" x14ac:dyDescent="0.25">
      <c r="L242" s="1"/>
      <c r="M242" s="13"/>
    </row>
    <row r="243" spans="12:13" x14ac:dyDescent="0.25">
      <c r="L243" s="1"/>
      <c r="M243" s="13"/>
    </row>
    <row r="244" spans="12:13" x14ac:dyDescent="0.25">
      <c r="L244" s="1"/>
      <c r="M244" s="13"/>
    </row>
    <row r="245" spans="12:13" x14ac:dyDescent="0.25">
      <c r="L245" s="1"/>
      <c r="M245" s="13"/>
    </row>
    <row r="246" spans="12:13" x14ac:dyDescent="0.25">
      <c r="L246" s="1"/>
      <c r="M246" s="13"/>
    </row>
    <row r="247" spans="12:13" x14ac:dyDescent="0.25">
      <c r="L247" s="1"/>
      <c r="M247" s="13"/>
    </row>
    <row r="248" spans="12:13" x14ac:dyDescent="0.25">
      <c r="L248" s="1"/>
      <c r="M248" s="13"/>
    </row>
    <row r="249" spans="12:13" x14ac:dyDescent="0.25">
      <c r="L249" s="1"/>
      <c r="M249" s="13"/>
    </row>
    <row r="250" spans="12:13" x14ac:dyDescent="0.25">
      <c r="L250" s="1"/>
      <c r="M250" s="13"/>
    </row>
  </sheetData>
  <conditionalFormatting sqref="A251:K1048576 L1:XFD1048576 A1:F250">
    <cfRule type="cellIs" dxfId="7" priority="2" operator="equal">
      <formula>0</formula>
    </cfRule>
  </conditionalFormatting>
  <conditionalFormatting sqref="G1:K250">
    <cfRule type="cellIs" dxfId="6" priority="1" operator="equal">
      <formula>0</formula>
    </cfRule>
  </conditionalFormatting>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8835B-45E9-4A22-BBFE-769130228291}">
  <dimension ref="A1:AA252"/>
  <sheetViews>
    <sheetView workbookViewId="0">
      <selection activeCell="A3" sqref="A3"/>
    </sheetView>
  </sheetViews>
  <sheetFormatPr defaultRowHeight="15" x14ac:dyDescent="0.25"/>
  <cols>
    <col min="1" max="1" width="10.140625" bestFit="1" customWidth="1"/>
    <col min="2" max="2" width="13.28515625" bestFit="1" customWidth="1"/>
    <col min="3" max="3" width="10.5703125" bestFit="1" customWidth="1"/>
    <col min="4" max="4" width="23.7109375" bestFit="1" customWidth="1"/>
    <col min="5" max="5" width="2.7109375" customWidth="1"/>
    <col min="7" max="8" width="11.85546875" bestFit="1" customWidth="1"/>
    <col min="9" max="9" width="10.5703125" bestFit="1" customWidth="1"/>
    <col min="10" max="10" width="12.140625" bestFit="1" customWidth="1"/>
    <col min="11" max="11" width="15.28515625" bestFit="1" customWidth="1"/>
    <col min="12" max="12" width="30.7109375" bestFit="1" customWidth="1"/>
    <col min="13" max="13" width="6" bestFit="1" customWidth="1"/>
    <col min="14" max="14" width="6.85546875" bestFit="1" customWidth="1"/>
    <col min="15" max="15" width="10.42578125" bestFit="1" customWidth="1"/>
    <col min="16" max="16" width="2.7109375" customWidth="1"/>
    <col min="17" max="17" width="22" bestFit="1" customWidth="1"/>
    <col min="18" max="18" width="4.5703125" bestFit="1" customWidth="1"/>
    <col min="19" max="20" width="11.85546875" bestFit="1" customWidth="1"/>
    <col min="21" max="21" width="10.5703125" bestFit="1" customWidth="1"/>
    <col min="22" max="22" width="12.140625" bestFit="1" customWidth="1"/>
    <col min="23" max="23" width="16.140625" bestFit="1" customWidth="1"/>
    <col min="24" max="24" width="30.7109375" bestFit="1" customWidth="1"/>
    <col min="25" max="25" width="6" bestFit="1" customWidth="1"/>
    <col min="26" max="26" width="6.85546875" bestFit="1" customWidth="1"/>
    <col min="27" max="27" width="10.42578125" bestFit="1" customWidth="1"/>
  </cols>
  <sheetData>
    <row r="1" spans="1:27" ht="15.75" x14ac:dyDescent="0.25">
      <c r="F1" s="130" t="s">
        <v>625</v>
      </c>
      <c r="G1" s="130"/>
      <c r="H1" s="130"/>
      <c r="I1" s="130"/>
      <c r="J1" s="130"/>
      <c r="K1" s="130"/>
      <c r="L1" s="130"/>
      <c r="M1" s="130"/>
      <c r="N1" s="130"/>
      <c r="O1" s="130"/>
    </row>
    <row r="2" spans="1:27" x14ac:dyDescent="0.25">
      <c r="A2" s="63" t="s">
        <v>0</v>
      </c>
      <c r="B2" s="63" t="s">
        <v>1</v>
      </c>
      <c r="C2" s="63" t="s">
        <v>2</v>
      </c>
      <c r="D2" s="63" t="s">
        <v>339</v>
      </c>
      <c r="E2" s="63"/>
      <c r="F2" s="63" t="s">
        <v>612</v>
      </c>
      <c r="G2" s="63" t="s">
        <v>619</v>
      </c>
      <c r="H2" s="63" t="s">
        <v>618</v>
      </c>
      <c r="I2" s="63" t="s">
        <v>620</v>
      </c>
      <c r="J2" s="63" t="s">
        <v>621</v>
      </c>
      <c r="K2" s="63" t="s">
        <v>622</v>
      </c>
      <c r="L2" s="63" t="s">
        <v>623</v>
      </c>
      <c r="M2" s="63" t="s">
        <v>614</v>
      </c>
      <c r="N2" s="63" t="s">
        <v>613</v>
      </c>
      <c r="O2" s="63" t="s">
        <v>617</v>
      </c>
      <c r="P2" s="63"/>
      <c r="Q2" s="2" t="s">
        <v>615</v>
      </c>
      <c r="R2" s="2" t="s">
        <v>612</v>
      </c>
      <c r="S2" s="2" t="s">
        <v>619</v>
      </c>
      <c r="T2" s="2" t="s">
        <v>618</v>
      </c>
      <c r="U2" s="2" t="s">
        <v>620</v>
      </c>
      <c r="V2" s="2" t="s">
        <v>621</v>
      </c>
      <c r="W2" s="2" t="s">
        <v>622</v>
      </c>
      <c r="X2" s="2" t="s">
        <v>623</v>
      </c>
      <c r="Y2" s="2" t="s">
        <v>614</v>
      </c>
      <c r="Z2" s="2" t="s">
        <v>613</v>
      </c>
      <c r="AA2" s="2" t="s">
        <v>617</v>
      </c>
    </row>
    <row r="3" spans="1:27" x14ac:dyDescent="0.25">
      <c r="A3" s="64" t="str">
        <f>TRIM('Account Creation'!D2)</f>
        <v>Ramirez</v>
      </c>
      <c r="B3" s="64" t="str">
        <f>TRIM('Account Creation'!C2)</f>
        <v>Jose</v>
      </c>
      <c r="C3" s="64" t="str">
        <f>TRIM('Account Creation'!B2)</f>
        <v>Cristian</v>
      </c>
      <c r="D3" s="64" t="str">
        <f>TRIM('Help Desk'!D2)</f>
        <v>vn54tqf</v>
      </c>
      <c r="E3" s="65"/>
      <c r="F3" s="66"/>
      <c r="G3" s="66"/>
      <c r="H3" s="66"/>
      <c r="I3" s="66"/>
      <c r="J3" s="66"/>
      <c r="K3" s="66"/>
      <c r="L3" s="66"/>
      <c r="M3" s="66"/>
      <c r="N3" s="66"/>
      <c r="O3" s="66"/>
      <c r="P3" s="65"/>
      <c r="Q3" s="67" cm="1">
        <f t="array" ref="Q3">SUMPRODUCT(--(LEN(D3:D252)&gt;1))</f>
        <v>15</v>
      </c>
      <c r="R3" s="67">
        <f>COUNTIF(F3:F252,"*X*")</f>
        <v>0</v>
      </c>
      <c r="S3" s="67">
        <f t="shared" ref="S3:AA3" si="0">COUNTIF(G3:G252,"*X*")</f>
        <v>0</v>
      </c>
      <c r="T3" s="67">
        <f t="shared" si="0"/>
        <v>0</v>
      </c>
      <c r="U3" s="67">
        <f t="shared" si="0"/>
        <v>0</v>
      </c>
      <c r="V3" s="67">
        <f t="shared" si="0"/>
        <v>0</v>
      </c>
      <c r="W3" s="67">
        <f t="shared" si="0"/>
        <v>0</v>
      </c>
      <c r="X3" s="67">
        <f t="shared" si="0"/>
        <v>0</v>
      </c>
      <c r="Y3" s="67">
        <f t="shared" si="0"/>
        <v>0</v>
      </c>
      <c r="Z3" s="67">
        <f t="shared" si="0"/>
        <v>0</v>
      </c>
      <c r="AA3" s="67">
        <f t="shared" si="0"/>
        <v>0</v>
      </c>
    </row>
    <row r="4" spans="1:27" ht="15.75" thickBot="1" x14ac:dyDescent="0.3">
      <c r="A4" s="64" t="str">
        <f>TRIM('Account Creation'!D3)</f>
        <v>Garcia</v>
      </c>
      <c r="B4" s="64" t="str">
        <f>TRIM('Account Creation'!C3)</f>
        <v>Gabriela</v>
      </c>
      <c r="C4" s="64" t="str">
        <f>TRIM('Account Creation'!B3)</f>
        <v>Claudia</v>
      </c>
      <c r="D4" s="64" t="str">
        <f>TRIM('Help Desk'!D3)</f>
        <v>vn54tqh</v>
      </c>
      <c r="E4" s="65"/>
      <c r="F4" s="66"/>
      <c r="G4" s="66"/>
      <c r="H4" s="66"/>
      <c r="I4" s="66"/>
      <c r="J4" s="66"/>
      <c r="K4" s="66"/>
      <c r="L4" s="66"/>
      <c r="M4" s="66"/>
      <c r="N4" s="66"/>
      <c r="O4" s="66"/>
      <c r="P4" s="65"/>
      <c r="Q4" s="62"/>
      <c r="R4" s="62"/>
      <c r="S4" s="62"/>
      <c r="T4" s="62"/>
      <c r="U4" s="62"/>
      <c r="V4" s="62"/>
      <c r="W4" s="62"/>
      <c r="X4" s="62"/>
      <c r="Y4" s="62"/>
      <c r="Z4" s="62"/>
      <c r="AA4" s="62"/>
    </row>
    <row r="5" spans="1:27" ht="15.75" thickTop="1" x14ac:dyDescent="0.25">
      <c r="A5" s="64" t="str">
        <f>TRIM('Account Creation'!D4)</f>
        <v>Hernandez</v>
      </c>
      <c r="B5" s="64" t="str">
        <f>TRIM('Account Creation'!C4)</f>
        <v>Fernando</v>
      </c>
      <c r="C5" s="64" t="str">
        <f>TRIM('Account Creation'!B4)</f>
        <v>Luis</v>
      </c>
      <c r="D5" s="64" t="str">
        <f>TRIM('Help Desk'!D4)</f>
        <v>vn54tqj</v>
      </c>
      <c r="E5" s="65"/>
      <c r="F5" s="66"/>
      <c r="G5" s="66"/>
      <c r="H5" s="66"/>
      <c r="I5" s="66"/>
      <c r="J5" s="66"/>
      <c r="K5" s="66"/>
      <c r="L5" s="66"/>
      <c r="M5" s="66"/>
      <c r="N5" s="66"/>
      <c r="O5" s="66"/>
      <c r="P5" s="65"/>
      <c r="Q5" s="122" t="s">
        <v>624</v>
      </c>
      <c r="R5" s="123"/>
      <c r="S5" s="123"/>
      <c r="T5" s="123"/>
      <c r="U5" s="123"/>
      <c r="V5" s="123"/>
      <c r="W5" s="123"/>
      <c r="X5" s="123"/>
      <c r="Y5" s="123"/>
      <c r="Z5" s="123"/>
      <c r="AA5" s="124"/>
    </row>
    <row r="6" spans="1:27" x14ac:dyDescent="0.25">
      <c r="A6" s="64" t="str">
        <f>TRIM('Account Creation'!D5)</f>
        <v>Marroquin</v>
      </c>
      <c r="B6" s="64" t="str">
        <f>TRIM('Account Creation'!C5)</f>
        <v>Bernice</v>
      </c>
      <c r="C6" s="64" t="str">
        <f>TRIM('Account Creation'!B5)</f>
        <v>Sofia</v>
      </c>
      <c r="D6" s="64" t="str">
        <f>TRIM('Help Desk'!D5)</f>
        <v>vn54tql</v>
      </c>
      <c r="E6" s="65"/>
      <c r="F6" s="66"/>
      <c r="G6" s="66"/>
      <c r="H6" s="66"/>
      <c r="I6" s="66"/>
      <c r="J6" s="66"/>
      <c r="K6" s="66"/>
      <c r="L6" s="66"/>
      <c r="M6" s="66"/>
      <c r="N6" s="66"/>
      <c r="O6" s="66"/>
      <c r="P6" s="65"/>
      <c r="Q6" s="125"/>
      <c r="R6" s="126"/>
      <c r="S6" s="126"/>
      <c r="T6" s="126"/>
      <c r="U6" s="126"/>
      <c r="V6" s="126"/>
      <c r="W6" s="126"/>
      <c r="X6" s="126"/>
      <c r="Y6" s="126"/>
      <c r="Z6" s="126"/>
      <c r="AA6" s="127"/>
    </row>
    <row r="7" spans="1:27" ht="15.75" thickBot="1" x14ac:dyDescent="0.3">
      <c r="A7" s="64" t="str">
        <f>TRIM('Account Creation'!D6)</f>
        <v>Zamora</v>
      </c>
      <c r="B7" s="64" t="str">
        <f>TRIM('Account Creation'!C6)</f>
        <v>Benjamin</v>
      </c>
      <c r="C7" s="64" t="str">
        <f>TRIM('Account Creation'!B6)</f>
        <v>Guillermo</v>
      </c>
      <c r="D7" s="64" t="str">
        <f>TRIM('Help Desk'!D6)</f>
        <v>vn54tqn</v>
      </c>
      <c r="E7" s="65"/>
      <c r="F7" s="66"/>
      <c r="G7" s="66"/>
      <c r="H7" s="66"/>
      <c r="I7" s="66"/>
      <c r="J7" s="66"/>
      <c r="K7" s="66"/>
      <c r="L7" s="66"/>
      <c r="M7" s="66"/>
      <c r="N7" s="66"/>
      <c r="O7" s="66"/>
      <c r="P7" s="65"/>
      <c r="Q7" s="125"/>
      <c r="R7" s="126"/>
      <c r="S7" s="126"/>
      <c r="T7" s="126"/>
      <c r="U7" s="126"/>
      <c r="V7" s="126"/>
      <c r="W7" s="126"/>
      <c r="X7" s="126"/>
      <c r="Y7" s="128"/>
      <c r="Z7" s="128"/>
      <c r="AA7" s="129"/>
    </row>
    <row r="8" spans="1:27" ht="16.5" thickTop="1" thickBot="1" x14ac:dyDescent="0.3">
      <c r="A8" s="64" t="str">
        <f>TRIM('Account Creation'!D7)</f>
        <v>Santizo</v>
      </c>
      <c r="B8" s="64" t="str">
        <f>TRIM('Account Creation'!C7)</f>
        <v>Gabriela</v>
      </c>
      <c r="C8" s="64" t="str">
        <f>TRIM('Account Creation'!B7)</f>
        <v>Katherine</v>
      </c>
      <c r="D8" s="64" t="str">
        <f>TRIM('Help Desk'!D7)</f>
        <v>vn54tqo</v>
      </c>
      <c r="E8" s="65"/>
      <c r="F8" s="66"/>
      <c r="G8" s="66"/>
      <c r="H8" s="66"/>
      <c r="I8" s="66"/>
      <c r="J8" s="66"/>
      <c r="K8" s="66"/>
      <c r="L8" s="66"/>
      <c r="M8" s="66"/>
      <c r="N8" s="66"/>
      <c r="O8" s="66"/>
      <c r="P8" s="69"/>
      <c r="Q8" s="131" t="s">
        <v>626</v>
      </c>
      <c r="R8" s="132"/>
      <c r="S8" s="132"/>
      <c r="T8" s="132"/>
      <c r="U8" s="132"/>
      <c r="V8" s="132"/>
      <c r="W8" s="133"/>
      <c r="X8" s="70" t="s">
        <v>627</v>
      </c>
      <c r="Y8" s="68"/>
      <c r="Z8" s="68"/>
      <c r="AA8" s="68"/>
    </row>
    <row r="9" spans="1:27" x14ac:dyDescent="0.25">
      <c r="A9" s="64" t="str">
        <f>TRIM('Account Creation'!D8)</f>
        <v>Manrique</v>
      </c>
      <c r="B9" s="64" t="str">
        <f>TRIM('Account Creation'!C8)</f>
        <v>David</v>
      </c>
      <c r="C9" s="64" t="str">
        <f>TRIM('Account Creation'!B8)</f>
        <v>Josue</v>
      </c>
      <c r="D9" s="64" t="str">
        <f>TRIM('Help Desk'!D8)</f>
        <v>vn54tqq</v>
      </c>
      <c r="E9" s="65"/>
      <c r="F9" s="66"/>
      <c r="G9" s="66"/>
      <c r="H9" s="66"/>
      <c r="I9" s="66"/>
      <c r="J9" s="66"/>
      <c r="K9" s="66"/>
      <c r="L9" s="66"/>
      <c r="M9" s="66"/>
      <c r="N9" s="66"/>
      <c r="O9" s="66"/>
      <c r="P9" s="65"/>
    </row>
    <row r="10" spans="1:27" x14ac:dyDescent="0.25">
      <c r="A10" s="64" t="str">
        <f>TRIM('Account Creation'!D9)</f>
        <v>Hernandez</v>
      </c>
      <c r="B10" s="64" t="str">
        <f>TRIM('Account Creation'!C9)</f>
        <v>Carolina</v>
      </c>
      <c r="C10" s="64" t="str">
        <f>TRIM('Account Creation'!B9)</f>
        <v>Kristtel</v>
      </c>
      <c r="D10" s="64" t="str">
        <f>TRIM('Help Desk'!D9)</f>
        <v>vn54tqs</v>
      </c>
      <c r="E10" s="65"/>
      <c r="F10" s="66"/>
      <c r="G10" s="66"/>
      <c r="H10" s="66"/>
      <c r="I10" s="66"/>
      <c r="J10" s="66"/>
      <c r="K10" s="66"/>
      <c r="L10" s="66"/>
      <c r="M10" s="66"/>
      <c r="N10" s="66"/>
      <c r="O10" s="66"/>
      <c r="P10" s="65"/>
    </row>
    <row r="11" spans="1:27" x14ac:dyDescent="0.25">
      <c r="A11" s="64" t="str">
        <f>TRIM('Account Creation'!D10)</f>
        <v>Flores</v>
      </c>
      <c r="B11" s="64" t="str">
        <f>TRIM('Account Creation'!C10)</f>
        <v>Pablo</v>
      </c>
      <c r="C11" s="64" t="str">
        <f>TRIM('Account Creation'!B10)</f>
        <v>Juan</v>
      </c>
      <c r="D11" s="64" t="str">
        <f>TRIM('Help Desk'!D10)</f>
        <v>vn54tqu</v>
      </c>
      <c r="E11" s="65"/>
      <c r="F11" s="66"/>
      <c r="G11" s="66"/>
      <c r="H11" s="66"/>
      <c r="I11" s="66"/>
      <c r="J11" s="66"/>
      <c r="K11" s="66"/>
      <c r="L11" s="66"/>
      <c r="M11" s="66"/>
      <c r="N11" s="66"/>
      <c r="O11" s="66"/>
      <c r="P11" s="65"/>
      <c r="V11" s="62"/>
    </row>
    <row r="12" spans="1:27" x14ac:dyDescent="0.25">
      <c r="A12" s="64" t="str">
        <f>TRIM('Account Creation'!D11)</f>
        <v>Morales</v>
      </c>
      <c r="B12" s="64" t="str">
        <f>TRIM('Account Creation'!C11)</f>
        <v>Adolfo</v>
      </c>
      <c r="C12" s="64" t="str">
        <f>TRIM('Account Creation'!B11)</f>
        <v>Gabriel</v>
      </c>
      <c r="D12" s="64" t="str">
        <f>TRIM('Help Desk'!D11)</f>
        <v>vn54tqw</v>
      </c>
      <c r="E12" s="65"/>
      <c r="F12" s="66"/>
      <c r="G12" s="66"/>
      <c r="H12" s="66"/>
      <c r="I12" s="66"/>
      <c r="J12" s="66"/>
      <c r="K12" s="66"/>
      <c r="L12" s="66"/>
      <c r="M12" s="66"/>
      <c r="N12" s="66"/>
      <c r="O12" s="66"/>
      <c r="P12" s="65"/>
      <c r="S12" s="62"/>
    </row>
    <row r="13" spans="1:27" x14ac:dyDescent="0.25">
      <c r="A13" s="64" t="str">
        <f>TRIM('Account Creation'!D12)</f>
        <v>De Leon</v>
      </c>
      <c r="B13" s="64" t="str">
        <f>TRIM('Account Creation'!C12)</f>
        <v>Isabel</v>
      </c>
      <c r="C13" s="64" t="str">
        <f>TRIM('Account Creation'!B12)</f>
        <v>Mercedez</v>
      </c>
      <c r="D13" s="64" t="str">
        <f>TRIM('Help Desk'!D12)</f>
        <v>vn54tqy</v>
      </c>
      <c r="E13" s="65"/>
      <c r="F13" s="66"/>
      <c r="G13" s="66"/>
      <c r="H13" s="66"/>
      <c r="I13" s="66"/>
      <c r="J13" s="66"/>
      <c r="K13" s="66"/>
      <c r="L13" s="66"/>
      <c r="M13" s="66"/>
      <c r="N13" s="66"/>
      <c r="O13" s="66"/>
      <c r="P13" s="65"/>
      <c r="S13" s="62"/>
    </row>
    <row r="14" spans="1:27" x14ac:dyDescent="0.25">
      <c r="A14" s="64" t="str">
        <f>TRIM('Account Creation'!D13)</f>
        <v>Prera</v>
      </c>
      <c r="B14" s="64" t="str">
        <f>TRIM('Account Creation'!C13)</f>
        <v>Andres</v>
      </c>
      <c r="C14" s="64" t="str">
        <f>TRIM('Account Creation'!B13)</f>
        <v>Eduardo</v>
      </c>
      <c r="D14" s="64" t="str">
        <f>TRIM('Help Desk'!D13)</f>
        <v>vn54tr0</v>
      </c>
      <c r="E14" s="65"/>
      <c r="F14" s="66"/>
      <c r="G14" s="66"/>
      <c r="H14" s="66"/>
      <c r="I14" s="66"/>
      <c r="J14" s="66"/>
      <c r="K14" s="66"/>
      <c r="L14" s="66"/>
      <c r="M14" s="66"/>
      <c r="N14" s="66"/>
      <c r="O14" s="66"/>
      <c r="P14" s="65"/>
    </row>
    <row r="15" spans="1:27" x14ac:dyDescent="0.25">
      <c r="A15" s="64" t="str">
        <f>TRIM('Account Creation'!D14)</f>
        <v>Abal</v>
      </c>
      <c r="B15" s="64" t="str">
        <f>TRIM('Account Creation'!C14)</f>
        <v>Johana</v>
      </c>
      <c r="C15" s="64" t="str">
        <f>TRIM('Account Creation'!B14)</f>
        <v>Madelin</v>
      </c>
      <c r="D15" s="64" t="str">
        <f>TRIM('Help Desk'!D14)</f>
        <v>vn54tr2</v>
      </c>
      <c r="E15" s="65"/>
      <c r="F15" s="66"/>
      <c r="G15" s="66"/>
      <c r="H15" s="66"/>
      <c r="I15" s="66"/>
      <c r="J15" s="66"/>
      <c r="K15" s="66"/>
      <c r="L15" s="66"/>
      <c r="M15" s="66"/>
      <c r="N15" s="66"/>
      <c r="O15" s="66"/>
      <c r="P15" s="65"/>
    </row>
    <row r="16" spans="1:27" x14ac:dyDescent="0.25">
      <c r="A16" s="64" t="str">
        <f>TRIM('Account Creation'!D15)</f>
        <v>Calicio</v>
      </c>
      <c r="B16" s="64" t="str">
        <f>TRIM('Account Creation'!C15)</f>
        <v>Priscila</v>
      </c>
      <c r="C16" s="64" t="str">
        <f>TRIM('Account Creation'!B15)</f>
        <v>Dyana</v>
      </c>
      <c r="D16" s="64" t="str">
        <f>TRIM('Help Desk'!D15)</f>
        <v>vn54tr4</v>
      </c>
      <c r="E16" s="65"/>
      <c r="F16" s="66"/>
      <c r="G16" s="66"/>
      <c r="H16" s="66"/>
      <c r="I16" s="66"/>
      <c r="J16" s="66"/>
      <c r="K16" s="66"/>
      <c r="L16" s="66"/>
      <c r="M16" s="66"/>
      <c r="N16" s="66"/>
      <c r="O16" s="66"/>
      <c r="P16" s="65"/>
    </row>
    <row r="17" spans="1:16" x14ac:dyDescent="0.25">
      <c r="A17" s="64" t="str">
        <f>TRIM('Account Creation'!D16)</f>
        <v>Arango</v>
      </c>
      <c r="B17" s="64" t="str">
        <f>TRIM('Account Creation'!C16)</f>
        <v>Virginia</v>
      </c>
      <c r="C17" s="64" t="str">
        <f>TRIM('Account Creation'!B16)</f>
        <v>Sandra</v>
      </c>
      <c r="D17" s="64" t="str">
        <f>TRIM('Help Desk'!D16)</f>
        <v>vn54tr6</v>
      </c>
      <c r="E17" s="65"/>
      <c r="F17" s="66"/>
      <c r="G17" s="66"/>
      <c r="H17" s="66"/>
      <c r="I17" s="66"/>
      <c r="J17" s="66"/>
      <c r="K17" s="66"/>
      <c r="L17" s="66"/>
      <c r="M17" s="66"/>
      <c r="N17" s="66"/>
      <c r="O17" s="66"/>
      <c r="P17" s="65"/>
    </row>
    <row r="18" spans="1:16" x14ac:dyDescent="0.25">
      <c r="A18" s="64" t="str">
        <f>TRIM('Account Creation'!D17)</f>
        <v/>
      </c>
      <c r="B18" s="64" t="str">
        <f>TRIM('Account Creation'!C17)</f>
        <v/>
      </c>
      <c r="C18" s="64" t="str">
        <f>TRIM('Account Creation'!B17)</f>
        <v/>
      </c>
      <c r="D18" s="64" t="str">
        <f>TRIM('Help Desk'!D17)</f>
        <v/>
      </c>
      <c r="E18" s="65"/>
      <c r="F18" s="66"/>
      <c r="G18" s="66"/>
      <c r="H18" s="66"/>
      <c r="I18" s="66"/>
      <c r="J18" s="66"/>
      <c r="K18" s="66"/>
      <c r="L18" s="66"/>
      <c r="M18" s="66"/>
      <c r="N18" s="66"/>
      <c r="O18" s="66"/>
      <c r="P18" s="65"/>
    </row>
    <row r="19" spans="1:16" x14ac:dyDescent="0.25">
      <c r="A19" s="64" t="str">
        <f>TRIM('Account Creation'!D18)</f>
        <v/>
      </c>
      <c r="B19" s="64" t="str">
        <f>TRIM('Account Creation'!C18)</f>
        <v/>
      </c>
      <c r="C19" s="64" t="str">
        <f>TRIM('Account Creation'!B18)</f>
        <v/>
      </c>
      <c r="D19" s="64" t="str">
        <f>TRIM('Help Desk'!D18)</f>
        <v/>
      </c>
      <c r="E19" s="65"/>
      <c r="F19" s="66"/>
      <c r="G19" s="66"/>
      <c r="H19" s="66"/>
      <c r="I19" s="66"/>
      <c r="J19" s="66"/>
      <c r="K19" s="66"/>
      <c r="L19" s="66"/>
      <c r="M19" s="66"/>
      <c r="N19" s="66"/>
      <c r="O19" s="66"/>
      <c r="P19" s="65"/>
    </row>
    <row r="20" spans="1:16" x14ac:dyDescent="0.25">
      <c r="A20" s="64" t="str">
        <f>TRIM('Account Creation'!D19)</f>
        <v/>
      </c>
      <c r="B20" s="64" t="str">
        <f>TRIM('Account Creation'!C19)</f>
        <v/>
      </c>
      <c r="C20" s="64" t="str">
        <f>TRIM('Account Creation'!B19)</f>
        <v/>
      </c>
      <c r="D20" s="64" t="str">
        <f>TRIM('Help Desk'!D19)</f>
        <v/>
      </c>
      <c r="E20" s="65"/>
      <c r="F20" s="66"/>
      <c r="G20" s="66"/>
      <c r="H20" s="66"/>
      <c r="I20" s="66"/>
      <c r="J20" s="66"/>
      <c r="K20" s="66"/>
      <c r="L20" s="66"/>
      <c r="M20" s="66"/>
      <c r="N20" s="66"/>
      <c r="O20" s="66"/>
      <c r="P20" s="65"/>
    </row>
    <row r="21" spans="1:16" x14ac:dyDescent="0.25">
      <c r="A21" s="64" t="str">
        <f>TRIM('Account Creation'!D20)</f>
        <v/>
      </c>
      <c r="B21" s="64" t="str">
        <f>TRIM('Account Creation'!C20)</f>
        <v/>
      </c>
      <c r="C21" s="64" t="str">
        <f>TRIM('Account Creation'!B20)</f>
        <v/>
      </c>
      <c r="D21" s="64" t="str">
        <f>TRIM('Help Desk'!D20)</f>
        <v/>
      </c>
      <c r="E21" s="65"/>
      <c r="F21" s="66"/>
      <c r="G21" s="66"/>
      <c r="H21" s="66"/>
      <c r="I21" s="66"/>
      <c r="J21" s="66"/>
      <c r="K21" s="66"/>
      <c r="L21" s="66"/>
      <c r="M21" s="66"/>
      <c r="N21" s="66"/>
      <c r="O21" s="66"/>
      <c r="P21" s="65"/>
    </row>
    <row r="22" spans="1:16" x14ac:dyDescent="0.25">
      <c r="A22" s="64" t="str">
        <f>TRIM('Account Creation'!D21)</f>
        <v/>
      </c>
      <c r="B22" s="64" t="str">
        <f>TRIM('Account Creation'!C21)</f>
        <v/>
      </c>
      <c r="C22" s="64" t="str">
        <f>TRIM('Account Creation'!B21)</f>
        <v/>
      </c>
      <c r="D22" s="64" t="str">
        <f>TRIM('Help Desk'!D21)</f>
        <v/>
      </c>
      <c r="E22" s="65"/>
      <c r="F22" s="66"/>
      <c r="G22" s="66"/>
      <c r="H22" s="66"/>
      <c r="I22" s="66"/>
      <c r="J22" s="66"/>
      <c r="K22" s="66"/>
      <c r="L22" s="66"/>
      <c r="M22" s="66"/>
      <c r="N22" s="66"/>
      <c r="O22" s="66"/>
      <c r="P22" s="65"/>
    </row>
    <row r="23" spans="1:16" x14ac:dyDescent="0.25">
      <c r="A23" s="64" t="str">
        <f>TRIM('Account Creation'!D22)</f>
        <v/>
      </c>
      <c r="B23" s="64" t="str">
        <f>TRIM('Account Creation'!C22)</f>
        <v/>
      </c>
      <c r="C23" s="64" t="str">
        <f>TRIM('Account Creation'!B22)</f>
        <v/>
      </c>
      <c r="D23" s="64" t="str">
        <f>TRIM('Help Desk'!D22)</f>
        <v/>
      </c>
      <c r="E23" s="65"/>
      <c r="F23" s="66"/>
      <c r="G23" s="66"/>
      <c r="H23" s="66"/>
      <c r="I23" s="66"/>
      <c r="J23" s="66"/>
      <c r="K23" s="66"/>
      <c r="L23" s="66"/>
      <c r="M23" s="66"/>
      <c r="N23" s="66"/>
      <c r="O23" s="66"/>
      <c r="P23" s="65"/>
    </row>
    <row r="24" spans="1:16" x14ac:dyDescent="0.25">
      <c r="A24" s="64" t="str">
        <f>TRIM('Account Creation'!D23)</f>
        <v/>
      </c>
      <c r="B24" s="64" t="str">
        <f>TRIM('Account Creation'!C23)</f>
        <v/>
      </c>
      <c r="C24" s="64" t="str">
        <f>TRIM('Account Creation'!B23)</f>
        <v/>
      </c>
      <c r="D24" s="64" t="str">
        <f>TRIM('Help Desk'!D23)</f>
        <v/>
      </c>
      <c r="E24" s="65"/>
      <c r="F24" s="66"/>
      <c r="G24" s="66"/>
      <c r="H24" s="66"/>
      <c r="I24" s="66"/>
      <c r="J24" s="66"/>
      <c r="K24" s="66"/>
      <c r="L24" s="66"/>
      <c r="M24" s="66"/>
      <c r="N24" s="66"/>
      <c r="O24" s="66"/>
      <c r="P24" s="65"/>
    </row>
    <row r="25" spans="1:16" x14ac:dyDescent="0.25">
      <c r="A25" s="64" t="str">
        <f>TRIM('Account Creation'!D24)</f>
        <v/>
      </c>
      <c r="B25" s="64" t="str">
        <f>TRIM('Account Creation'!C24)</f>
        <v/>
      </c>
      <c r="C25" s="64" t="str">
        <f>TRIM('Account Creation'!B24)</f>
        <v/>
      </c>
      <c r="D25" s="64" t="str">
        <f>TRIM('Help Desk'!D24)</f>
        <v/>
      </c>
      <c r="E25" s="65"/>
      <c r="F25" s="66"/>
      <c r="G25" s="66"/>
      <c r="H25" s="66"/>
      <c r="I25" s="66"/>
      <c r="J25" s="66"/>
      <c r="K25" s="66"/>
      <c r="L25" s="66"/>
      <c r="M25" s="66"/>
      <c r="N25" s="66"/>
      <c r="O25" s="66"/>
      <c r="P25" s="65"/>
    </row>
    <row r="26" spans="1:16" x14ac:dyDescent="0.25">
      <c r="A26" s="64" t="str">
        <f>TRIM('Account Creation'!D25)</f>
        <v/>
      </c>
      <c r="B26" s="64" t="str">
        <f>TRIM('Account Creation'!C25)</f>
        <v/>
      </c>
      <c r="C26" s="64" t="str">
        <f>TRIM('Account Creation'!B25)</f>
        <v/>
      </c>
      <c r="D26" s="64" t="str">
        <f>TRIM('Help Desk'!D25)</f>
        <v/>
      </c>
      <c r="E26" s="65"/>
      <c r="F26" s="66"/>
      <c r="G26" s="66"/>
      <c r="H26" s="66"/>
      <c r="I26" s="66"/>
      <c r="J26" s="66"/>
      <c r="K26" s="66"/>
      <c r="L26" s="66"/>
      <c r="M26" s="66"/>
      <c r="N26" s="66"/>
      <c r="O26" s="66"/>
      <c r="P26" s="65"/>
    </row>
    <row r="27" spans="1:16" x14ac:dyDescent="0.25">
      <c r="A27" s="64" t="str">
        <f>TRIM('Account Creation'!D26)</f>
        <v/>
      </c>
      <c r="B27" s="64" t="str">
        <f>TRIM('Account Creation'!C26)</f>
        <v/>
      </c>
      <c r="C27" s="64" t="str">
        <f>TRIM('Account Creation'!B26)</f>
        <v/>
      </c>
      <c r="D27" s="64" t="str">
        <f>TRIM('Help Desk'!D26)</f>
        <v/>
      </c>
      <c r="E27" s="65"/>
      <c r="F27" s="66"/>
      <c r="G27" s="66"/>
      <c r="H27" s="66"/>
      <c r="I27" s="66"/>
      <c r="J27" s="66"/>
      <c r="K27" s="66"/>
      <c r="L27" s="66"/>
      <c r="M27" s="66"/>
      <c r="N27" s="66"/>
      <c r="O27" s="66"/>
      <c r="P27" s="65"/>
    </row>
    <row r="28" spans="1:16" x14ac:dyDescent="0.25">
      <c r="A28" s="64" t="str">
        <f>TRIM('Account Creation'!D27)</f>
        <v/>
      </c>
      <c r="B28" s="64" t="str">
        <f>TRIM('Account Creation'!C27)</f>
        <v/>
      </c>
      <c r="C28" s="64" t="str">
        <f>TRIM('Account Creation'!B27)</f>
        <v/>
      </c>
      <c r="D28" s="64" t="str">
        <f>TRIM('Help Desk'!D27)</f>
        <v/>
      </c>
      <c r="E28" s="65"/>
      <c r="F28" s="66"/>
      <c r="G28" s="66"/>
      <c r="H28" s="66"/>
      <c r="I28" s="66"/>
      <c r="J28" s="66"/>
      <c r="K28" s="66"/>
      <c r="L28" s="66"/>
      <c r="M28" s="66"/>
      <c r="N28" s="66"/>
      <c r="O28" s="66"/>
      <c r="P28" s="65"/>
    </row>
    <row r="29" spans="1:16" x14ac:dyDescent="0.25">
      <c r="A29" s="64" t="str">
        <f>TRIM('Account Creation'!D28)</f>
        <v/>
      </c>
      <c r="B29" s="64" t="str">
        <f>TRIM('Account Creation'!C28)</f>
        <v/>
      </c>
      <c r="C29" s="64" t="str">
        <f>TRIM('Account Creation'!B28)</f>
        <v/>
      </c>
      <c r="D29" s="64" t="str">
        <f>TRIM('Help Desk'!D28)</f>
        <v/>
      </c>
      <c r="E29" s="65"/>
      <c r="F29" s="66"/>
      <c r="G29" s="66"/>
      <c r="H29" s="66"/>
      <c r="I29" s="66"/>
      <c r="J29" s="66"/>
      <c r="K29" s="66"/>
      <c r="L29" s="66"/>
      <c r="M29" s="66"/>
      <c r="N29" s="66"/>
      <c r="O29" s="66"/>
      <c r="P29" s="65"/>
    </row>
    <row r="30" spans="1:16" x14ac:dyDescent="0.25">
      <c r="A30" s="64" t="str">
        <f>TRIM('Account Creation'!D29)</f>
        <v/>
      </c>
      <c r="B30" s="64" t="str">
        <f>TRIM('Account Creation'!C29)</f>
        <v/>
      </c>
      <c r="C30" s="64" t="str">
        <f>TRIM('Account Creation'!B29)</f>
        <v/>
      </c>
      <c r="D30" s="64" t="str">
        <f>TRIM('Help Desk'!D29)</f>
        <v/>
      </c>
      <c r="E30" s="65"/>
      <c r="F30" s="66"/>
      <c r="G30" s="66"/>
      <c r="H30" s="66"/>
      <c r="I30" s="66"/>
      <c r="J30" s="66"/>
      <c r="K30" s="66"/>
      <c r="L30" s="66"/>
      <c r="M30" s="66"/>
      <c r="N30" s="66"/>
      <c r="O30" s="66"/>
      <c r="P30" s="65"/>
    </row>
    <row r="31" spans="1:16" x14ac:dyDescent="0.25">
      <c r="A31" s="64" t="str">
        <f>TRIM('Account Creation'!D30)</f>
        <v/>
      </c>
      <c r="B31" s="64" t="str">
        <f>TRIM('Account Creation'!C30)</f>
        <v/>
      </c>
      <c r="C31" s="64" t="str">
        <f>TRIM('Account Creation'!B30)</f>
        <v/>
      </c>
      <c r="D31" s="64" t="str">
        <f>TRIM('Help Desk'!D30)</f>
        <v/>
      </c>
      <c r="E31" s="65"/>
      <c r="F31" s="66"/>
      <c r="G31" s="66"/>
      <c r="H31" s="66"/>
      <c r="I31" s="66"/>
      <c r="J31" s="66"/>
      <c r="K31" s="66"/>
      <c r="L31" s="66"/>
      <c r="M31" s="66"/>
      <c r="N31" s="66"/>
      <c r="O31" s="66"/>
      <c r="P31" s="65"/>
    </row>
    <row r="32" spans="1:16" x14ac:dyDescent="0.25">
      <c r="A32" s="64" t="str">
        <f>TRIM('Account Creation'!D31)</f>
        <v/>
      </c>
      <c r="B32" s="64" t="str">
        <f>TRIM('Account Creation'!C31)</f>
        <v/>
      </c>
      <c r="C32" s="64" t="str">
        <f>TRIM('Account Creation'!B31)</f>
        <v/>
      </c>
      <c r="D32" s="64" t="str">
        <f>TRIM('Help Desk'!D31)</f>
        <v/>
      </c>
      <c r="E32" s="65"/>
      <c r="F32" s="66"/>
      <c r="G32" s="66"/>
      <c r="H32" s="66"/>
      <c r="I32" s="66"/>
      <c r="J32" s="66"/>
      <c r="K32" s="66"/>
      <c r="L32" s="66"/>
      <c r="M32" s="66"/>
      <c r="N32" s="66"/>
      <c r="O32" s="66"/>
      <c r="P32" s="65"/>
    </row>
    <row r="33" spans="1:16" x14ac:dyDescent="0.25">
      <c r="A33" s="64" t="str">
        <f>TRIM('Account Creation'!D32)</f>
        <v/>
      </c>
      <c r="B33" s="64" t="str">
        <f>TRIM('Account Creation'!C32)</f>
        <v/>
      </c>
      <c r="C33" s="64" t="str">
        <f>TRIM('Account Creation'!B32)</f>
        <v/>
      </c>
      <c r="D33" s="64" t="str">
        <f>TRIM('Help Desk'!D32)</f>
        <v/>
      </c>
      <c r="E33" s="65"/>
      <c r="F33" s="66"/>
      <c r="G33" s="66"/>
      <c r="H33" s="66"/>
      <c r="I33" s="66"/>
      <c r="J33" s="66"/>
      <c r="K33" s="66"/>
      <c r="L33" s="66"/>
      <c r="M33" s="66"/>
      <c r="N33" s="66"/>
      <c r="O33" s="66"/>
      <c r="P33" s="65"/>
    </row>
    <row r="34" spans="1:16" x14ac:dyDescent="0.25">
      <c r="A34" s="64" t="str">
        <f>TRIM('Account Creation'!D33)</f>
        <v/>
      </c>
      <c r="B34" s="64" t="str">
        <f>TRIM('Account Creation'!C33)</f>
        <v/>
      </c>
      <c r="C34" s="64" t="str">
        <f>TRIM('Account Creation'!B33)</f>
        <v/>
      </c>
      <c r="D34" s="64" t="str">
        <f>TRIM('Help Desk'!D33)</f>
        <v/>
      </c>
      <c r="E34" s="65"/>
      <c r="F34" s="66"/>
      <c r="G34" s="66"/>
      <c r="H34" s="66"/>
      <c r="I34" s="66"/>
      <c r="J34" s="66"/>
      <c r="K34" s="66"/>
      <c r="L34" s="66"/>
      <c r="M34" s="66"/>
      <c r="N34" s="66"/>
      <c r="O34" s="66"/>
      <c r="P34" s="65"/>
    </row>
    <row r="35" spans="1:16" x14ac:dyDescent="0.25">
      <c r="A35" s="64" t="str">
        <f>TRIM('Account Creation'!D34)</f>
        <v/>
      </c>
      <c r="B35" s="64" t="str">
        <f>TRIM('Account Creation'!C34)</f>
        <v/>
      </c>
      <c r="C35" s="64" t="str">
        <f>TRIM('Account Creation'!B34)</f>
        <v/>
      </c>
      <c r="D35" s="64" t="str">
        <f>TRIM('Help Desk'!D34)</f>
        <v/>
      </c>
      <c r="E35" s="65"/>
      <c r="F35" s="66"/>
      <c r="G35" s="66"/>
      <c r="H35" s="66"/>
      <c r="I35" s="66"/>
      <c r="J35" s="66"/>
      <c r="K35" s="66"/>
      <c r="L35" s="66"/>
      <c r="M35" s="66"/>
      <c r="N35" s="66"/>
      <c r="O35" s="66"/>
      <c r="P35" s="65"/>
    </row>
    <row r="36" spans="1:16" x14ac:dyDescent="0.25">
      <c r="A36" s="64" t="str">
        <f>TRIM('Account Creation'!D35)</f>
        <v/>
      </c>
      <c r="B36" s="64" t="str">
        <f>TRIM('Account Creation'!C35)</f>
        <v/>
      </c>
      <c r="C36" s="64" t="str">
        <f>TRIM('Account Creation'!B35)</f>
        <v/>
      </c>
      <c r="D36" s="64" t="str">
        <f>TRIM('Help Desk'!D35)</f>
        <v/>
      </c>
      <c r="E36" s="65"/>
      <c r="F36" s="66"/>
      <c r="G36" s="66"/>
      <c r="H36" s="66"/>
      <c r="I36" s="66"/>
      <c r="J36" s="66"/>
      <c r="K36" s="66"/>
      <c r="L36" s="66"/>
      <c r="M36" s="66"/>
      <c r="N36" s="66"/>
      <c r="O36" s="66"/>
      <c r="P36" s="65"/>
    </row>
    <row r="37" spans="1:16" x14ac:dyDescent="0.25">
      <c r="A37" s="64" t="str">
        <f>TRIM('Account Creation'!D36)</f>
        <v/>
      </c>
      <c r="B37" s="64" t="str">
        <f>TRIM('Account Creation'!C36)</f>
        <v/>
      </c>
      <c r="C37" s="64" t="str">
        <f>TRIM('Account Creation'!B36)</f>
        <v/>
      </c>
      <c r="D37" s="64" t="str">
        <f>TRIM('Help Desk'!D36)</f>
        <v/>
      </c>
      <c r="E37" s="65"/>
      <c r="F37" s="66"/>
      <c r="G37" s="66"/>
      <c r="H37" s="66"/>
      <c r="I37" s="66"/>
      <c r="J37" s="66"/>
      <c r="K37" s="66"/>
      <c r="L37" s="66"/>
      <c r="M37" s="66"/>
      <c r="N37" s="66"/>
      <c r="O37" s="66"/>
      <c r="P37" s="65"/>
    </row>
    <row r="38" spans="1:16" x14ac:dyDescent="0.25">
      <c r="A38" s="64" t="str">
        <f>TRIM('Account Creation'!D37)</f>
        <v/>
      </c>
      <c r="B38" s="64" t="str">
        <f>TRIM('Account Creation'!C37)</f>
        <v/>
      </c>
      <c r="C38" s="64" t="str">
        <f>TRIM('Account Creation'!B37)</f>
        <v/>
      </c>
      <c r="D38" s="64" t="str">
        <f>TRIM('Help Desk'!D37)</f>
        <v/>
      </c>
      <c r="E38" s="65"/>
      <c r="F38" s="66"/>
      <c r="G38" s="66"/>
      <c r="H38" s="66"/>
      <c r="I38" s="66"/>
      <c r="J38" s="66"/>
      <c r="K38" s="66"/>
      <c r="L38" s="66"/>
      <c r="M38" s="66"/>
      <c r="N38" s="66"/>
      <c r="O38" s="66"/>
      <c r="P38" s="65"/>
    </row>
    <row r="39" spans="1:16" x14ac:dyDescent="0.25">
      <c r="A39" s="64" t="str">
        <f>TRIM('Account Creation'!D38)</f>
        <v/>
      </c>
      <c r="B39" s="64" t="str">
        <f>TRIM('Account Creation'!C38)</f>
        <v/>
      </c>
      <c r="C39" s="64" t="str">
        <f>TRIM('Account Creation'!B38)</f>
        <v/>
      </c>
      <c r="D39" s="64" t="str">
        <f>TRIM('Help Desk'!D38)</f>
        <v/>
      </c>
      <c r="E39" s="65"/>
      <c r="F39" s="66"/>
      <c r="G39" s="66"/>
      <c r="H39" s="66"/>
      <c r="I39" s="66"/>
      <c r="J39" s="66"/>
      <c r="K39" s="66"/>
      <c r="L39" s="66"/>
      <c r="M39" s="66"/>
      <c r="N39" s="66"/>
      <c r="O39" s="66"/>
      <c r="P39" s="65"/>
    </row>
    <row r="40" spans="1:16" x14ac:dyDescent="0.25">
      <c r="A40" s="64" t="str">
        <f>TRIM('Account Creation'!D39)</f>
        <v/>
      </c>
      <c r="B40" s="64" t="str">
        <f>TRIM('Account Creation'!C39)</f>
        <v/>
      </c>
      <c r="C40" s="64" t="str">
        <f>TRIM('Account Creation'!B39)</f>
        <v/>
      </c>
      <c r="D40" s="64" t="str">
        <f>TRIM('Help Desk'!D39)</f>
        <v/>
      </c>
      <c r="E40" s="65"/>
      <c r="F40" s="66"/>
      <c r="G40" s="66"/>
      <c r="H40" s="66"/>
      <c r="I40" s="66"/>
      <c r="J40" s="66"/>
      <c r="K40" s="66"/>
      <c r="L40" s="66"/>
      <c r="M40" s="66"/>
      <c r="N40" s="66"/>
      <c r="O40" s="66"/>
      <c r="P40" s="65"/>
    </row>
    <row r="41" spans="1:16" x14ac:dyDescent="0.25">
      <c r="A41" s="64" t="str">
        <f>TRIM('Account Creation'!D40)</f>
        <v/>
      </c>
      <c r="B41" s="64" t="str">
        <f>TRIM('Account Creation'!C40)</f>
        <v/>
      </c>
      <c r="C41" s="64" t="str">
        <f>TRIM('Account Creation'!B40)</f>
        <v/>
      </c>
      <c r="D41" s="64" t="str">
        <f>TRIM('Help Desk'!D40)</f>
        <v/>
      </c>
      <c r="E41" s="65"/>
      <c r="F41" s="66"/>
      <c r="G41" s="66"/>
      <c r="H41" s="66"/>
      <c r="I41" s="66"/>
      <c r="J41" s="66"/>
      <c r="K41" s="66"/>
      <c r="L41" s="66"/>
      <c r="M41" s="66"/>
      <c r="N41" s="66"/>
      <c r="O41" s="66"/>
      <c r="P41" s="65"/>
    </row>
    <row r="42" spans="1:16" x14ac:dyDescent="0.25">
      <c r="A42" s="64" t="str">
        <f>TRIM('Account Creation'!D41)</f>
        <v/>
      </c>
      <c r="B42" s="64" t="str">
        <f>TRIM('Account Creation'!C41)</f>
        <v/>
      </c>
      <c r="C42" s="64" t="str">
        <f>TRIM('Account Creation'!B41)</f>
        <v/>
      </c>
      <c r="D42" s="64" t="str">
        <f>TRIM('Help Desk'!D41)</f>
        <v/>
      </c>
      <c r="E42" s="65"/>
      <c r="F42" s="66"/>
      <c r="G42" s="66"/>
      <c r="H42" s="66"/>
      <c r="I42" s="66"/>
      <c r="J42" s="66"/>
      <c r="K42" s="66"/>
      <c r="L42" s="66"/>
      <c r="M42" s="66"/>
      <c r="N42" s="66"/>
      <c r="O42" s="66"/>
      <c r="P42" s="65"/>
    </row>
    <row r="43" spans="1:16" x14ac:dyDescent="0.25">
      <c r="A43" s="64" t="str">
        <f>TRIM('Account Creation'!D42)</f>
        <v/>
      </c>
      <c r="B43" s="64" t="str">
        <f>TRIM('Account Creation'!C42)</f>
        <v/>
      </c>
      <c r="C43" s="64" t="str">
        <f>TRIM('Account Creation'!B42)</f>
        <v/>
      </c>
      <c r="D43" s="64" t="str">
        <f>TRIM('Help Desk'!D42)</f>
        <v/>
      </c>
      <c r="E43" s="65"/>
      <c r="F43" s="66"/>
      <c r="G43" s="66"/>
      <c r="H43" s="66"/>
      <c r="I43" s="66"/>
      <c r="J43" s="66"/>
      <c r="K43" s="66"/>
      <c r="L43" s="66"/>
      <c r="M43" s="66"/>
      <c r="N43" s="66"/>
      <c r="O43" s="66"/>
      <c r="P43" s="65"/>
    </row>
    <row r="44" spans="1:16" x14ac:dyDescent="0.25">
      <c r="A44" s="64" t="str">
        <f>TRIM('Account Creation'!D43)</f>
        <v/>
      </c>
      <c r="B44" s="64" t="str">
        <f>TRIM('Account Creation'!C43)</f>
        <v/>
      </c>
      <c r="C44" s="64" t="str">
        <f>TRIM('Account Creation'!B43)</f>
        <v/>
      </c>
      <c r="D44" s="64" t="str">
        <f>TRIM('Help Desk'!D43)</f>
        <v/>
      </c>
      <c r="E44" s="65"/>
      <c r="F44" s="66"/>
      <c r="G44" s="66"/>
      <c r="H44" s="66"/>
      <c r="I44" s="66"/>
      <c r="J44" s="66"/>
      <c r="K44" s="66"/>
      <c r="L44" s="66"/>
      <c r="M44" s="66"/>
      <c r="N44" s="66"/>
      <c r="O44" s="66"/>
      <c r="P44" s="65"/>
    </row>
    <row r="45" spans="1:16" x14ac:dyDescent="0.25">
      <c r="A45" s="64" t="str">
        <f>TRIM('Account Creation'!D44)</f>
        <v/>
      </c>
      <c r="B45" s="64" t="str">
        <f>TRIM('Account Creation'!C44)</f>
        <v/>
      </c>
      <c r="C45" s="64" t="str">
        <f>TRIM('Account Creation'!B44)</f>
        <v/>
      </c>
      <c r="D45" s="64" t="str">
        <f>TRIM('Help Desk'!D44)</f>
        <v/>
      </c>
      <c r="E45" s="65"/>
      <c r="F45" s="66"/>
      <c r="G45" s="66"/>
      <c r="H45" s="66"/>
      <c r="I45" s="66"/>
      <c r="J45" s="66"/>
      <c r="K45" s="66"/>
      <c r="L45" s="66"/>
      <c r="M45" s="66"/>
      <c r="N45" s="66"/>
      <c r="O45" s="66"/>
      <c r="P45" s="65"/>
    </row>
    <row r="46" spans="1:16" x14ac:dyDescent="0.25">
      <c r="A46" s="64" t="str">
        <f>TRIM('Account Creation'!D45)</f>
        <v/>
      </c>
      <c r="B46" s="64" t="str">
        <f>TRIM('Account Creation'!C45)</f>
        <v/>
      </c>
      <c r="C46" s="64" t="str">
        <f>TRIM('Account Creation'!B45)</f>
        <v/>
      </c>
      <c r="D46" s="64" t="str">
        <f>TRIM('Help Desk'!D45)</f>
        <v/>
      </c>
      <c r="E46" s="65"/>
      <c r="F46" s="66"/>
      <c r="G46" s="66"/>
      <c r="H46" s="66"/>
      <c r="I46" s="66"/>
      <c r="J46" s="66"/>
      <c r="K46" s="66"/>
      <c r="L46" s="66"/>
      <c r="M46" s="66"/>
      <c r="N46" s="66"/>
      <c r="O46" s="66"/>
      <c r="P46" s="65"/>
    </row>
    <row r="47" spans="1:16" x14ac:dyDescent="0.25">
      <c r="A47" s="64" t="str">
        <f>TRIM('Account Creation'!D46)</f>
        <v/>
      </c>
      <c r="B47" s="64" t="str">
        <f>TRIM('Account Creation'!C46)</f>
        <v/>
      </c>
      <c r="C47" s="64" t="str">
        <f>TRIM('Account Creation'!B46)</f>
        <v/>
      </c>
      <c r="D47" s="64" t="str">
        <f>TRIM('Help Desk'!D46)</f>
        <v/>
      </c>
      <c r="E47" s="65"/>
      <c r="F47" s="66"/>
      <c r="G47" s="66"/>
      <c r="H47" s="66"/>
      <c r="I47" s="66"/>
      <c r="J47" s="66"/>
      <c r="K47" s="66"/>
      <c r="L47" s="66"/>
      <c r="M47" s="66"/>
      <c r="N47" s="66"/>
      <c r="O47" s="66"/>
      <c r="P47" s="65"/>
    </row>
    <row r="48" spans="1:16" x14ac:dyDescent="0.25">
      <c r="A48" s="64" t="str">
        <f>TRIM('Account Creation'!D47)</f>
        <v/>
      </c>
      <c r="B48" s="64" t="str">
        <f>TRIM('Account Creation'!C47)</f>
        <v/>
      </c>
      <c r="C48" s="64" t="str">
        <f>TRIM('Account Creation'!B47)</f>
        <v/>
      </c>
      <c r="D48" s="64" t="str">
        <f>TRIM('Help Desk'!D47)</f>
        <v/>
      </c>
      <c r="E48" s="65"/>
      <c r="F48" s="66"/>
      <c r="G48" s="66"/>
      <c r="H48" s="66"/>
      <c r="I48" s="66"/>
      <c r="J48" s="66"/>
      <c r="K48" s="66"/>
      <c r="L48" s="66"/>
      <c r="M48" s="66"/>
      <c r="N48" s="66"/>
      <c r="O48" s="66"/>
      <c r="P48" s="65"/>
    </row>
    <row r="49" spans="1:16" x14ac:dyDescent="0.25">
      <c r="A49" s="64" t="str">
        <f>TRIM('Account Creation'!D48)</f>
        <v/>
      </c>
      <c r="B49" s="64" t="str">
        <f>TRIM('Account Creation'!C48)</f>
        <v/>
      </c>
      <c r="C49" s="64" t="str">
        <f>TRIM('Account Creation'!B48)</f>
        <v/>
      </c>
      <c r="D49" s="64" t="str">
        <f>TRIM('Help Desk'!D48)</f>
        <v/>
      </c>
      <c r="E49" s="65"/>
      <c r="F49" s="66"/>
      <c r="G49" s="66"/>
      <c r="H49" s="66"/>
      <c r="I49" s="66"/>
      <c r="J49" s="66"/>
      <c r="K49" s="66"/>
      <c r="L49" s="66"/>
      <c r="M49" s="66"/>
      <c r="N49" s="66"/>
      <c r="O49" s="66"/>
      <c r="P49" s="65"/>
    </row>
    <row r="50" spans="1:16" x14ac:dyDescent="0.25">
      <c r="A50" s="64" t="str">
        <f>TRIM('Account Creation'!D49)</f>
        <v/>
      </c>
      <c r="B50" s="64" t="str">
        <f>TRIM('Account Creation'!C49)</f>
        <v/>
      </c>
      <c r="C50" s="64" t="str">
        <f>TRIM('Account Creation'!B49)</f>
        <v/>
      </c>
      <c r="D50" s="64" t="str">
        <f>TRIM('Help Desk'!D49)</f>
        <v/>
      </c>
      <c r="E50" s="65"/>
      <c r="F50" s="66"/>
      <c r="G50" s="66"/>
      <c r="H50" s="66"/>
      <c r="I50" s="66"/>
      <c r="J50" s="66"/>
      <c r="K50" s="66"/>
      <c r="L50" s="66"/>
      <c r="M50" s="66"/>
      <c r="N50" s="66"/>
      <c r="O50" s="66"/>
      <c r="P50" s="65"/>
    </row>
    <row r="51" spans="1:16" x14ac:dyDescent="0.25">
      <c r="A51" s="64" t="str">
        <f>TRIM('Account Creation'!D50)</f>
        <v/>
      </c>
      <c r="B51" s="64" t="str">
        <f>TRIM('Account Creation'!C50)</f>
        <v/>
      </c>
      <c r="C51" s="64" t="str">
        <f>TRIM('Account Creation'!B50)</f>
        <v/>
      </c>
      <c r="D51" s="64" t="str">
        <f>TRIM('Help Desk'!D50)</f>
        <v/>
      </c>
      <c r="E51" s="65"/>
      <c r="F51" s="66"/>
      <c r="G51" s="66"/>
      <c r="H51" s="66"/>
      <c r="I51" s="66"/>
      <c r="J51" s="66"/>
      <c r="K51" s="66"/>
      <c r="L51" s="66"/>
      <c r="M51" s="66"/>
      <c r="N51" s="66"/>
      <c r="O51" s="66"/>
      <c r="P51" s="65"/>
    </row>
    <row r="52" spans="1:16" x14ac:dyDescent="0.25">
      <c r="A52" s="64" t="str">
        <f>TRIM('Account Creation'!D51)</f>
        <v/>
      </c>
      <c r="B52" s="64" t="str">
        <f>TRIM('Account Creation'!C51)</f>
        <v/>
      </c>
      <c r="C52" s="64" t="str">
        <f>TRIM('Account Creation'!B51)</f>
        <v/>
      </c>
      <c r="D52" s="64" t="str">
        <f>TRIM('Help Desk'!D51)</f>
        <v/>
      </c>
      <c r="E52" s="65"/>
      <c r="F52" s="66"/>
      <c r="G52" s="66"/>
      <c r="H52" s="66"/>
      <c r="I52" s="66"/>
      <c r="J52" s="66"/>
      <c r="K52" s="66"/>
      <c r="L52" s="66"/>
      <c r="M52" s="66"/>
      <c r="N52" s="66"/>
      <c r="O52" s="66"/>
      <c r="P52" s="65"/>
    </row>
    <row r="53" spans="1:16" x14ac:dyDescent="0.25">
      <c r="A53" s="64" t="str">
        <f>TRIM('Account Creation'!D52)</f>
        <v/>
      </c>
      <c r="B53" s="64" t="str">
        <f>TRIM('Account Creation'!C52)</f>
        <v/>
      </c>
      <c r="C53" s="64" t="str">
        <f>TRIM('Account Creation'!B52)</f>
        <v/>
      </c>
      <c r="D53" s="64" t="str">
        <f>TRIM('Help Desk'!D52)</f>
        <v/>
      </c>
      <c r="E53" s="65"/>
      <c r="F53" s="66"/>
      <c r="G53" s="66"/>
      <c r="H53" s="66"/>
      <c r="I53" s="66"/>
      <c r="J53" s="66"/>
      <c r="K53" s="66"/>
      <c r="L53" s="66"/>
      <c r="M53" s="66"/>
      <c r="N53" s="66"/>
      <c r="O53" s="66"/>
      <c r="P53" s="65"/>
    </row>
    <row r="54" spans="1:16" x14ac:dyDescent="0.25">
      <c r="A54" s="64" t="str">
        <f>TRIM('Account Creation'!D53)</f>
        <v/>
      </c>
      <c r="B54" s="64" t="str">
        <f>TRIM('Account Creation'!C53)</f>
        <v/>
      </c>
      <c r="C54" s="64" t="str">
        <f>TRIM('Account Creation'!B53)</f>
        <v/>
      </c>
      <c r="D54" s="64" t="str">
        <f>TRIM('Help Desk'!D53)</f>
        <v/>
      </c>
      <c r="E54" s="65"/>
      <c r="F54" s="66"/>
      <c r="G54" s="66"/>
      <c r="H54" s="66"/>
      <c r="I54" s="66"/>
      <c r="J54" s="66"/>
      <c r="K54" s="66"/>
      <c r="L54" s="66"/>
      <c r="M54" s="66"/>
      <c r="N54" s="66"/>
      <c r="O54" s="66"/>
      <c r="P54" s="65"/>
    </row>
    <row r="55" spans="1:16" x14ac:dyDescent="0.25">
      <c r="A55" s="64" t="str">
        <f>TRIM('Account Creation'!D54)</f>
        <v/>
      </c>
      <c r="B55" s="64" t="str">
        <f>TRIM('Account Creation'!C54)</f>
        <v/>
      </c>
      <c r="C55" s="64" t="str">
        <f>TRIM('Account Creation'!B54)</f>
        <v/>
      </c>
      <c r="D55" s="64" t="str">
        <f>TRIM('Help Desk'!D54)</f>
        <v/>
      </c>
      <c r="E55" s="65"/>
      <c r="F55" s="66"/>
      <c r="G55" s="66"/>
      <c r="H55" s="66"/>
      <c r="I55" s="66"/>
      <c r="J55" s="66"/>
      <c r="K55" s="66"/>
      <c r="L55" s="66"/>
      <c r="M55" s="66"/>
      <c r="N55" s="66"/>
      <c r="O55" s="66"/>
      <c r="P55" s="65"/>
    </row>
    <row r="56" spans="1:16" x14ac:dyDescent="0.25">
      <c r="A56" s="64" t="str">
        <f>TRIM('Account Creation'!D55)</f>
        <v/>
      </c>
      <c r="B56" s="64" t="str">
        <f>TRIM('Account Creation'!C55)</f>
        <v/>
      </c>
      <c r="C56" s="64" t="str">
        <f>TRIM('Account Creation'!B55)</f>
        <v/>
      </c>
      <c r="D56" s="64" t="str">
        <f>TRIM('Help Desk'!D55)</f>
        <v/>
      </c>
      <c r="E56" s="65"/>
      <c r="F56" s="66"/>
      <c r="G56" s="66"/>
      <c r="H56" s="66"/>
      <c r="I56" s="66"/>
      <c r="J56" s="66"/>
      <c r="K56" s="66"/>
      <c r="L56" s="66"/>
      <c r="M56" s="66"/>
      <c r="N56" s="66"/>
      <c r="O56" s="66"/>
      <c r="P56" s="65"/>
    </row>
    <row r="57" spans="1:16" x14ac:dyDescent="0.25">
      <c r="A57" s="64" t="str">
        <f>TRIM('Account Creation'!D56)</f>
        <v/>
      </c>
      <c r="B57" s="64" t="str">
        <f>TRIM('Account Creation'!C56)</f>
        <v/>
      </c>
      <c r="C57" s="64" t="str">
        <f>TRIM('Account Creation'!B56)</f>
        <v/>
      </c>
      <c r="D57" s="64" t="str">
        <f>TRIM('Help Desk'!D56)</f>
        <v/>
      </c>
      <c r="E57" s="65"/>
      <c r="F57" s="66"/>
      <c r="G57" s="66"/>
      <c r="H57" s="66"/>
      <c r="I57" s="66"/>
      <c r="J57" s="66"/>
      <c r="K57" s="66"/>
      <c r="L57" s="66"/>
      <c r="M57" s="66"/>
      <c r="N57" s="66"/>
      <c r="O57" s="66"/>
      <c r="P57" s="65"/>
    </row>
    <row r="58" spans="1:16" x14ac:dyDescent="0.25">
      <c r="A58" s="64" t="str">
        <f>TRIM('Account Creation'!D57)</f>
        <v/>
      </c>
      <c r="B58" s="64" t="str">
        <f>TRIM('Account Creation'!C57)</f>
        <v/>
      </c>
      <c r="C58" s="64" t="str">
        <f>TRIM('Account Creation'!B57)</f>
        <v/>
      </c>
      <c r="D58" s="64" t="str">
        <f>TRIM('Help Desk'!D57)</f>
        <v/>
      </c>
      <c r="E58" s="65"/>
      <c r="F58" s="66"/>
      <c r="G58" s="66"/>
      <c r="H58" s="66"/>
      <c r="I58" s="66"/>
      <c r="J58" s="66"/>
      <c r="K58" s="66"/>
      <c r="L58" s="66"/>
      <c r="M58" s="66"/>
      <c r="N58" s="66"/>
      <c r="O58" s="66"/>
      <c r="P58" s="65"/>
    </row>
    <row r="59" spans="1:16" x14ac:dyDescent="0.25">
      <c r="A59" s="64" t="str">
        <f>TRIM('Account Creation'!D58)</f>
        <v/>
      </c>
      <c r="B59" s="64" t="str">
        <f>TRIM('Account Creation'!C58)</f>
        <v/>
      </c>
      <c r="C59" s="64" t="str">
        <f>TRIM('Account Creation'!B58)</f>
        <v/>
      </c>
      <c r="D59" s="64" t="str">
        <f>TRIM('Help Desk'!D58)</f>
        <v/>
      </c>
      <c r="E59" s="65"/>
      <c r="F59" s="66"/>
      <c r="G59" s="66"/>
      <c r="H59" s="66"/>
      <c r="I59" s="66"/>
      <c r="J59" s="66"/>
      <c r="K59" s="66"/>
      <c r="L59" s="66"/>
      <c r="M59" s="66"/>
      <c r="N59" s="66"/>
      <c r="O59" s="66"/>
      <c r="P59" s="65"/>
    </row>
    <row r="60" spans="1:16" x14ac:dyDescent="0.25">
      <c r="A60" s="64" t="str">
        <f>TRIM('Account Creation'!D59)</f>
        <v/>
      </c>
      <c r="B60" s="64" t="str">
        <f>TRIM('Account Creation'!C59)</f>
        <v/>
      </c>
      <c r="C60" s="64" t="str">
        <f>TRIM('Account Creation'!B59)</f>
        <v/>
      </c>
      <c r="D60" s="64" t="str">
        <f>TRIM('Help Desk'!D59)</f>
        <v/>
      </c>
      <c r="E60" s="65"/>
      <c r="F60" s="66"/>
      <c r="G60" s="66"/>
      <c r="H60" s="66"/>
      <c r="I60" s="66"/>
      <c r="J60" s="66"/>
      <c r="K60" s="66"/>
      <c r="L60" s="66"/>
      <c r="M60" s="66"/>
      <c r="N60" s="66"/>
      <c r="O60" s="66"/>
      <c r="P60" s="65"/>
    </row>
    <row r="61" spans="1:16" x14ac:dyDescent="0.25">
      <c r="A61" s="64" t="str">
        <f>TRIM('Account Creation'!D60)</f>
        <v/>
      </c>
      <c r="B61" s="64" t="str">
        <f>TRIM('Account Creation'!C60)</f>
        <v/>
      </c>
      <c r="C61" s="64" t="str">
        <f>TRIM('Account Creation'!B60)</f>
        <v/>
      </c>
      <c r="D61" s="64" t="str">
        <f>TRIM('Help Desk'!D60)</f>
        <v/>
      </c>
      <c r="E61" s="65"/>
      <c r="F61" s="66"/>
      <c r="G61" s="66"/>
      <c r="H61" s="66"/>
      <c r="I61" s="66"/>
      <c r="J61" s="66"/>
      <c r="K61" s="66"/>
      <c r="L61" s="66"/>
      <c r="M61" s="66"/>
      <c r="N61" s="66"/>
      <c r="O61" s="66"/>
      <c r="P61" s="65"/>
    </row>
    <row r="62" spans="1:16" x14ac:dyDescent="0.25">
      <c r="A62" s="64" t="str">
        <f>TRIM('Account Creation'!D61)</f>
        <v/>
      </c>
      <c r="B62" s="64" t="str">
        <f>TRIM('Account Creation'!C61)</f>
        <v/>
      </c>
      <c r="C62" s="64" t="str">
        <f>TRIM('Account Creation'!B61)</f>
        <v/>
      </c>
      <c r="D62" s="64" t="str">
        <f>TRIM('Help Desk'!D61)</f>
        <v/>
      </c>
      <c r="E62" s="65"/>
      <c r="F62" s="66"/>
      <c r="G62" s="66"/>
      <c r="H62" s="66"/>
      <c r="I62" s="66"/>
      <c r="J62" s="66"/>
      <c r="K62" s="66"/>
      <c r="L62" s="66"/>
      <c r="M62" s="66"/>
      <c r="N62" s="66"/>
      <c r="O62" s="66"/>
      <c r="P62" s="65"/>
    </row>
    <row r="63" spans="1:16" x14ac:dyDescent="0.25">
      <c r="A63" s="64" t="str">
        <f>TRIM('Account Creation'!D62)</f>
        <v/>
      </c>
      <c r="B63" s="64" t="str">
        <f>TRIM('Account Creation'!C62)</f>
        <v/>
      </c>
      <c r="C63" s="64" t="str">
        <f>TRIM('Account Creation'!B62)</f>
        <v/>
      </c>
      <c r="D63" s="64" t="str">
        <f>TRIM('Help Desk'!D62)</f>
        <v/>
      </c>
      <c r="E63" s="65"/>
      <c r="F63" s="66"/>
      <c r="G63" s="66"/>
      <c r="H63" s="66"/>
      <c r="I63" s="66"/>
      <c r="J63" s="66"/>
      <c r="K63" s="66"/>
      <c r="L63" s="66"/>
      <c r="M63" s="66"/>
      <c r="N63" s="66"/>
      <c r="O63" s="66"/>
      <c r="P63" s="65"/>
    </row>
    <row r="64" spans="1:16" x14ac:dyDescent="0.25">
      <c r="A64" s="64" t="str">
        <f>TRIM('Account Creation'!D63)</f>
        <v/>
      </c>
      <c r="B64" s="64" t="str">
        <f>TRIM('Account Creation'!C63)</f>
        <v/>
      </c>
      <c r="C64" s="64" t="str">
        <f>TRIM('Account Creation'!B63)</f>
        <v/>
      </c>
      <c r="D64" s="64" t="str">
        <f>TRIM('Help Desk'!D63)</f>
        <v/>
      </c>
      <c r="E64" s="65"/>
      <c r="F64" s="66"/>
      <c r="G64" s="66"/>
      <c r="H64" s="66"/>
      <c r="I64" s="66"/>
      <c r="J64" s="66"/>
      <c r="K64" s="66"/>
      <c r="L64" s="66"/>
      <c r="M64" s="66"/>
      <c r="N64" s="66"/>
      <c r="O64" s="66"/>
      <c r="P64" s="65"/>
    </row>
    <row r="65" spans="1:16" x14ac:dyDescent="0.25">
      <c r="A65" s="64" t="str">
        <f>TRIM('Account Creation'!D64)</f>
        <v/>
      </c>
      <c r="B65" s="64" t="str">
        <f>TRIM('Account Creation'!C64)</f>
        <v/>
      </c>
      <c r="C65" s="64" t="str">
        <f>TRIM('Account Creation'!B64)</f>
        <v/>
      </c>
      <c r="D65" s="64" t="str">
        <f>TRIM('Help Desk'!D64)</f>
        <v/>
      </c>
      <c r="E65" s="65"/>
      <c r="F65" s="66"/>
      <c r="G65" s="66"/>
      <c r="H65" s="66"/>
      <c r="I65" s="66"/>
      <c r="J65" s="66"/>
      <c r="K65" s="66"/>
      <c r="L65" s="66"/>
      <c r="M65" s="66"/>
      <c r="N65" s="66"/>
      <c r="O65" s="66"/>
      <c r="P65" s="65"/>
    </row>
    <row r="66" spans="1:16" x14ac:dyDescent="0.25">
      <c r="A66" s="64" t="str">
        <f>TRIM('Account Creation'!D65)</f>
        <v/>
      </c>
      <c r="B66" s="64" t="str">
        <f>TRIM('Account Creation'!C65)</f>
        <v/>
      </c>
      <c r="C66" s="64" t="str">
        <f>TRIM('Account Creation'!B65)</f>
        <v/>
      </c>
      <c r="D66" s="64" t="str">
        <f>TRIM('Help Desk'!D65)</f>
        <v/>
      </c>
      <c r="E66" s="65"/>
      <c r="F66" s="66"/>
      <c r="G66" s="66"/>
      <c r="H66" s="66"/>
      <c r="I66" s="66"/>
      <c r="J66" s="66"/>
      <c r="K66" s="66"/>
      <c r="L66" s="66"/>
      <c r="M66" s="66"/>
      <c r="N66" s="66"/>
      <c r="O66" s="66"/>
      <c r="P66" s="65"/>
    </row>
    <row r="67" spans="1:16" x14ac:dyDescent="0.25">
      <c r="A67" s="64" t="str">
        <f>TRIM('Account Creation'!D66)</f>
        <v/>
      </c>
      <c r="B67" s="64" t="str">
        <f>TRIM('Account Creation'!C66)</f>
        <v/>
      </c>
      <c r="C67" s="64" t="str">
        <f>TRIM('Account Creation'!B66)</f>
        <v/>
      </c>
      <c r="D67" s="64" t="str">
        <f>TRIM('Help Desk'!D66)</f>
        <v/>
      </c>
      <c r="E67" s="65"/>
      <c r="F67" s="66"/>
      <c r="G67" s="66"/>
      <c r="H67" s="66"/>
      <c r="I67" s="66"/>
      <c r="J67" s="66"/>
      <c r="K67" s="66"/>
      <c r="L67" s="66"/>
      <c r="M67" s="66"/>
      <c r="N67" s="66"/>
      <c r="O67" s="66"/>
      <c r="P67" s="65"/>
    </row>
    <row r="68" spans="1:16" x14ac:dyDescent="0.25">
      <c r="A68" s="64" t="str">
        <f>TRIM('Account Creation'!D67)</f>
        <v/>
      </c>
      <c r="B68" s="64" t="str">
        <f>TRIM('Account Creation'!C67)</f>
        <v/>
      </c>
      <c r="C68" s="64" t="str">
        <f>TRIM('Account Creation'!B67)</f>
        <v/>
      </c>
      <c r="D68" s="64" t="str">
        <f>TRIM('Help Desk'!D67)</f>
        <v/>
      </c>
      <c r="E68" s="65"/>
      <c r="F68" s="66"/>
      <c r="G68" s="66"/>
      <c r="H68" s="66"/>
      <c r="I68" s="66"/>
      <c r="J68" s="66"/>
      <c r="K68" s="66"/>
      <c r="L68" s="66"/>
      <c r="M68" s="66"/>
      <c r="N68" s="66"/>
      <c r="O68" s="66"/>
      <c r="P68" s="65"/>
    </row>
    <row r="69" spans="1:16" x14ac:dyDescent="0.25">
      <c r="A69" s="64" t="str">
        <f>TRIM('Account Creation'!D68)</f>
        <v/>
      </c>
      <c r="B69" s="64" t="str">
        <f>TRIM('Account Creation'!C68)</f>
        <v/>
      </c>
      <c r="C69" s="64" t="str">
        <f>TRIM('Account Creation'!B68)</f>
        <v/>
      </c>
      <c r="D69" s="64" t="str">
        <f>TRIM('Help Desk'!D68)</f>
        <v/>
      </c>
      <c r="E69" s="65"/>
      <c r="F69" s="66"/>
      <c r="G69" s="66"/>
      <c r="H69" s="66"/>
      <c r="I69" s="66"/>
      <c r="J69" s="66"/>
      <c r="K69" s="66"/>
      <c r="L69" s="66"/>
      <c r="M69" s="66"/>
      <c r="N69" s="66"/>
      <c r="O69" s="66"/>
      <c r="P69" s="65"/>
    </row>
    <row r="70" spans="1:16" x14ac:dyDescent="0.25">
      <c r="A70" s="64" t="str">
        <f>TRIM('Account Creation'!D69)</f>
        <v/>
      </c>
      <c r="B70" s="64" t="str">
        <f>TRIM('Account Creation'!C69)</f>
        <v/>
      </c>
      <c r="C70" s="64" t="str">
        <f>TRIM('Account Creation'!B69)</f>
        <v/>
      </c>
      <c r="D70" s="64" t="str">
        <f>TRIM('Help Desk'!D69)</f>
        <v/>
      </c>
      <c r="E70" s="65"/>
      <c r="F70" s="66"/>
      <c r="G70" s="66"/>
      <c r="H70" s="66"/>
      <c r="I70" s="66"/>
      <c r="J70" s="66"/>
      <c r="K70" s="66"/>
      <c r="L70" s="66"/>
      <c r="M70" s="66"/>
      <c r="N70" s="66"/>
      <c r="O70" s="66"/>
      <c r="P70" s="65"/>
    </row>
    <row r="71" spans="1:16" x14ac:dyDescent="0.25">
      <c r="A71" s="64" t="str">
        <f>TRIM('Account Creation'!D70)</f>
        <v/>
      </c>
      <c r="B71" s="64" t="str">
        <f>TRIM('Account Creation'!C70)</f>
        <v/>
      </c>
      <c r="C71" s="64" t="str">
        <f>TRIM('Account Creation'!B70)</f>
        <v/>
      </c>
      <c r="D71" s="64" t="str">
        <f>TRIM('Help Desk'!D70)</f>
        <v/>
      </c>
      <c r="E71" s="65"/>
      <c r="F71" s="66"/>
      <c r="G71" s="66"/>
      <c r="H71" s="66"/>
      <c r="I71" s="66"/>
      <c r="J71" s="66"/>
      <c r="K71" s="66"/>
      <c r="L71" s="66"/>
      <c r="M71" s="66"/>
      <c r="N71" s="66"/>
      <c r="O71" s="66"/>
      <c r="P71" s="65"/>
    </row>
    <row r="72" spans="1:16" x14ac:dyDescent="0.25">
      <c r="A72" s="64" t="str">
        <f>TRIM('Account Creation'!D71)</f>
        <v/>
      </c>
      <c r="B72" s="64" t="str">
        <f>TRIM('Account Creation'!C71)</f>
        <v/>
      </c>
      <c r="C72" s="64" t="str">
        <f>TRIM('Account Creation'!B71)</f>
        <v/>
      </c>
      <c r="D72" s="64" t="str">
        <f>TRIM('Help Desk'!D71)</f>
        <v/>
      </c>
      <c r="E72" s="65"/>
      <c r="F72" s="66"/>
      <c r="G72" s="66"/>
      <c r="H72" s="66"/>
      <c r="I72" s="66"/>
      <c r="J72" s="66"/>
      <c r="K72" s="66"/>
      <c r="L72" s="66"/>
      <c r="M72" s="66"/>
      <c r="N72" s="66"/>
      <c r="O72" s="66"/>
      <c r="P72" s="65"/>
    </row>
    <row r="73" spans="1:16" x14ac:dyDescent="0.25">
      <c r="A73" s="64" t="str">
        <f>TRIM('Account Creation'!D72)</f>
        <v/>
      </c>
      <c r="B73" s="64" t="str">
        <f>TRIM('Account Creation'!C72)</f>
        <v/>
      </c>
      <c r="C73" s="64" t="str">
        <f>TRIM('Account Creation'!B72)</f>
        <v/>
      </c>
      <c r="D73" s="64" t="str">
        <f>TRIM('Help Desk'!D72)</f>
        <v/>
      </c>
      <c r="E73" s="65"/>
      <c r="F73" s="66"/>
      <c r="G73" s="66"/>
      <c r="H73" s="66"/>
      <c r="I73" s="66"/>
      <c r="J73" s="66"/>
      <c r="K73" s="66"/>
      <c r="L73" s="66"/>
      <c r="M73" s="66"/>
      <c r="N73" s="66"/>
      <c r="O73" s="66"/>
      <c r="P73" s="65"/>
    </row>
    <row r="74" spans="1:16" x14ac:dyDescent="0.25">
      <c r="A74" s="64" t="str">
        <f>TRIM('Account Creation'!D73)</f>
        <v/>
      </c>
      <c r="B74" s="64" t="str">
        <f>TRIM('Account Creation'!C73)</f>
        <v/>
      </c>
      <c r="C74" s="64" t="str">
        <f>TRIM('Account Creation'!B73)</f>
        <v/>
      </c>
      <c r="D74" s="64" t="str">
        <f>TRIM('Help Desk'!D73)</f>
        <v/>
      </c>
      <c r="E74" s="65"/>
      <c r="F74" s="66"/>
      <c r="G74" s="66"/>
      <c r="H74" s="66"/>
      <c r="I74" s="66"/>
      <c r="J74" s="66"/>
      <c r="K74" s="66"/>
      <c r="L74" s="66"/>
      <c r="M74" s="66"/>
      <c r="N74" s="66"/>
      <c r="O74" s="66"/>
      <c r="P74" s="65"/>
    </row>
    <row r="75" spans="1:16" x14ac:dyDescent="0.25">
      <c r="A75" s="64" t="str">
        <f>TRIM('Account Creation'!D74)</f>
        <v/>
      </c>
      <c r="B75" s="64" t="str">
        <f>TRIM('Account Creation'!C74)</f>
        <v/>
      </c>
      <c r="C75" s="64" t="str">
        <f>TRIM('Account Creation'!B74)</f>
        <v/>
      </c>
      <c r="D75" s="64" t="str">
        <f>TRIM('Help Desk'!D74)</f>
        <v/>
      </c>
      <c r="E75" s="65"/>
      <c r="F75" s="66"/>
      <c r="G75" s="66"/>
      <c r="H75" s="66"/>
      <c r="I75" s="66"/>
      <c r="J75" s="66"/>
      <c r="K75" s="66"/>
      <c r="L75" s="66"/>
      <c r="M75" s="66"/>
      <c r="N75" s="66"/>
      <c r="O75" s="66"/>
      <c r="P75" s="65"/>
    </row>
    <row r="76" spans="1:16" x14ac:dyDescent="0.25">
      <c r="A76" s="64" t="str">
        <f>TRIM('Account Creation'!D75)</f>
        <v/>
      </c>
      <c r="B76" s="64" t="str">
        <f>TRIM('Account Creation'!C75)</f>
        <v/>
      </c>
      <c r="C76" s="64" t="str">
        <f>TRIM('Account Creation'!B75)</f>
        <v/>
      </c>
      <c r="D76" s="64" t="str">
        <f>TRIM('Help Desk'!D75)</f>
        <v/>
      </c>
      <c r="E76" s="65"/>
      <c r="F76" s="66"/>
      <c r="G76" s="66"/>
      <c r="H76" s="66"/>
      <c r="I76" s="66"/>
      <c r="J76" s="66"/>
      <c r="K76" s="66"/>
      <c r="L76" s="66"/>
      <c r="M76" s="66"/>
      <c r="N76" s="66"/>
      <c r="O76" s="66"/>
      <c r="P76" s="65"/>
    </row>
    <row r="77" spans="1:16" x14ac:dyDescent="0.25">
      <c r="A77" s="64" t="str">
        <f>TRIM('Account Creation'!D76)</f>
        <v/>
      </c>
      <c r="B77" s="64" t="str">
        <f>TRIM('Account Creation'!C76)</f>
        <v/>
      </c>
      <c r="C77" s="64" t="str">
        <f>TRIM('Account Creation'!B76)</f>
        <v/>
      </c>
      <c r="D77" s="64" t="str">
        <f>TRIM('Help Desk'!D76)</f>
        <v/>
      </c>
      <c r="E77" s="65"/>
      <c r="F77" s="66"/>
      <c r="G77" s="66"/>
      <c r="H77" s="66"/>
      <c r="I77" s="66"/>
      <c r="J77" s="66"/>
      <c r="K77" s="66"/>
      <c r="L77" s="66"/>
      <c r="M77" s="66"/>
      <c r="N77" s="66"/>
      <c r="O77" s="66"/>
      <c r="P77" s="65"/>
    </row>
    <row r="78" spans="1:16" x14ac:dyDescent="0.25">
      <c r="A78" s="64" t="str">
        <f>TRIM('Account Creation'!D77)</f>
        <v/>
      </c>
      <c r="B78" s="64" t="str">
        <f>TRIM('Account Creation'!C77)</f>
        <v/>
      </c>
      <c r="C78" s="64" t="str">
        <f>TRIM('Account Creation'!B77)</f>
        <v/>
      </c>
      <c r="D78" s="64" t="str">
        <f>TRIM('Help Desk'!D77)</f>
        <v/>
      </c>
      <c r="E78" s="65"/>
      <c r="F78" s="66"/>
      <c r="G78" s="66"/>
      <c r="H78" s="66"/>
      <c r="I78" s="66"/>
      <c r="J78" s="66"/>
      <c r="K78" s="66"/>
      <c r="L78" s="66"/>
      <c r="M78" s="66"/>
      <c r="N78" s="66"/>
      <c r="O78" s="66"/>
      <c r="P78" s="65"/>
    </row>
    <row r="79" spans="1:16" x14ac:dyDescent="0.25">
      <c r="A79" s="64" t="str">
        <f>TRIM('Account Creation'!D78)</f>
        <v/>
      </c>
      <c r="B79" s="64" t="str">
        <f>TRIM('Account Creation'!C78)</f>
        <v/>
      </c>
      <c r="C79" s="64" t="str">
        <f>TRIM('Account Creation'!B78)</f>
        <v/>
      </c>
      <c r="D79" s="64" t="str">
        <f>TRIM('Help Desk'!D78)</f>
        <v/>
      </c>
      <c r="E79" s="65"/>
      <c r="F79" s="66"/>
      <c r="G79" s="66"/>
      <c r="H79" s="66"/>
      <c r="I79" s="66"/>
      <c r="J79" s="66"/>
      <c r="K79" s="66"/>
      <c r="L79" s="66"/>
      <c r="M79" s="66"/>
      <c r="N79" s="66"/>
      <c r="O79" s="66"/>
      <c r="P79" s="65"/>
    </row>
    <row r="80" spans="1:16" x14ac:dyDescent="0.25">
      <c r="A80" s="64" t="str">
        <f>TRIM('Account Creation'!D79)</f>
        <v/>
      </c>
      <c r="B80" s="64" t="str">
        <f>TRIM('Account Creation'!C79)</f>
        <v/>
      </c>
      <c r="C80" s="64" t="str">
        <f>TRIM('Account Creation'!B79)</f>
        <v/>
      </c>
      <c r="D80" s="64" t="str">
        <f>TRIM('Help Desk'!D79)</f>
        <v/>
      </c>
      <c r="E80" s="65"/>
      <c r="F80" s="66"/>
      <c r="G80" s="66"/>
      <c r="H80" s="66"/>
      <c r="I80" s="66"/>
      <c r="J80" s="66"/>
      <c r="K80" s="66"/>
      <c r="L80" s="66"/>
      <c r="M80" s="66"/>
      <c r="N80" s="66"/>
      <c r="O80" s="66"/>
      <c r="P80" s="65"/>
    </row>
    <row r="81" spans="1:16" x14ac:dyDescent="0.25">
      <c r="A81" s="64" t="str">
        <f>TRIM('Account Creation'!D80)</f>
        <v/>
      </c>
      <c r="B81" s="64" t="str">
        <f>TRIM('Account Creation'!C80)</f>
        <v/>
      </c>
      <c r="C81" s="64" t="str">
        <f>TRIM('Account Creation'!B80)</f>
        <v/>
      </c>
      <c r="D81" s="64" t="str">
        <f>TRIM('Help Desk'!D80)</f>
        <v/>
      </c>
      <c r="E81" s="65"/>
      <c r="F81" s="66"/>
      <c r="G81" s="66"/>
      <c r="H81" s="66"/>
      <c r="I81" s="66"/>
      <c r="J81" s="66"/>
      <c r="K81" s="66"/>
      <c r="L81" s="66"/>
      <c r="M81" s="66"/>
      <c r="N81" s="66"/>
      <c r="O81" s="66"/>
      <c r="P81" s="65"/>
    </row>
    <row r="82" spans="1:16" x14ac:dyDescent="0.25">
      <c r="A82" s="64" t="str">
        <f>TRIM('Account Creation'!D81)</f>
        <v/>
      </c>
      <c r="B82" s="64" t="str">
        <f>TRIM('Account Creation'!C81)</f>
        <v/>
      </c>
      <c r="C82" s="64" t="str">
        <f>TRIM('Account Creation'!B81)</f>
        <v/>
      </c>
      <c r="D82" s="64" t="str">
        <f>TRIM('Help Desk'!D81)</f>
        <v/>
      </c>
      <c r="E82" s="65"/>
      <c r="F82" s="66"/>
      <c r="G82" s="66"/>
      <c r="H82" s="66"/>
      <c r="I82" s="66"/>
      <c r="J82" s="66"/>
      <c r="K82" s="66"/>
      <c r="L82" s="66"/>
      <c r="M82" s="66"/>
      <c r="N82" s="66"/>
      <c r="O82" s="66"/>
      <c r="P82" s="65"/>
    </row>
    <row r="83" spans="1:16" x14ac:dyDescent="0.25">
      <c r="A83" s="64" t="str">
        <f>TRIM('Account Creation'!D82)</f>
        <v/>
      </c>
      <c r="B83" s="64" t="str">
        <f>TRIM('Account Creation'!C82)</f>
        <v/>
      </c>
      <c r="C83" s="64" t="str">
        <f>TRIM('Account Creation'!B82)</f>
        <v/>
      </c>
      <c r="D83" s="64" t="str">
        <f>TRIM('Help Desk'!D82)</f>
        <v/>
      </c>
      <c r="E83" s="65"/>
      <c r="F83" s="66"/>
      <c r="G83" s="66"/>
      <c r="H83" s="66"/>
      <c r="I83" s="66"/>
      <c r="J83" s="66"/>
      <c r="K83" s="66"/>
      <c r="L83" s="66"/>
      <c r="M83" s="66"/>
      <c r="N83" s="66"/>
      <c r="O83" s="66"/>
      <c r="P83" s="65"/>
    </row>
    <row r="84" spans="1:16" x14ac:dyDescent="0.25">
      <c r="A84" s="64" t="str">
        <f>TRIM('Account Creation'!D83)</f>
        <v/>
      </c>
      <c r="B84" s="64" t="str">
        <f>TRIM('Account Creation'!C83)</f>
        <v/>
      </c>
      <c r="C84" s="64" t="str">
        <f>TRIM('Account Creation'!B83)</f>
        <v/>
      </c>
      <c r="D84" s="64" t="str">
        <f>TRIM('Help Desk'!D83)</f>
        <v/>
      </c>
      <c r="E84" s="65"/>
      <c r="F84" s="66"/>
      <c r="G84" s="66"/>
      <c r="H84" s="66"/>
      <c r="I84" s="66"/>
      <c r="J84" s="66"/>
      <c r="K84" s="66"/>
      <c r="L84" s="66"/>
      <c r="M84" s="66"/>
      <c r="N84" s="66"/>
      <c r="O84" s="66"/>
      <c r="P84" s="65"/>
    </row>
    <row r="85" spans="1:16" x14ac:dyDescent="0.25">
      <c r="A85" s="64" t="str">
        <f>TRIM('Account Creation'!D84)</f>
        <v/>
      </c>
      <c r="B85" s="64" t="str">
        <f>TRIM('Account Creation'!C84)</f>
        <v/>
      </c>
      <c r="C85" s="64" t="str">
        <f>TRIM('Account Creation'!B84)</f>
        <v/>
      </c>
      <c r="D85" s="64" t="str">
        <f>TRIM('Help Desk'!D84)</f>
        <v/>
      </c>
      <c r="E85" s="65"/>
      <c r="F85" s="66"/>
      <c r="G85" s="66"/>
      <c r="H85" s="66"/>
      <c r="I85" s="66"/>
      <c r="J85" s="66"/>
      <c r="K85" s="66"/>
      <c r="L85" s="66"/>
      <c r="M85" s="66"/>
      <c r="N85" s="66"/>
      <c r="O85" s="66"/>
      <c r="P85" s="65"/>
    </row>
    <row r="86" spans="1:16" x14ac:dyDescent="0.25">
      <c r="A86" s="64" t="str">
        <f>TRIM('Account Creation'!D85)</f>
        <v/>
      </c>
      <c r="B86" s="64" t="str">
        <f>TRIM('Account Creation'!C85)</f>
        <v/>
      </c>
      <c r="C86" s="64" t="str">
        <f>TRIM('Account Creation'!B85)</f>
        <v/>
      </c>
      <c r="D86" s="64" t="str">
        <f>TRIM('Help Desk'!D85)</f>
        <v/>
      </c>
      <c r="E86" s="65"/>
      <c r="F86" s="66"/>
      <c r="G86" s="66"/>
      <c r="H86" s="66"/>
      <c r="I86" s="66"/>
      <c r="J86" s="66"/>
      <c r="K86" s="66"/>
      <c r="L86" s="66"/>
      <c r="M86" s="66"/>
      <c r="N86" s="66"/>
      <c r="O86" s="66"/>
      <c r="P86" s="65"/>
    </row>
    <row r="87" spans="1:16" x14ac:dyDescent="0.25">
      <c r="A87" s="64" t="str">
        <f>TRIM('Account Creation'!D86)</f>
        <v/>
      </c>
      <c r="B87" s="64" t="str">
        <f>TRIM('Account Creation'!C86)</f>
        <v/>
      </c>
      <c r="C87" s="64" t="str">
        <f>TRIM('Account Creation'!B86)</f>
        <v/>
      </c>
      <c r="D87" s="64" t="str">
        <f>TRIM('Help Desk'!D86)</f>
        <v/>
      </c>
      <c r="E87" s="65"/>
      <c r="F87" s="66"/>
      <c r="G87" s="66"/>
      <c r="H87" s="66"/>
      <c r="I87" s="66"/>
      <c r="J87" s="66"/>
      <c r="K87" s="66"/>
      <c r="L87" s="66"/>
      <c r="M87" s="66"/>
      <c r="N87" s="66"/>
      <c r="O87" s="66"/>
      <c r="P87" s="65"/>
    </row>
    <row r="88" spans="1:16" x14ac:dyDescent="0.25">
      <c r="A88" s="64" t="str">
        <f>TRIM('Account Creation'!D87)</f>
        <v/>
      </c>
      <c r="B88" s="64" t="str">
        <f>TRIM('Account Creation'!C87)</f>
        <v/>
      </c>
      <c r="C88" s="64" t="str">
        <f>TRIM('Account Creation'!B87)</f>
        <v/>
      </c>
      <c r="D88" s="64" t="str">
        <f>TRIM('Help Desk'!D87)</f>
        <v/>
      </c>
      <c r="E88" s="65"/>
      <c r="F88" s="66"/>
      <c r="G88" s="66"/>
      <c r="H88" s="66"/>
      <c r="I88" s="66"/>
      <c r="J88" s="66"/>
      <c r="K88" s="66"/>
      <c r="L88" s="66"/>
      <c r="M88" s="66"/>
      <c r="N88" s="66"/>
      <c r="O88" s="66"/>
      <c r="P88" s="65"/>
    </row>
    <row r="89" spans="1:16" x14ac:dyDescent="0.25">
      <c r="A89" s="64" t="str">
        <f>TRIM('Account Creation'!D88)</f>
        <v/>
      </c>
      <c r="B89" s="64" t="str">
        <f>TRIM('Account Creation'!C88)</f>
        <v/>
      </c>
      <c r="C89" s="64" t="str">
        <f>TRIM('Account Creation'!B88)</f>
        <v/>
      </c>
      <c r="D89" s="64" t="str">
        <f>TRIM('Help Desk'!D88)</f>
        <v/>
      </c>
      <c r="E89" s="65"/>
      <c r="F89" s="66"/>
      <c r="G89" s="66"/>
      <c r="H89" s="66"/>
      <c r="I89" s="66"/>
      <c r="J89" s="66"/>
      <c r="K89" s="66"/>
      <c r="L89" s="66"/>
      <c r="M89" s="66"/>
      <c r="N89" s="66"/>
      <c r="O89" s="66"/>
      <c r="P89" s="65"/>
    </row>
    <row r="90" spans="1:16" x14ac:dyDescent="0.25">
      <c r="A90" s="64" t="str">
        <f>TRIM('Account Creation'!D89)</f>
        <v/>
      </c>
      <c r="B90" s="64" t="str">
        <f>TRIM('Account Creation'!C89)</f>
        <v/>
      </c>
      <c r="C90" s="64" t="str">
        <f>TRIM('Account Creation'!B89)</f>
        <v/>
      </c>
      <c r="D90" s="64" t="str">
        <f>TRIM('Help Desk'!D89)</f>
        <v/>
      </c>
      <c r="E90" s="65"/>
      <c r="F90" s="66"/>
      <c r="G90" s="66"/>
      <c r="H90" s="66"/>
      <c r="I90" s="66"/>
      <c r="J90" s="66"/>
      <c r="K90" s="66"/>
      <c r="L90" s="66"/>
      <c r="M90" s="66"/>
      <c r="N90" s="66"/>
      <c r="O90" s="66"/>
      <c r="P90" s="65"/>
    </row>
    <row r="91" spans="1:16" x14ac:dyDescent="0.25">
      <c r="A91" s="64" t="str">
        <f>TRIM('Account Creation'!D90)</f>
        <v/>
      </c>
      <c r="B91" s="64" t="str">
        <f>TRIM('Account Creation'!C90)</f>
        <v/>
      </c>
      <c r="C91" s="64" t="str">
        <f>TRIM('Account Creation'!B90)</f>
        <v/>
      </c>
      <c r="D91" s="64" t="str">
        <f>TRIM('Help Desk'!D90)</f>
        <v/>
      </c>
      <c r="E91" s="65"/>
      <c r="F91" s="66"/>
      <c r="G91" s="66"/>
      <c r="H91" s="66"/>
      <c r="I91" s="66"/>
      <c r="J91" s="66"/>
      <c r="K91" s="66"/>
      <c r="L91" s="66"/>
      <c r="M91" s="66"/>
      <c r="N91" s="66"/>
      <c r="O91" s="66"/>
      <c r="P91" s="65"/>
    </row>
    <row r="92" spans="1:16" x14ac:dyDescent="0.25">
      <c r="A92" s="64" t="str">
        <f>TRIM('Account Creation'!D91)</f>
        <v/>
      </c>
      <c r="B92" s="64" t="str">
        <f>TRIM('Account Creation'!C91)</f>
        <v/>
      </c>
      <c r="C92" s="64" t="str">
        <f>TRIM('Account Creation'!B91)</f>
        <v/>
      </c>
      <c r="D92" s="64" t="str">
        <f>TRIM('Help Desk'!D91)</f>
        <v/>
      </c>
      <c r="E92" s="65"/>
      <c r="F92" s="66"/>
      <c r="G92" s="66"/>
      <c r="H92" s="66"/>
      <c r="I92" s="66"/>
      <c r="J92" s="66"/>
      <c r="K92" s="66"/>
      <c r="L92" s="66"/>
      <c r="M92" s="66"/>
      <c r="N92" s="66"/>
      <c r="O92" s="66"/>
      <c r="P92" s="65"/>
    </row>
    <row r="93" spans="1:16" x14ac:dyDescent="0.25">
      <c r="A93" s="64" t="str">
        <f>TRIM('Account Creation'!D92)</f>
        <v/>
      </c>
      <c r="B93" s="64" t="str">
        <f>TRIM('Account Creation'!C92)</f>
        <v/>
      </c>
      <c r="C93" s="64" t="str">
        <f>TRIM('Account Creation'!B92)</f>
        <v/>
      </c>
      <c r="D93" s="64" t="str">
        <f>TRIM('Help Desk'!D92)</f>
        <v/>
      </c>
      <c r="E93" s="65"/>
      <c r="F93" s="66"/>
      <c r="G93" s="66"/>
      <c r="H93" s="66"/>
      <c r="I93" s="66"/>
      <c r="J93" s="66"/>
      <c r="K93" s="66"/>
      <c r="L93" s="66"/>
      <c r="M93" s="66"/>
      <c r="N93" s="66"/>
      <c r="O93" s="66"/>
      <c r="P93" s="65"/>
    </row>
    <row r="94" spans="1:16" x14ac:dyDescent="0.25">
      <c r="A94" s="64" t="str">
        <f>TRIM('Account Creation'!D93)</f>
        <v/>
      </c>
      <c r="B94" s="64" t="str">
        <f>TRIM('Account Creation'!C93)</f>
        <v/>
      </c>
      <c r="C94" s="64" t="str">
        <f>TRIM('Account Creation'!B93)</f>
        <v/>
      </c>
      <c r="D94" s="64" t="str">
        <f>TRIM('Help Desk'!D93)</f>
        <v/>
      </c>
      <c r="E94" s="65"/>
      <c r="F94" s="66"/>
      <c r="G94" s="66"/>
      <c r="H94" s="66"/>
      <c r="I94" s="66"/>
      <c r="J94" s="66"/>
      <c r="K94" s="66"/>
      <c r="L94" s="66"/>
      <c r="M94" s="66"/>
      <c r="N94" s="66"/>
      <c r="O94" s="66"/>
      <c r="P94" s="65"/>
    </row>
    <row r="95" spans="1:16" x14ac:dyDescent="0.25">
      <c r="A95" s="64" t="str">
        <f>TRIM('Account Creation'!D94)</f>
        <v/>
      </c>
      <c r="B95" s="64" t="str">
        <f>TRIM('Account Creation'!C94)</f>
        <v/>
      </c>
      <c r="C95" s="64" t="str">
        <f>TRIM('Account Creation'!B94)</f>
        <v/>
      </c>
      <c r="D95" s="64" t="str">
        <f>TRIM('Help Desk'!D94)</f>
        <v/>
      </c>
      <c r="E95" s="65"/>
      <c r="F95" s="66"/>
      <c r="G95" s="66"/>
      <c r="H95" s="66"/>
      <c r="I95" s="66"/>
      <c r="J95" s="66"/>
      <c r="K95" s="66"/>
      <c r="L95" s="66"/>
      <c r="M95" s="66"/>
      <c r="N95" s="66"/>
      <c r="O95" s="66"/>
      <c r="P95" s="65"/>
    </row>
    <row r="96" spans="1:16" x14ac:dyDescent="0.25">
      <c r="A96" s="64" t="str">
        <f>TRIM('Account Creation'!D95)</f>
        <v/>
      </c>
      <c r="B96" s="64" t="str">
        <f>TRIM('Account Creation'!C95)</f>
        <v/>
      </c>
      <c r="C96" s="64" t="str">
        <f>TRIM('Account Creation'!B95)</f>
        <v/>
      </c>
      <c r="D96" s="64" t="str">
        <f>TRIM('Help Desk'!D95)</f>
        <v/>
      </c>
      <c r="E96" s="65"/>
      <c r="F96" s="66"/>
      <c r="G96" s="66"/>
      <c r="H96" s="66"/>
      <c r="I96" s="66"/>
      <c r="J96" s="66"/>
      <c r="K96" s="66"/>
      <c r="L96" s="66"/>
      <c r="M96" s="66"/>
      <c r="N96" s="66"/>
      <c r="O96" s="66"/>
      <c r="P96" s="65"/>
    </row>
    <row r="97" spans="1:16" x14ac:dyDescent="0.25">
      <c r="A97" s="64" t="str">
        <f>TRIM('Account Creation'!D96)</f>
        <v/>
      </c>
      <c r="B97" s="64" t="str">
        <f>TRIM('Account Creation'!C96)</f>
        <v/>
      </c>
      <c r="C97" s="64" t="str">
        <f>TRIM('Account Creation'!B96)</f>
        <v/>
      </c>
      <c r="D97" s="64" t="str">
        <f>TRIM('Help Desk'!D96)</f>
        <v/>
      </c>
      <c r="E97" s="65"/>
      <c r="F97" s="66"/>
      <c r="G97" s="66"/>
      <c r="H97" s="66"/>
      <c r="I97" s="66"/>
      <c r="J97" s="66"/>
      <c r="K97" s="66"/>
      <c r="L97" s="66"/>
      <c r="M97" s="66"/>
      <c r="N97" s="66"/>
      <c r="O97" s="66"/>
      <c r="P97" s="65"/>
    </row>
    <row r="98" spans="1:16" x14ac:dyDescent="0.25">
      <c r="A98" s="64" t="str">
        <f>TRIM('Account Creation'!D97)</f>
        <v/>
      </c>
      <c r="B98" s="64" t="str">
        <f>TRIM('Account Creation'!C97)</f>
        <v/>
      </c>
      <c r="C98" s="64" t="str">
        <f>TRIM('Account Creation'!B97)</f>
        <v/>
      </c>
      <c r="D98" s="64" t="str">
        <f>TRIM('Help Desk'!D97)</f>
        <v/>
      </c>
      <c r="E98" s="65"/>
      <c r="F98" s="66"/>
      <c r="G98" s="66"/>
      <c r="H98" s="66"/>
      <c r="I98" s="66"/>
      <c r="J98" s="66"/>
      <c r="K98" s="66"/>
      <c r="L98" s="66"/>
      <c r="M98" s="66"/>
      <c r="N98" s="66"/>
      <c r="O98" s="66"/>
      <c r="P98" s="65"/>
    </row>
    <row r="99" spans="1:16" x14ac:dyDescent="0.25">
      <c r="A99" s="64" t="str">
        <f>TRIM('Account Creation'!D98)</f>
        <v/>
      </c>
      <c r="B99" s="64" t="str">
        <f>TRIM('Account Creation'!C98)</f>
        <v/>
      </c>
      <c r="C99" s="64" t="str">
        <f>TRIM('Account Creation'!B98)</f>
        <v/>
      </c>
      <c r="D99" s="64" t="str">
        <f>TRIM('Help Desk'!D98)</f>
        <v/>
      </c>
      <c r="E99" s="65"/>
      <c r="F99" s="66"/>
      <c r="G99" s="66"/>
      <c r="H99" s="66"/>
      <c r="I99" s="66"/>
      <c r="J99" s="66"/>
      <c r="K99" s="66"/>
      <c r="L99" s="66"/>
      <c r="M99" s="66"/>
      <c r="N99" s="66"/>
      <c r="O99" s="66"/>
      <c r="P99" s="65"/>
    </row>
    <row r="100" spans="1:16" x14ac:dyDescent="0.25">
      <c r="A100" s="64" t="str">
        <f>TRIM('Account Creation'!D99)</f>
        <v/>
      </c>
      <c r="B100" s="64" t="str">
        <f>TRIM('Account Creation'!C99)</f>
        <v/>
      </c>
      <c r="C100" s="64" t="str">
        <f>TRIM('Account Creation'!B99)</f>
        <v/>
      </c>
      <c r="D100" s="64" t="str">
        <f>TRIM('Help Desk'!D99)</f>
        <v/>
      </c>
      <c r="E100" s="65"/>
      <c r="F100" s="66"/>
      <c r="G100" s="66"/>
      <c r="H100" s="66"/>
      <c r="I100" s="66"/>
      <c r="J100" s="66"/>
      <c r="K100" s="66"/>
      <c r="L100" s="66"/>
      <c r="M100" s="66"/>
      <c r="N100" s="66"/>
      <c r="O100" s="66"/>
      <c r="P100" s="65"/>
    </row>
    <row r="101" spans="1:16" x14ac:dyDescent="0.25">
      <c r="A101" s="64" t="str">
        <f>TRIM('Account Creation'!D100)</f>
        <v/>
      </c>
      <c r="B101" s="64" t="str">
        <f>TRIM('Account Creation'!C100)</f>
        <v/>
      </c>
      <c r="C101" s="64" t="str">
        <f>TRIM('Account Creation'!B100)</f>
        <v/>
      </c>
      <c r="D101" s="64" t="str">
        <f>TRIM('Help Desk'!D100)</f>
        <v/>
      </c>
      <c r="E101" s="65"/>
      <c r="F101" s="66"/>
      <c r="G101" s="66"/>
      <c r="H101" s="66"/>
      <c r="I101" s="66"/>
      <c r="J101" s="66"/>
      <c r="K101" s="66"/>
      <c r="L101" s="66"/>
      <c r="M101" s="66"/>
      <c r="N101" s="66"/>
      <c r="O101" s="66"/>
      <c r="P101" s="65"/>
    </row>
    <row r="102" spans="1:16" x14ac:dyDescent="0.25">
      <c r="A102" s="64" t="str">
        <f>TRIM('Account Creation'!D101)</f>
        <v/>
      </c>
      <c r="B102" s="64" t="str">
        <f>TRIM('Account Creation'!C101)</f>
        <v/>
      </c>
      <c r="C102" s="64" t="str">
        <f>TRIM('Account Creation'!B101)</f>
        <v/>
      </c>
      <c r="D102" s="64" t="str">
        <f>TRIM('Help Desk'!D101)</f>
        <v/>
      </c>
      <c r="E102" s="65"/>
      <c r="F102" s="66"/>
      <c r="G102" s="66"/>
      <c r="H102" s="66"/>
      <c r="I102" s="66"/>
      <c r="J102" s="66"/>
      <c r="K102" s="66"/>
      <c r="L102" s="66"/>
      <c r="M102" s="66"/>
      <c r="N102" s="66"/>
      <c r="O102" s="66"/>
      <c r="P102" s="65"/>
    </row>
    <row r="103" spans="1:16" x14ac:dyDescent="0.25">
      <c r="A103" s="64" t="str">
        <f>TRIM('Account Creation'!D102)</f>
        <v/>
      </c>
      <c r="B103" s="64" t="str">
        <f>TRIM('Account Creation'!C102)</f>
        <v/>
      </c>
      <c r="C103" s="64" t="str">
        <f>TRIM('Account Creation'!B102)</f>
        <v/>
      </c>
      <c r="D103" s="64" t="str">
        <f>TRIM('Help Desk'!D102)</f>
        <v/>
      </c>
      <c r="E103" s="65"/>
      <c r="F103" s="66"/>
      <c r="G103" s="66"/>
      <c r="H103" s="66"/>
      <c r="I103" s="66"/>
      <c r="J103" s="66"/>
      <c r="K103" s="66"/>
      <c r="L103" s="66"/>
      <c r="M103" s="66"/>
      <c r="N103" s="66"/>
      <c r="O103" s="66"/>
      <c r="P103" s="65"/>
    </row>
    <row r="104" spans="1:16" x14ac:dyDescent="0.25">
      <c r="A104" s="64" t="str">
        <f>TRIM('Account Creation'!D103)</f>
        <v/>
      </c>
      <c r="B104" s="64" t="str">
        <f>TRIM('Account Creation'!C103)</f>
        <v/>
      </c>
      <c r="C104" s="64" t="str">
        <f>TRIM('Account Creation'!B103)</f>
        <v/>
      </c>
      <c r="D104" s="64" t="str">
        <f>TRIM('Help Desk'!D103)</f>
        <v/>
      </c>
      <c r="E104" s="65"/>
      <c r="F104" s="66"/>
      <c r="G104" s="66"/>
      <c r="H104" s="66"/>
      <c r="I104" s="66"/>
      <c r="J104" s="66"/>
      <c r="K104" s="66"/>
      <c r="L104" s="66"/>
      <c r="M104" s="66"/>
      <c r="N104" s="66"/>
      <c r="O104" s="66"/>
      <c r="P104" s="65"/>
    </row>
    <row r="105" spans="1:16" x14ac:dyDescent="0.25">
      <c r="A105" s="64" t="str">
        <f>TRIM('Account Creation'!D104)</f>
        <v/>
      </c>
      <c r="B105" s="64" t="str">
        <f>TRIM('Account Creation'!C104)</f>
        <v/>
      </c>
      <c r="C105" s="64" t="str">
        <f>TRIM('Account Creation'!B104)</f>
        <v/>
      </c>
      <c r="D105" s="64" t="str">
        <f>TRIM('Help Desk'!D104)</f>
        <v/>
      </c>
      <c r="E105" s="65"/>
      <c r="F105" s="66"/>
      <c r="G105" s="66"/>
      <c r="H105" s="66"/>
      <c r="I105" s="66"/>
      <c r="J105" s="66"/>
      <c r="K105" s="66"/>
      <c r="L105" s="66"/>
      <c r="M105" s="66"/>
      <c r="N105" s="66"/>
      <c r="O105" s="66"/>
      <c r="P105" s="65"/>
    </row>
    <row r="106" spans="1:16" x14ac:dyDescent="0.25">
      <c r="A106" s="64" t="str">
        <f>TRIM('Account Creation'!D105)</f>
        <v/>
      </c>
      <c r="B106" s="64" t="str">
        <f>TRIM('Account Creation'!C105)</f>
        <v/>
      </c>
      <c r="C106" s="64" t="str">
        <f>TRIM('Account Creation'!B105)</f>
        <v/>
      </c>
      <c r="D106" s="64" t="str">
        <f>TRIM('Help Desk'!D105)</f>
        <v/>
      </c>
      <c r="E106" s="65"/>
      <c r="F106" s="66"/>
      <c r="G106" s="66"/>
      <c r="H106" s="66"/>
      <c r="I106" s="66"/>
      <c r="J106" s="66"/>
      <c r="K106" s="66"/>
      <c r="L106" s="66"/>
      <c r="M106" s="66"/>
      <c r="N106" s="66"/>
      <c r="O106" s="66"/>
      <c r="P106" s="65"/>
    </row>
    <row r="107" spans="1:16" x14ac:dyDescent="0.25">
      <c r="A107" s="64" t="str">
        <f>TRIM('Account Creation'!D106)</f>
        <v/>
      </c>
      <c r="B107" s="64" t="str">
        <f>TRIM('Account Creation'!C106)</f>
        <v/>
      </c>
      <c r="C107" s="64" t="str">
        <f>TRIM('Account Creation'!B106)</f>
        <v/>
      </c>
      <c r="D107" s="64" t="str">
        <f>TRIM('Help Desk'!D106)</f>
        <v/>
      </c>
      <c r="E107" s="65"/>
      <c r="F107" s="66"/>
      <c r="G107" s="66"/>
      <c r="H107" s="66"/>
      <c r="I107" s="66"/>
      <c r="J107" s="66"/>
      <c r="K107" s="66"/>
      <c r="L107" s="66"/>
      <c r="M107" s="66"/>
      <c r="N107" s="66"/>
      <c r="O107" s="66"/>
      <c r="P107" s="65"/>
    </row>
    <row r="108" spans="1:16" x14ac:dyDescent="0.25">
      <c r="A108" s="64" t="str">
        <f>TRIM('Account Creation'!D107)</f>
        <v/>
      </c>
      <c r="B108" s="64" t="str">
        <f>TRIM('Account Creation'!C107)</f>
        <v/>
      </c>
      <c r="C108" s="64" t="str">
        <f>TRIM('Account Creation'!B107)</f>
        <v/>
      </c>
      <c r="D108" s="64" t="str">
        <f>TRIM('Help Desk'!D107)</f>
        <v/>
      </c>
      <c r="E108" s="65"/>
      <c r="F108" s="66"/>
      <c r="G108" s="66"/>
      <c r="H108" s="66"/>
      <c r="I108" s="66"/>
      <c r="J108" s="66"/>
      <c r="K108" s="66"/>
      <c r="L108" s="66"/>
      <c r="M108" s="66"/>
      <c r="N108" s="66"/>
      <c r="O108" s="66"/>
      <c r="P108" s="65"/>
    </row>
    <row r="109" spans="1:16" x14ac:dyDescent="0.25">
      <c r="A109" s="64" t="str">
        <f>TRIM('Account Creation'!D108)</f>
        <v/>
      </c>
      <c r="B109" s="64" t="str">
        <f>TRIM('Account Creation'!C108)</f>
        <v/>
      </c>
      <c r="C109" s="64" t="str">
        <f>TRIM('Account Creation'!B108)</f>
        <v/>
      </c>
      <c r="D109" s="64" t="str">
        <f>TRIM('Help Desk'!D108)</f>
        <v/>
      </c>
      <c r="E109" s="65"/>
      <c r="F109" s="66"/>
      <c r="G109" s="66"/>
      <c r="H109" s="66"/>
      <c r="I109" s="66"/>
      <c r="J109" s="66"/>
      <c r="K109" s="66"/>
      <c r="L109" s="66"/>
      <c r="M109" s="66"/>
      <c r="N109" s="66"/>
      <c r="O109" s="66"/>
      <c r="P109" s="65"/>
    </row>
    <row r="110" spans="1:16" x14ac:dyDescent="0.25">
      <c r="A110" s="64" t="str">
        <f>TRIM('Account Creation'!D109)</f>
        <v/>
      </c>
      <c r="B110" s="64" t="str">
        <f>TRIM('Account Creation'!C109)</f>
        <v/>
      </c>
      <c r="C110" s="64" t="str">
        <f>TRIM('Account Creation'!B109)</f>
        <v/>
      </c>
      <c r="D110" s="64" t="str">
        <f>TRIM('Help Desk'!D109)</f>
        <v/>
      </c>
      <c r="E110" s="65"/>
      <c r="F110" s="66"/>
      <c r="G110" s="66"/>
      <c r="H110" s="66"/>
      <c r="I110" s="66"/>
      <c r="J110" s="66"/>
      <c r="K110" s="66"/>
      <c r="L110" s="66"/>
      <c r="M110" s="66"/>
      <c r="N110" s="66"/>
      <c r="O110" s="66"/>
      <c r="P110" s="65"/>
    </row>
    <row r="111" spans="1:16" x14ac:dyDescent="0.25">
      <c r="A111" s="64" t="str">
        <f>TRIM('Account Creation'!D110)</f>
        <v/>
      </c>
      <c r="B111" s="64" t="str">
        <f>TRIM('Account Creation'!C110)</f>
        <v/>
      </c>
      <c r="C111" s="64" t="str">
        <f>TRIM('Account Creation'!B110)</f>
        <v/>
      </c>
      <c r="D111" s="64" t="str">
        <f>TRIM('Help Desk'!D110)</f>
        <v/>
      </c>
      <c r="E111" s="65"/>
      <c r="F111" s="66"/>
      <c r="G111" s="66"/>
      <c r="H111" s="66"/>
      <c r="I111" s="66"/>
      <c r="J111" s="66"/>
      <c r="K111" s="66"/>
      <c r="L111" s="66"/>
      <c r="M111" s="66"/>
      <c r="N111" s="66"/>
      <c r="O111" s="66"/>
      <c r="P111" s="65"/>
    </row>
    <row r="112" spans="1:16" x14ac:dyDescent="0.25">
      <c r="A112" s="64" t="str">
        <f>TRIM('Account Creation'!D111)</f>
        <v/>
      </c>
      <c r="B112" s="64" t="str">
        <f>TRIM('Account Creation'!C111)</f>
        <v/>
      </c>
      <c r="C112" s="64" t="str">
        <f>TRIM('Account Creation'!B111)</f>
        <v/>
      </c>
      <c r="D112" s="64" t="str">
        <f>TRIM('Help Desk'!D111)</f>
        <v/>
      </c>
      <c r="E112" s="65"/>
      <c r="F112" s="66"/>
      <c r="G112" s="66"/>
      <c r="H112" s="66"/>
      <c r="I112" s="66"/>
      <c r="J112" s="66"/>
      <c r="K112" s="66"/>
      <c r="L112" s="66"/>
      <c r="M112" s="66"/>
      <c r="N112" s="66"/>
      <c r="O112" s="66"/>
      <c r="P112" s="65"/>
    </row>
    <row r="113" spans="1:16" x14ac:dyDescent="0.25">
      <c r="A113" s="64" t="str">
        <f>TRIM('Account Creation'!D112)</f>
        <v/>
      </c>
      <c r="B113" s="64" t="str">
        <f>TRIM('Account Creation'!C112)</f>
        <v/>
      </c>
      <c r="C113" s="64" t="str">
        <f>TRIM('Account Creation'!B112)</f>
        <v/>
      </c>
      <c r="D113" s="64" t="str">
        <f>TRIM('Help Desk'!D112)</f>
        <v/>
      </c>
      <c r="E113" s="65"/>
      <c r="F113" s="66"/>
      <c r="G113" s="66"/>
      <c r="H113" s="66"/>
      <c r="I113" s="66"/>
      <c r="J113" s="66"/>
      <c r="K113" s="66"/>
      <c r="L113" s="66"/>
      <c r="M113" s="66"/>
      <c r="N113" s="66"/>
      <c r="O113" s="66"/>
      <c r="P113" s="65"/>
    </row>
    <row r="114" spans="1:16" x14ac:dyDescent="0.25">
      <c r="A114" s="64" t="str">
        <f>TRIM('Account Creation'!D113)</f>
        <v/>
      </c>
      <c r="B114" s="64" t="str">
        <f>TRIM('Account Creation'!C113)</f>
        <v/>
      </c>
      <c r="C114" s="64" t="str">
        <f>TRIM('Account Creation'!B113)</f>
        <v/>
      </c>
      <c r="D114" s="64" t="str">
        <f>TRIM('Help Desk'!D113)</f>
        <v/>
      </c>
      <c r="E114" s="65"/>
      <c r="F114" s="66"/>
      <c r="G114" s="66"/>
      <c r="H114" s="66"/>
      <c r="I114" s="66"/>
      <c r="J114" s="66"/>
      <c r="K114" s="66"/>
      <c r="L114" s="66"/>
      <c r="M114" s="66"/>
      <c r="N114" s="66"/>
      <c r="O114" s="66"/>
      <c r="P114" s="65"/>
    </row>
    <row r="115" spans="1:16" x14ac:dyDescent="0.25">
      <c r="A115" s="64" t="str">
        <f>TRIM('Account Creation'!D114)</f>
        <v/>
      </c>
      <c r="B115" s="64" t="str">
        <f>TRIM('Account Creation'!C114)</f>
        <v/>
      </c>
      <c r="C115" s="64" t="str">
        <f>TRIM('Account Creation'!B114)</f>
        <v/>
      </c>
      <c r="D115" s="64" t="str">
        <f>TRIM('Help Desk'!D114)</f>
        <v/>
      </c>
      <c r="E115" s="65"/>
      <c r="F115" s="66"/>
      <c r="G115" s="66"/>
      <c r="H115" s="66"/>
      <c r="I115" s="66"/>
      <c r="J115" s="66"/>
      <c r="K115" s="66"/>
      <c r="L115" s="66"/>
      <c r="M115" s="66"/>
      <c r="N115" s="66"/>
      <c r="O115" s="66"/>
      <c r="P115" s="65"/>
    </row>
    <row r="116" spans="1:16" x14ac:dyDescent="0.25">
      <c r="A116" s="64" t="str">
        <f>TRIM('Account Creation'!D115)</f>
        <v/>
      </c>
      <c r="B116" s="64" t="str">
        <f>TRIM('Account Creation'!C115)</f>
        <v/>
      </c>
      <c r="C116" s="64" t="str">
        <f>TRIM('Account Creation'!B115)</f>
        <v/>
      </c>
      <c r="D116" s="64" t="str">
        <f>TRIM('Help Desk'!D115)</f>
        <v/>
      </c>
      <c r="E116" s="65"/>
      <c r="F116" s="66"/>
      <c r="G116" s="66"/>
      <c r="H116" s="66"/>
      <c r="I116" s="66"/>
      <c r="J116" s="66"/>
      <c r="K116" s="66"/>
      <c r="L116" s="66"/>
      <c r="M116" s="66"/>
      <c r="N116" s="66"/>
      <c r="O116" s="66"/>
      <c r="P116" s="65"/>
    </row>
    <row r="117" spans="1:16" x14ac:dyDescent="0.25">
      <c r="A117" s="64" t="str">
        <f>TRIM('Account Creation'!D116)</f>
        <v/>
      </c>
      <c r="B117" s="64" t="str">
        <f>TRIM('Account Creation'!C116)</f>
        <v/>
      </c>
      <c r="C117" s="64" t="str">
        <f>TRIM('Account Creation'!B116)</f>
        <v/>
      </c>
      <c r="D117" s="64" t="str">
        <f>TRIM('Help Desk'!D116)</f>
        <v/>
      </c>
      <c r="E117" s="65"/>
      <c r="F117" s="66"/>
      <c r="G117" s="66"/>
      <c r="H117" s="66"/>
      <c r="I117" s="66"/>
      <c r="J117" s="66"/>
      <c r="K117" s="66"/>
      <c r="L117" s="66"/>
      <c r="M117" s="66"/>
      <c r="N117" s="66"/>
      <c r="O117" s="66"/>
      <c r="P117" s="65"/>
    </row>
    <row r="118" spans="1:16" x14ac:dyDescent="0.25">
      <c r="A118" s="64" t="str">
        <f>TRIM('Account Creation'!D117)</f>
        <v/>
      </c>
      <c r="B118" s="64" t="str">
        <f>TRIM('Account Creation'!C117)</f>
        <v/>
      </c>
      <c r="C118" s="64" t="str">
        <f>TRIM('Account Creation'!B117)</f>
        <v/>
      </c>
      <c r="D118" s="64" t="str">
        <f>TRIM('Help Desk'!D117)</f>
        <v/>
      </c>
      <c r="E118" s="65"/>
      <c r="F118" s="66"/>
      <c r="G118" s="66"/>
      <c r="H118" s="66"/>
      <c r="I118" s="66"/>
      <c r="J118" s="66"/>
      <c r="K118" s="66"/>
      <c r="L118" s="66"/>
      <c r="M118" s="66"/>
      <c r="N118" s="66"/>
      <c r="O118" s="66"/>
      <c r="P118" s="65"/>
    </row>
    <row r="119" spans="1:16" x14ac:dyDescent="0.25">
      <c r="A119" s="64" t="str">
        <f>TRIM('Account Creation'!D118)</f>
        <v/>
      </c>
      <c r="B119" s="64" t="str">
        <f>TRIM('Account Creation'!C118)</f>
        <v/>
      </c>
      <c r="C119" s="64" t="str">
        <f>TRIM('Account Creation'!B118)</f>
        <v/>
      </c>
      <c r="D119" s="64" t="str">
        <f>TRIM('Help Desk'!D118)</f>
        <v/>
      </c>
      <c r="E119" s="65"/>
      <c r="F119" s="66"/>
      <c r="G119" s="66"/>
      <c r="H119" s="66"/>
      <c r="I119" s="66"/>
      <c r="J119" s="66"/>
      <c r="K119" s="66"/>
      <c r="L119" s="66"/>
      <c r="M119" s="66"/>
      <c r="N119" s="66"/>
      <c r="O119" s="66"/>
      <c r="P119" s="65"/>
    </row>
    <row r="120" spans="1:16" x14ac:dyDescent="0.25">
      <c r="A120" s="64" t="str">
        <f>TRIM('Account Creation'!D119)</f>
        <v/>
      </c>
      <c r="B120" s="64" t="str">
        <f>TRIM('Account Creation'!C119)</f>
        <v/>
      </c>
      <c r="C120" s="64" t="str">
        <f>TRIM('Account Creation'!B119)</f>
        <v/>
      </c>
      <c r="D120" s="64" t="str">
        <f>TRIM('Help Desk'!D119)</f>
        <v/>
      </c>
      <c r="E120" s="65"/>
      <c r="F120" s="66"/>
      <c r="G120" s="66"/>
      <c r="H120" s="66"/>
      <c r="I120" s="66"/>
      <c r="J120" s="66"/>
      <c r="K120" s="66"/>
      <c r="L120" s="66"/>
      <c r="M120" s="66"/>
      <c r="N120" s="66"/>
      <c r="O120" s="66"/>
      <c r="P120" s="65"/>
    </row>
    <row r="121" spans="1:16" x14ac:dyDescent="0.25">
      <c r="A121" s="64" t="str">
        <f>TRIM('Account Creation'!D120)</f>
        <v/>
      </c>
      <c r="B121" s="64" t="str">
        <f>TRIM('Account Creation'!C120)</f>
        <v/>
      </c>
      <c r="C121" s="64" t="str">
        <f>TRIM('Account Creation'!B120)</f>
        <v/>
      </c>
      <c r="D121" s="64" t="str">
        <f>TRIM('Help Desk'!D120)</f>
        <v/>
      </c>
      <c r="E121" s="65"/>
      <c r="F121" s="66"/>
      <c r="G121" s="66"/>
      <c r="H121" s="66"/>
      <c r="I121" s="66"/>
      <c r="J121" s="66"/>
      <c r="K121" s="66"/>
      <c r="L121" s="66"/>
      <c r="M121" s="66"/>
      <c r="N121" s="66"/>
      <c r="O121" s="66"/>
      <c r="P121" s="65"/>
    </row>
    <row r="122" spans="1:16" x14ac:dyDescent="0.25">
      <c r="A122" s="64" t="str">
        <f>TRIM('Account Creation'!D121)</f>
        <v/>
      </c>
      <c r="B122" s="64" t="str">
        <f>TRIM('Account Creation'!C121)</f>
        <v/>
      </c>
      <c r="C122" s="64" t="str">
        <f>TRIM('Account Creation'!B121)</f>
        <v/>
      </c>
      <c r="D122" s="64" t="str">
        <f>TRIM('Help Desk'!D121)</f>
        <v/>
      </c>
      <c r="E122" s="65"/>
      <c r="F122" s="66"/>
      <c r="G122" s="66"/>
      <c r="H122" s="66"/>
      <c r="I122" s="66"/>
      <c r="J122" s="66"/>
      <c r="K122" s="66"/>
      <c r="L122" s="66"/>
      <c r="M122" s="66"/>
      <c r="N122" s="66"/>
      <c r="O122" s="66"/>
      <c r="P122" s="65"/>
    </row>
    <row r="123" spans="1:16" x14ac:dyDescent="0.25">
      <c r="A123" s="64" t="str">
        <f>TRIM('Account Creation'!D122)</f>
        <v/>
      </c>
      <c r="B123" s="64" t="str">
        <f>TRIM('Account Creation'!C122)</f>
        <v/>
      </c>
      <c r="C123" s="64" t="str">
        <f>TRIM('Account Creation'!B122)</f>
        <v/>
      </c>
      <c r="D123" s="64" t="str">
        <f>TRIM('Help Desk'!D122)</f>
        <v/>
      </c>
      <c r="E123" s="65"/>
      <c r="F123" s="66"/>
      <c r="G123" s="66"/>
      <c r="H123" s="66"/>
      <c r="I123" s="66"/>
      <c r="J123" s="66"/>
      <c r="K123" s="66"/>
      <c r="L123" s="66"/>
      <c r="M123" s="66"/>
      <c r="N123" s="66"/>
      <c r="O123" s="66"/>
      <c r="P123" s="65"/>
    </row>
    <row r="124" spans="1:16" x14ac:dyDescent="0.25">
      <c r="A124" s="64" t="str">
        <f>TRIM('Account Creation'!D123)</f>
        <v/>
      </c>
      <c r="B124" s="64" t="str">
        <f>TRIM('Account Creation'!C123)</f>
        <v/>
      </c>
      <c r="C124" s="64" t="str">
        <f>TRIM('Account Creation'!B123)</f>
        <v/>
      </c>
      <c r="D124" s="64" t="str">
        <f>TRIM('Help Desk'!D123)</f>
        <v/>
      </c>
      <c r="E124" s="65"/>
      <c r="F124" s="66"/>
      <c r="G124" s="66"/>
      <c r="H124" s="66"/>
      <c r="I124" s="66"/>
      <c r="J124" s="66"/>
      <c r="K124" s="66"/>
      <c r="L124" s="66"/>
      <c r="M124" s="66"/>
      <c r="N124" s="66"/>
      <c r="O124" s="66"/>
      <c r="P124" s="65"/>
    </row>
    <row r="125" spans="1:16" x14ac:dyDescent="0.25">
      <c r="A125" s="64" t="str">
        <f>TRIM('Account Creation'!D124)</f>
        <v/>
      </c>
      <c r="B125" s="64" t="str">
        <f>TRIM('Account Creation'!C124)</f>
        <v/>
      </c>
      <c r="C125" s="64" t="str">
        <f>TRIM('Account Creation'!B124)</f>
        <v/>
      </c>
      <c r="D125" s="64" t="str">
        <f>TRIM('Help Desk'!D124)</f>
        <v/>
      </c>
      <c r="E125" s="65"/>
      <c r="F125" s="66"/>
      <c r="G125" s="66"/>
      <c r="H125" s="66"/>
      <c r="I125" s="66"/>
      <c r="J125" s="66"/>
      <c r="K125" s="66"/>
      <c r="L125" s="66"/>
      <c r="M125" s="66"/>
      <c r="N125" s="66"/>
      <c r="O125" s="66"/>
      <c r="P125" s="65"/>
    </row>
    <row r="126" spans="1:16" x14ac:dyDescent="0.25">
      <c r="A126" s="64" t="str">
        <f>TRIM('Account Creation'!D125)</f>
        <v/>
      </c>
      <c r="B126" s="64" t="str">
        <f>TRIM('Account Creation'!C125)</f>
        <v/>
      </c>
      <c r="C126" s="64" t="str">
        <f>TRIM('Account Creation'!B125)</f>
        <v/>
      </c>
      <c r="D126" s="64" t="str">
        <f>TRIM('Help Desk'!D125)</f>
        <v/>
      </c>
      <c r="E126" s="65"/>
      <c r="F126" s="66"/>
      <c r="G126" s="66"/>
      <c r="H126" s="66"/>
      <c r="I126" s="66"/>
      <c r="J126" s="66"/>
      <c r="K126" s="66"/>
      <c r="L126" s="66"/>
      <c r="M126" s="66"/>
      <c r="N126" s="66"/>
      <c r="O126" s="66"/>
      <c r="P126" s="65"/>
    </row>
    <row r="127" spans="1:16" x14ac:dyDescent="0.25">
      <c r="A127" s="64" t="str">
        <f>TRIM('Account Creation'!D126)</f>
        <v/>
      </c>
      <c r="B127" s="64" t="str">
        <f>TRIM('Account Creation'!C126)</f>
        <v/>
      </c>
      <c r="C127" s="64" t="str">
        <f>TRIM('Account Creation'!B126)</f>
        <v/>
      </c>
      <c r="D127" s="64" t="str">
        <f>TRIM('Help Desk'!D126)</f>
        <v/>
      </c>
      <c r="E127" s="65"/>
      <c r="F127" s="66"/>
      <c r="G127" s="66"/>
      <c r="H127" s="66"/>
      <c r="I127" s="66"/>
      <c r="J127" s="66"/>
      <c r="K127" s="66"/>
      <c r="L127" s="66"/>
      <c r="M127" s="66"/>
      <c r="N127" s="66"/>
      <c r="O127" s="66"/>
      <c r="P127" s="65"/>
    </row>
    <row r="128" spans="1:16" x14ac:dyDescent="0.25">
      <c r="A128" s="64" t="str">
        <f>TRIM('Account Creation'!D127)</f>
        <v/>
      </c>
      <c r="B128" s="64" t="str">
        <f>TRIM('Account Creation'!C127)</f>
        <v/>
      </c>
      <c r="C128" s="64" t="str">
        <f>TRIM('Account Creation'!B127)</f>
        <v/>
      </c>
      <c r="D128" s="64" t="str">
        <f>TRIM('Help Desk'!D127)</f>
        <v/>
      </c>
      <c r="E128" s="65"/>
      <c r="F128" s="66"/>
      <c r="G128" s="66"/>
      <c r="H128" s="66"/>
      <c r="I128" s="66"/>
      <c r="J128" s="66"/>
      <c r="K128" s="66"/>
      <c r="L128" s="66"/>
      <c r="M128" s="66"/>
      <c r="N128" s="66"/>
      <c r="O128" s="66"/>
      <c r="P128" s="65"/>
    </row>
    <row r="129" spans="1:16" x14ac:dyDescent="0.25">
      <c r="A129" s="64" t="str">
        <f>TRIM('Account Creation'!D128)</f>
        <v/>
      </c>
      <c r="B129" s="64" t="str">
        <f>TRIM('Account Creation'!C128)</f>
        <v/>
      </c>
      <c r="C129" s="64" t="str">
        <f>TRIM('Account Creation'!B128)</f>
        <v/>
      </c>
      <c r="D129" s="64" t="str">
        <f>TRIM('Help Desk'!D128)</f>
        <v/>
      </c>
      <c r="E129" s="65"/>
      <c r="F129" s="66"/>
      <c r="G129" s="66"/>
      <c r="H129" s="66"/>
      <c r="I129" s="66"/>
      <c r="J129" s="66"/>
      <c r="K129" s="66"/>
      <c r="L129" s="66"/>
      <c r="M129" s="66"/>
      <c r="N129" s="66"/>
      <c r="O129" s="66"/>
      <c r="P129" s="65"/>
    </row>
    <row r="130" spans="1:16" x14ac:dyDescent="0.25">
      <c r="A130" s="64" t="str">
        <f>TRIM('Account Creation'!D129)</f>
        <v/>
      </c>
      <c r="B130" s="64" t="str">
        <f>TRIM('Account Creation'!C129)</f>
        <v/>
      </c>
      <c r="C130" s="64" t="str">
        <f>TRIM('Account Creation'!B129)</f>
        <v/>
      </c>
      <c r="D130" s="64" t="str">
        <f>TRIM('Help Desk'!D129)</f>
        <v/>
      </c>
      <c r="E130" s="65"/>
      <c r="F130" s="66"/>
      <c r="G130" s="66"/>
      <c r="H130" s="66"/>
      <c r="I130" s="66"/>
      <c r="J130" s="66"/>
      <c r="K130" s="66"/>
      <c r="L130" s="66"/>
      <c r="M130" s="66"/>
      <c r="N130" s="66"/>
      <c r="O130" s="66"/>
      <c r="P130" s="65"/>
    </row>
    <row r="131" spans="1:16" x14ac:dyDescent="0.25">
      <c r="A131" s="64" t="str">
        <f>TRIM('Account Creation'!D130)</f>
        <v/>
      </c>
      <c r="B131" s="64" t="str">
        <f>TRIM('Account Creation'!C130)</f>
        <v/>
      </c>
      <c r="C131" s="64" t="str">
        <f>TRIM('Account Creation'!B130)</f>
        <v/>
      </c>
      <c r="D131" s="64" t="str">
        <f>TRIM('Help Desk'!D130)</f>
        <v/>
      </c>
      <c r="E131" s="65"/>
      <c r="F131" s="66"/>
      <c r="G131" s="66"/>
      <c r="H131" s="66"/>
      <c r="I131" s="66"/>
      <c r="J131" s="66"/>
      <c r="K131" s="66"/>
      <c r="L131" s="66"/>
      <c r="M131" s="66"/>
      <c r="N131" s="66"/>
      <c r="O131" s="66"/>
      <c r="P131" s="65"/>
    </row>
    <row r="132" spans="1:16" x14ac:dyDescent="0.25">
      <c r="A132" s="64" t="str">
        <f>TRIM('Account Creation'!D131)</f>
        <v/>
      </c>
      <c r="B132" s="64" t="str">
        <f>TRIM('Account Creation'!C131)</f>
        <v/>
      </c>
      <c r="C132" s="64" t="str">
        <f>TRIM('Account Creation'!B131)</f>
        <v/>
      </c>
      <c r="D132" s="64" t="str">
        <f>TRIM('Help Desk'!D131)</f>
        <v/>
      </c>
      <c r="E132" s="65"/>
      <c r="F132" s="66"/>
      <c r="G132" s="66"/>
      <c r="H132" s="66"/>
      <c r="I132" s="66"/>
      <c r="J132" s="66"/>
      <c r="K132" s="66"/>
      <c r="L132" s="66"/>
      <c r="M132" s="66"/>
      <c r="N132" s="66"/>
      <c r="O132" s="66"/>
      <c r="P132" s="65"/>
    </row>
    <row r="133" spans="1:16" x14ac:dyDescent="0.25">
      <c r="A133" s="64" t="str">
        <f>TRIM('Account Creation'!D132)</f>
        <v/>
      </c>
      <c r="B133" s="64" t="str">
        <f>TRIM('Account Creation'!C132)</f>
        <v/>
      </c>
      <c r="C133" s="64" t="str">
        <f>TRIM('Account Creation'!B132)</f>
        <v/>
      </c>
      <c r="D133" s="64" t="str">
        <f>TRIM('Help Desk'!D132)</f>
        <v/>
      </c>
      <c r="E133" s="65"/>
      <c r="F133" s="66"/>
      <c r="G133" s="66"/>
      <c r="H133" s="66"/>
      <c r="I133" s="66"/>
      <c r="J133" s="66"/>
      <c r="K133" s="66"/>
      <c r="L133" s="66"/>
      <c r="M133" s="66"/>
      <c r="N133" s="66"/>
      <c r="O133" s="66"/>
      <c r="P133" s="65"/>
    </row>
    <row r="134" spans="1:16" x14ac:dyDescent="0.25">
      <c r="A134" s="64" t="str">
        <f>TRIM('Account Creation'!D133)</f>
        <v/>
      </c>
      <c r="B134" s="64" t="str">
        <f>TRIM('Account Creation'!C133)</f>
        <v/>
      </c>
      <c r="C134" s="64" t="str">
        <f>TRIM('Account Creation'!B133)</f>
        <v/>
      </c>
      <c r="D134" s="64" t="str">
        <f>TRIM('Help Desk'!D133)</f>
        <v/>
      </c>
      <c r="E134" s="65"/>
      <c r="F134" s="66"/>
      <c r="G134" s="66"/>
      <c r="H134" s="66"/>
      <c r="I134" s="66"/>
      <c r="J134" s="66"/>
      <c r="K134" s="66"/>
      <c r="L134" s="66"/>
      <c r="M134" s="66"/>
      <c r="N134" s="66"/>
      <c r="O134" s="66"/>
      <c r="P134" s="65"/>
    </row>
    <row r="135" spans="1:16" x14ac:dyDescent="0.25">
      <c r="A135" s="64" t="str">
        <f>TRIM('Account Creation'!D134)</f>
        <v/>
      </c>
      <c r="B135" s="64" t="str">
        <f>TRIM('Account Creation'!C134)</f>
        <v/>
      </c>
      <c r="C135" s="64" t="str">
        <f>TRIM('Account Creation'!B134)</f>
        <v/>
      </c>
      <c r="D135" s="64" t="str">
        <f>TRIM('Help Desk'!D134)</f>
        <v/>
      </c>
      <c r="E135" s="65"/>
      <c r="F135" s="66"/>
      <c r="G135" s="66"/>
      <c r="H135" s="66"/>
      <c r="I135" s="66"/>
      <c r="J135" s="66"/>
      <c r="K135" s="66"/>
      <c r="L135" s="66"/>
      <c r="M135" s="66"/>
      <c r="N135" s="66"/>
      <c r="O135" s="66"/>
      <c r="P135" s="65"/>
    </row>
    <row r="136" spans="1:16" x14ac:dyDescent="0.25">
      <c r="A136" s="64" t="str">
        <f>TRIM('Account Creation'!D135)</f>
        <v/>
      </c>
      <c r="B136" s="64" t="str">
        <f>TRIM('Account Creation'!C135)</f>
        <v/>
      </c>
      <c r="C136" s="64" t="str">
        <f>TRIM('Account Creation'!B135)</f>
        <v/>
      </c>
      <c r="D136" s="64" t="str">
        <f>TRIM('Help Desk'!D135)</f>
        <v/>
      </c>
      <c r="E136" s="65"/>
      <c r="F136" s="66"/>
      <c r="G136" s="66"/>
      <c r="H136" s="66"/>
      <c r="I136" s="66"/>
      <c r="J136" s="66"/>
      <c r="K136" s="66"/>
      <c r="L136" s="66"/>
      <c r="M136" s="66"/>
      <c r="N136" s="66"/>
      <c r="O136" s="66"/>
      <c r="P136" s="65"/>
    </row>
    <row r="137" spans="1:16" x14ac:dyDescent="0.25">
      <c r="A137" s="64" t="str">
        <f>TRIM('Account Creation'!D136)</f>
        <v/>
      </c>
      <c r="B137" s="64" t="str">
        <f>TRIM('Account Creation'!C136)</f>
        <v/>
      </c>
      <c r="C137" s="64" t="str">
        <f>TRIM('Account Creation'!B136)</f>
        <v/>
      </c>
      <c r="D137" s="64" t="str">
        <f>TRIM('Help Desk'!D136)</f>
        <v/>
      </c>
      <c r="E137" s="65"/>
      <c r="F137" s="66"/>
      <c r="G137" s="66"/>
      <c r="H137" s="66"/>
      <c r="I137" s="66"/>
      <c r="J137" s="66"/>
      <c r="K137" s="66"/>
      <c r="L137" s="66"/>
      <c r="M137" s="66"/>
      <c r="N137" s="66"/>
      <c r="O137" s="66"/>
      <c r="P137" s="65"/>
    </row>
    <row r="138" spans="1:16" x14ac:dyDescent="0.25">
      <c r="A138" s="64" t="str">
        <f>TRIM('Account Creation'!D137)</f>
        <v/>
      </c>
      <c r="B138" s="64" t="str">
        <f>TRIM('Account Creation'!C137)</f>
        <v/>
      </c>
      <c r="C138" s="64" t="str">
        <f>TRIM('Account Creation'!B137)</f>
        <v/>
      </c>
      <c r="D138" s="64" t="str">
        <f>TRIM('Help Desk'!D137)</f>
        <v/>
      </c>
      <c r="E138" s="65"/>
      <c r="F138" s="66"/>
      <c r="G138" s="66"/>
      <c r="H138" s="66"/>
      <c r="I138" s="66"/>
      <c r="J138" s="66"/>
      <c r="K138" s="66"/>
      <c r="L138" s="66"/>
      <c r="M138" s="66"/>
      <c r="N138" s="66"/>
      <c r="O138" s="66"/>
      <c r="P138" s="65"/>
    </row>
    <row r="139" spans="1:16" x14ac:dyDescent="0.25">
      <c r="A139" s="64" t="str">
        <f>TRIM('Account Creation'!D138)</f>
        <v/>
      </c>
      <c r="B139" s="64" t="str">
        <f>TRIM('Account Creation'!C138)</f>
        <v/>
      </c>
      <c r="C139" s="64" t="str">
        <f>TRIM('Account Creation'!B138)</f>
        <v/>
      </c>
      <c r="D139" s="64" t="str">
        <f>TRIM('Help Desk'!D138)</f>
        <v/>
      </c>
      <c r="E139" s="65"/>
      <c r="F139" s="66"/>
      <c r="G139" s="66"/>
      <c r="H139" s="66"/>
      <c r="I139" s="66"/>
      <c r="J139" s="66"/>
      <c r="K139" s="66"/>
      <c r="L139" s="66"/>
      <c r="M139" s="66"/>
      <c r="N139" s="66"/>
      <c r="O139" s="66"/>
      <c r="P139" s="65"/>
    </row>
    <row r="140" spans="1:16" x14ac:dyDescent="0.25">
      <c r="A140" s="64" t="str">
        <f>TRIM('Account Creation'!D139)</f>
        <v/>
      </c>
      <c r="B140" s="64" t="str">
        <f>TRIM('Account Creation'!C139)</f>
        <v/>
      </c>
      <c r="C140" s="64" t="str">
        <f>TRIM('Account Creation'!B139)</f>
        <v/>
      </c>
      <c r="D140" s="64" t="str">
        <f>TRIM('Help Desk'!D139)</f>
        <v/>
      </c>
      <c r="E140" s="65"/>
      <c r="F140" s="66"/>
      <c r="G140" s="66"/>
      <c r="H140" s="66"/>
      <c r="I140" s="66"/>
      <c r="J140" s="66"/>
      <c r="K140" s="66"/>
      <c r="L140" s="66"/>
      <c r="M140" s="66"/>
      <c r="N140" s="66"/>
      <c r="O140" s="66"/>
      <c r="P140" s="65"/>
    </row>
    <row r="141" spans="1:16" x14ac:dyDescent="0.25">
      <c r="A141" s="64" t="str">
        <f>TRIM('Account Creation'!D140)</f>
        <v/>
      </c>
      <c r="B141" s="64" t="str">
        <f>TRIM('Account Creation'!C140)</f>
        <v/>
      </c>
      <c r="C141" s="64" t="str">
        <f>TRIM('Account Creation'!B140)</f>
        <v/>
      </c>
      <c r="D141" s="64" t="str">
        <f>TRIM('Help Desk'!D140)</f>
        <v/>
      </c>
      <c r="E141" s="65"/>
      <c r="F141" s="66"/>
      <c r="G141" s="66"/>
      <c r="H141" s="66"/>
      <c r="I141" s="66"/>
      <c r="J141" s="66"/>
      <c r="K141" s="66"/>
      <c r="L141" s="66"/>
      <c r="M141" s="66"/>
      <c r="N141" s="66"/>
      <c r="O141" s="66"/>
      <c r="P141" s="65"/>
    </row>
    <row r="142" spans="1:16" x14ac:dyDescent="0.25">
      <c r="A142" s="64" t="str">
        <f>TRIM('Account Creation'!D141)</f>
        <v/>
      </c>
      <c r="B142" s="64" t="str">
        <f>TRIM('Account Creation'!C141)</f>
        <v/>
      </c>
      <c r="C142" s="64" t="str">
        <f>TRIM('Account Creation'!B141)</f>
        <v/>
      </c>
      <c r="D142" s="64" t="str">
        <f>TRIM('Help Desk'!D141)</f>
        <v/>
      </c>
      <c r="E142" s="65"/>
      <c r="F142" s="66"/>
      <c r="G142" s="66"/>
      <c r="H142" s="66"/>
      <c r="I142" s="66"/>
      <c r="J142" s="66"/>
      <c r="K142" s="66"/>
      <c r="L142" s="66"/>
      <c r="M142" s="66"/>
      <c r="N142" s="66"/>
      <c r="O142" s="66"/>
      <c r="P142" s="65"/>
    </row>
    <row r="143" spans="1:16" x14ac:dyDescent="0.25">
      <c r="A143" s="64" t="str">
        <f>TRIM('Account Creation'!D142)</f>
        <v/>
      </c>
      <c r="B143" s="64" t="str">
        <f>TRIM('Account Creation'!C142)</f>
        <v/>
      </c>
      <c r="C143" s="64" t="str">
        <f>TRIM('Account Creation'!B142)</f>
        <v/>
      </c>
      <c r="D143" s="64" t="str">
        <f>TRIM('Help Desk'!D142)</f>
        <v/>
      </c>
      <c r="E143" s="65"/>
      <c r="F143" s="66"/>
      <c r="G143" s="66"/>
      <c r="H143" s="66"/>
      <c r="I143" s="66"/>
      <c r="J143" s="66"/>
      <c r="K143" s="66"/>
      <c r="L143" s="66"/>
      <c r="M143" s="66"/>
      <c r="N143" s="66"/>
      <c r="O143" s="66"/>
      <c r="P143" s="65"/>
    </row>
    <row r="144" spans="1:16" x14ac:dyDescent="0.25">
      <c r="A144" s="64" t="str">
        <f>TRIM('Account Creation'!D143)</f>
        <v/>
      </c>
      <c r="B144" s="64" t="str">
        <f>TRIM('Account Creation'!C143)</f>
        <v/>
      </c>
      <c r="C144" s="64" t="str">
        <f>TRIM('Account Creation'!B143)</f>
        <v/>
      </c>
      <c r="D144" s="64" t="str">
        <f>TRIM('Help Desk'!D143)</f>
        <v/>
      </c>
      <c r="E144" s="65"/>
      <c r="F144" s="66"/>
      <c r="G144" s="66"/>
      <c r="H144" s="66"/>
      <c r="I144" s="66"/>
      <c r="J144" s="66"/>
      <c r="K144" s="66"/>
      <c r="L144" s="66"/>
      <c r="M144" s="66"/>
      <c r="N144" s="66"/>
      <c r="O144" s="66"/>
      <c r="P144" s="65"/>
    </row>
    <row r="145" spans="1:16" x14ac:dyDescent="0.25">
      <c r="A145" s="64" t="str">
        <f>TRIM('Account Creation'!D144)</f>
        <v/>
      </c>
      <c r="B145" s="64" t="str">
        <f>TRIM('Account Creation'!C144)</f>
        <v/>
      </c>
      <c r="C145" s="64" t="str">
        <f>TRIM('Account Creation'!B144)</f>
        <v/>
      </c>
      <c r="D145" s="64" t="str">
        <f>TRIM('Help Desk'!D144)</f>
        <v/>
      </c>
      <c r="E145" s="65"/>
      <c r="F145" s="66"/>
      <c r="G145" s="66"/>
      <c r="H145" s="66"/>
      <c r="I145" s="66"/>
      <c r="J145" s="66"/>
      <c r="K145" s="66"/>
      <c r="L145" s="66"/>
      <c r="M145" s="66"/>
      <c r="N145" s="66"/>
      <c r="O145" s="66"/>
      <c r="P145" s="65"/>
    </row>
    <row r="146" spans="1:16" x14ac:dyDescent="0.25">
      <c r="A146" s="64" t="str">
        <f>TRIM('Account Creation'!D145)</f>
        <v/>
      </c>
      <c r="B146" s="64" t="str">
        <f>TRIM('Account Creation'!C145)</f>
        <v/>
      </c>
      <c r="C146" s="64" t="str">
        <f>TRIM('Account Creation'!B145)</f>
        <v/>
      </c>
      <c r="D146" s="64" t="str">
        <f>TRIM('Help Desk'!D145)</f>
        <v/>
      </c>
      <c r="E146" s="65"/>
      <c r="F146" s="66"/>
      <c r="G146" s="66"/>
      <c r="H146" s="66"/>
      <c r="I146" s="66"/>
      <c r="J146" s="66"/>
      <c r="K146" s="66"/>
      <c r="L146" s="66"/>
      <c r="M146" s="66"/>
      <c r="N146" s="66"/>
      <c r="O146" s="66"/>
      <c r="P146" s="65"/>
    </row>
    <row r="147" spans="1:16" x14ac:dyDescent="0.25">
      <c r="A147" s="64" t="str">
        <f>TRIM('Account Creation'!D146)</f>
        <v/>
      </c>
      <c r="B147" s="64" t="str">
        <f>TRIM('Account Creation'!C146)</f>
        <v/>
      </c>
      <c r="C147" s="64" t="str">
        <f>TRIM('Account Creation'!B146)</f>
        <v/>
      </c>
      <c r="D147" s="64" t="str">
        <f>TRIM('Help Desk'!D146)</f>
        <v/>
      </c>
      <c r="E147" s="65"/>
      <c r="F147" s="66"/>
      <c r="G147" s="66"/>
      <c r="H147" s="66"/>
      <c r="I147" s="66"/>
      <c r="J147" s="66"/>
      <c r="K147" s="66"/>
      <c r="L147" s="66"/>
      <c r="M147" s="66"/>
      <c r="N147" s="66"/>
      <c r="O147" s="66"/>
      <c r="P147" s="65"/>
    </row>
    <row r="148" spans="1:16" x14ac:dyDescent="0.25">
      <c r="A148" s="64" t="str">
        <f>TRIM('Account Creation'!D147)</f>
        <v/>
      </c>
      <c r="B148" s="64" t="str">
        <f>TRIM('Account Creation'!C147)</f>
        <v/>
      </c>
      <c r="C148" s="64" t="str">
        <f>TRIM('Account Creation'!B147)</f>
        <v/>
      </c>
      <c r="D148" s="64" t="str">
        <f>TRIM('Help Desk'!D147)</f>
        <v/>
      </c>
      <c r="E148" s="65"/>
      <c r="F148" s="66"/>
      <c r="G148" s="66"/>
      <c r="H148" s="66"/>
      <c r="I148" s="66"/>
      <c r="J148" s="66"/>
      <c r="K148" s="66"/>
      <c r="L148" s="66"/>
      <c r="M148" s="66"/>
      <c r="N148" s="66"/>
      <c r="O148" s="66"/>
      <c r="P148" s="65"/>
    </row>
    <row r="149" spans="1:16" x14ac:dyDescent="0.25">
      <c r="A149" s="64" t="str">
        <f>TRIM('Account Creation'!D148)</f>
        <v/>
      </c>
      <c r="B149" s="64" t="str">
        <f>TRIM('Account Creation'!C148)</f>
        <v/>
      </c>
      <c r="C149" s="64" t="str">
        <f>TRIM('Account Creation'!B148)</f>
        <v/>
      </c>
      <c r="D149" s="64" t="str">
        <f>TRIM('Help Desk'!D148)</f>
        <v/>
      </c>
      <c r="E149" s="65"/>
      <c r="F149" s="66"/>
      <c r="G149" s="66"/>
      <c r="H149" s="66"/>
      <c r="I149" s="66"/>
      <c r="J149" s="66"/>
      <c r="K149" s="66"/>
      <c r="L149" s="66"/>
      <c r="M149" s="66"/>
      <c r="N149" s="66"/>
      <c r="O149" s="66"/>
      <c r="P149" s="65"/>
    </row>
    <row r="150" spans="1:16" x14ac:dyDescent="0.25">
      <c r="A150" s="64" t="str">
        <f>TRIM('Account Creation'!D149)</f>
        <v/>
      </c>
      <c r="B150" s="64" t="str">
        <f>TRIM('Account Creation'!C149)</f>
        <v/>
      </c>
      <c r="C150" s="64" t="str">
        <f>TRIM('Account Creation'!B149)</f>
        <v/>
      </c>
      <c r="D150" s="64" t="str">
        <f>TRIM('Help Desk'!D149)</f>
        <v/>
      </c>
      <c r="E150" s="65"/>
      <c r="F150" s="66"/>
      <c r="G150" s="66"/>
      <c r="H150" s="66"/>
      <c r="I150" s="66"/>
      <c r="J150" s="66"/>
      <c r="K150" s="66"/>
      <c r="L150" s="66"/>
      <c r="M150" s="66"/>
      <c r="N150" s="66"/>
      <c r="O150" s="66"/>
      <c r="P150" s="65"/>
    </row>
    <row r="151" spans="1:16" x14ac:dyDescent="0.25">
      <c r="A151" s="64" t="str">
        <f>TRIM('Account Creation'!D150)</f>
        <v/>
      </c>
      <c r="B151" s="64" t="str">
        <f>TRIM('Account Creation'!C150)</f>
        <v/>
      </c>
      <c r="C151" s="64" t="str">
        <f>TRIM('Account Creation'!B150)</f>
        <v/>
      </c>
      <c r="D151" s="64" t="str">
        <f>TRIM('Help Desk'!D150)</f>
        <v/>
      </c>
      <c r="E151" s="65"/>
      <c r="F151" s="66"/>
      <c r="G151" s="66"/>
      <c r="H151" s="66"/>
      <c r="I151" s="66"/>
      <c r="J151" s="66"/>
      <c r="K151" s="66"/>
      <c r="L151" s="66"/>
      <c r="M151" s="66"/>
      <c r="N151" s="66"/>
      <c r="O151" s="66"/>
      <c r="P151" s="65"/>
    </row>
    <row r="152" spans="1:16" x14ac:dyDescent="0.25">
      <c r="A152" s="64" t="str">
        <f>TRIM('Account Creation'!D151)</f>
        <v/>
      </c>
      <c r="B152" s="64" t="str">
        <f>TRIM('Account Creation'!C151)</f>
        <v/>
      </c>
      <c r="C152" s="64" t="str">
        <f>TRIM('Account Creation'!B151)</f>
        <v/>
      </c>
      <c r="D152" s="64" t="str">
        <f>TRIM('Help Desk'!D151)</f>
        <v/>
      </c>
      <c r="E152" s="65"/>
      <c r="F152" s="66"/>
      <c r="G152" s="66"/>
      <c r="H152" s="66"/>
      <c r="I152" s="66"/>
      <c r="J152" s="66"/>
      <c r="K152" s="66"/>
      <c r="L152" s="66"/>
      <c r="M152" s="66"/>
      <c r="N152" s="66"/>
      <c r="O152" s="66"/>
      <c r="P152" s="65"/>
    </row>
    <row r="153" spans="1:16" x14ac:dyDescent="0.25">
      <c r="A153" s="64" t="str">
        <f>TRIM('Account Creation'!D152)</f>
        <v/>
      </c>
      <c r="B153" s="64" t="str">
        <f>TRIM('Account Creation'!C152)</f>
        <v/>
      </c>
      <c r="C153" s="64" t="str">
        <f>TRIM('Account Creation'!B152)</f>
        <v/>
      </c>
      <c r="D153" s="64" t="str">
        <f>TRIM('Help Desk'!D152)</f>
        <v/>
      </c>
      <c r="E153" s="65"/>
      <c r="F153" s="66"/>
      <c r="G153" s="66"/>
      <c r="H153" s="66"/>
      <c r="I153" s="66"/>
      <c r="J153" s="66"/>
      <c r="K153" s="66"/>
      <c r="L153" s="66"/>
      <c r="M153" s="66"/>
      <c r="N153" s="66"/>
      <c r="O153" s="66"/>
      <c r="P153" s="65"/>
    </row>
    <row r="154" spans="1:16" x14ac:dyDescent="0.25">
      <c r="A154" s="64" t="str">
        <f>TRIM('Account Creation'!D153)</f>
        <v/>
      </c>
      <c r="B154" s="64" t="str">
        <f>TRIM('Account Creation'!C153)</f>
        <v/>
      </c>
      <c r="C154" s="64" t="str">
        <f>TRIM('Account Creation'!B153)</f>
        <v/>
      </c>
      <c r="D154" s="64" t="str">
        <f>TRIM('Help Desk'!D153)</f>
        <v/>
      </c>
      <c r="E154" s="65"/>
      <c r="F154" s="66"/>
      <c r="G154" s="66"/>
      <c r="H154" s="66"/>
      <c r="I154" s="66"/>
      <c r="J154" s="66"/>
      <c r="K154" s="66"/>
      <c r="L154" s="66"/>
      <c r="M154" s="66"/>
      <c r="N154" s="66"/>
      <c r="O154" s="66"/>
      <c r="P154" s="65"/>
    </row>
    <row r="155" spans="1:16" x14ac:dyDescent="0.25">
      <c r="A155" s="64" t="str">
        <f>TRIM('Account Creation'!D154)</f>
        <v/>
      </c>
      <c r="B155" s="64" t="str">
        <f>TRIM('Account Creation'!C154)</f>
        <v/>
      </c>
      <c r="C155" s="64" t="str">
        <f>TRIM('Account Creation'!B154)</f>
        <v/>
      </c>
      <c r="D155" s="64" t="str">
        <f>TRIM('Help Desk'!D154)</f>
        <v/>
      </c>
      <c r="E155" s="65"/>
      <c r="F155" s="66"/>
      <c r="G155" s="66"/>
      <c r="H155" s="66"/>
      <c r="I155" s="66"/>
      <c r="J155" s="66"/>
      <c r="K155" s="66"/>
      <c r="L155" s="66"/>
      <c r="M155" s="66"/>
      <c r="N155" s="66"/>
      <c r="O155" s="66"/>
      <c r="P155" s="65"/>
    </row>
    <row r="156" spans="1:16" x14ac:dyDescent="0.25">
      <c r="A156" s="64" t="str">
        <f>TRIM('Account Creation'!D155)</f>
        <v/>
      </c>
      <c r="B156" s="64" t="str">
        <f>TRIM('Account Creation'!C155)</f>
        <v/>
      </c>
      <c r="C156" s="64" t="str">
        <f>TRIM('Account Creation'!B155)</f>
        <v/>
      </c>
      <c r="D156" s="64" t="str">
        <f>TRIM('Help Desk'!D155)</f>
        <v/>
      </c>
      <c r="E156" s="65"/>
      <c r="F156" s="66"/>
      <c r="G156" s="66"/>
      <c r="H156" s="66"/>
      <c r="I156" s="66"/>
      <c r="J156" s="66"/>
      <c r="K156" s="66"/>
      <c r="L156" s="66"/>
      <c r="M156" s="66"/>
      <c r="N156" s="66"/>
      <c r="O156" s="66"/>
      <c r="P156" s="65"/>
    </row>
    <row r="157" spans="1:16" x14ac:dyDescent="0.25">
      <c r="A157" s="64" t="str">
        <f>TRIM('Account Creation'!D156)</f>
        <v/>
      </c>
      <c r="B157" s="64" t="str">
        <f>TRIM('Account Creation'!C156)</f>
        <v/>
      </c>
      <c r="C157" s="64" t="str">
        <f>TRIM('Account Creation'!B156)</f>
        <v/>
      </c>
      <c r="D157" s="64" t="str">
        <f>TRIM('Help Desk'!D156)</f>
        <v/>
      </c>
      <c r="E157" s="65"/>
      <c r="F157" s="66"/>
      <c r="G157" s="66"/>
      <c r="H157" s="66"/>
      <c r="I157" s="66"/>
      <c r="J157" s="66"/>
      <c r="K157" s="66"/>
      <c r="L157" s="66"/>
      <c r="M157" s="66"/>
      <c r="N157" s="66"/>
      <c r="O157" s="66"/>
      <c r="P157" s="65"/>
    </row>
    <row r="158" spans="1:16" x14ac:dyDescent="0.25">
      <c r="A158" s="64" t="str">
        <f>TRIM('Account Creation'!D157)</f>
        <v/>
      </c>
      <c r="B158" s="64" t="str">
        <f>TRIM('Account Creation'!C157)</f>
        <v/>
      </c>
      <c r="C158" s="64" t="str">
        <f>TRIM('Account Creation'!B157)</f>
        <v/>
      </c>
      <c r="D158" s="64" t="str">
        <f>TRIM('Help Desk'!D157)</f>
        <v/>
      </c>
      <c r="E158" s="65"/>
      <c r="F158" s="66"/>
      <c r="G158" s="66"/>
      <c r="H158" s="66"/>
      <c r="I158" s="66"/>
      <c r="J158" s="66"/>
      <c r="K158" s="66"/>
      <c r="L158" s="66"/>
      <c r="M158" s="66"/>
      <c r="N158" s="66"/>
      <c r="O158" s="66"/>
      <c r="P158" s="65"/>
    </row>
    <row r="159" spans="1:16" x14ac:dyDescent="0.25">
      <c r="A159" s="64" t="str">
        <f>TRIM('Account Creation'!D158)</f>
        <v/>
      </c>
      <c r="B159" s="64" t="str">
        <f>TRIM('Account Creation'!C158)</f>
        <v/>
      </c>
      <c r="C159" s="64" t="str">
        <f>TRIM('Account Creation'!B158)</f>
        <v/>
      </c>
      <c r="D159" s="64" t="str">
        <f>TRIM('Help Desk'!D158)</f>
        <v/>
      </c>
      <c r="E159" s="65"/>
      <c r="F159" s="66"/>
      <c r="G159" s="66"/>
      <c r="H159" s="66"/>
      <c r="I159" s="66"/>
      <c r="J159" s="66"/>
      <c r="K159" s="66"/>
      <c r="L159" s="66"/>
      <c r="M159" s="66"/>
      <c r="N159" s="66"/>
      <c r="O159" s="66"/>
      <c r="P159" s="65"/>
    </row>
    <row r="160" spans="1:16" x14ac:dyDescent="0.25">
      <c r="A160" s="64" t="str">
        <f>TRIM('Account Creation'!D159)</f>
        <v/>
      </c>
      <c r="B160" s="64" t="str">
        <f>TRIM('Account Creation'!C159)</f>
        <v/>
      </c>
      <c r="C160" s="64" t="str">
        <f>TRIM('Account Creation'!B159)</f>
        <v/>
      </c>
      <c r="D160" s="64" t="str">
        <f>TRIM('Help Desk'!D159)</f>
        <v/>
      </c>
      <c r="E160" s="65"/>
      <c r="F160" s="66"/>
      <c r="G160" s="66"/>
      <c r="H160" s="66"/>
      <c r="I160" s="66"/>
      <c r="J160" s="66"/>
      <c r="K160" s="66"/>
      <c r="L160" s="66"/>
      <c r="M160" s="66"/>
      <c r="N160" s="66"/>
      <c r="O160" s="66"/>
      <c r="P160" s="65"/>
    </row>
    <row r="161" spans="1:16" x14ac:dyDescent="0.25">
      <c r="A161" s="64" t="str">
        <f>TRIM('Account Creation'!D160)</f>
        <v/>
      </c>
      <c r="B161" s="64" t="str">
        <f>TRIM('Account Creation'!C160)</f>
        <v/>
      </c>
      <c r="C161" s="64" t="str">
        <f>TRIM('Account Creation'!B160)</f>
        <v/>
      </c>
      <c r="D161" s="64" t="str">
        <f>TRIM('Help Desk'!D160)</f>
        <v/>
      </c>
      <c r="E161" s="65"/>
      <c r="F161" s="66"/>
      <c r="G161" s="66"/>
      <c r="H161" s="66"/>
      <c r="I161" s="66"/>
      <c r="J161" s="66"/>
      <c r="K161" s="66"/>
      <c r="L161" s="66"/>
      <c r="M161" s="66"/>
      <c r="N161" s="66"/>
      <c r="O161" s="66"/>
      <c r="P161" s="65"/>
    </row>
    <row r="162" spans="1:16" x14ac:dyDescent="0.25">
      <c r="A162" s="64" t="str">
        <f>TRIM('Account Creation'!D161)</f>
        <v/>
      </c>
      <c r="B162" s="64" t="str">
        <f>TRIM('Account Creation'!C161)</f>
        <v/>
      </c>
      <c r="C162" s="64" t="str">
        <f>TRIM('Account Creation'!B161)</f>
        <v/>
      </c>
      <c r="D162" s="64" t="str">
        <f>TRIM('Help Desk'!D161)</f>
        <v/>
      </c>
      <c r="E162" s="65"/>
      <c r="F162" s="66"/>
      <c r="G162" s="66"/>
      <c r="H162" s="66"/>
      <c r="I162" s="66"/>
      <c r="J162" s="66"/>
      <c r="K162" s="66"/>
      <c r="L162" s="66"/>
      <c r="M162" s="66"/>
      <c r="N162" s="66"/>
      <c r="O162" s="66"/>
      <c r="P162" s="65"/>
    </row>
    <row r="163" spans="1:16" x14ac:dyDescent="0.25">
      <c r="A163" s="64" t="str">
        <f>TRIM('Account Creation'!D162)</f>
        <v/>
      </c>
      <c r="B163" s="64" t="str">
        <f>TRIM('Account Creation'!C162)</f>
        <v/>
      </c>
      <c r="C163" s="64" t="str">
        <f>TRIM('Account Creation'!B162)</f>
        <v/>
      </c>
      <c r="D163" s="64" t="str">
        <f>TRIM('Help Desk'!D162)</f>
        <v/>
      </c>
      <c r="E163" s="65"/>
      <c r="F163" s="66"/>
      <c r="G163" s="66"/>
      <c r="H163" s="66"/>
      <c r="I163" s="66"/>
      <c r="J163" s="66"/>
      <c r="K163" s="66"/>
      <c r="L163" s="66"/>
      <c r="M163" s="66"/>
      <c r="N163" s="66"/>
      <c r="O163" s="66"/>
      <c r="P163" s="65"/>
    </row>
    <row r="164" spans="1:16" x14ac:dyDescent="0.25">
      <c r="A164" s="64" t="str">
        <f>TRIM('Account Creation'!D163)</f>
        <v/>
      </c>
      <c r="B164" s="64" t="str">
        <f>TRIM('Account Creation'!C163)</f>
        <v/>
      </c>
      <c r="C164" s="64" t="str">
        <f>TRIM('Account Creation'!B163)</f>
        <v/>
      </c>
      <c r="D164" s="64" t="str">
        <f>TRIM('Help Desk'!D163)</f>
        <v/>
      </c>
      <c r="E164" s="65"/>
      <c r="F164" s="66"/>
      <c r="G164" s="66"/>
      <c r="H164" s="66"/>
      <c r="I164" s="66"/>
      <c r="J164" s="66"/>
      <c r="K164" s="66"/>
      <c r="L164" s="66"/>
      <c r="M164" s="66"/>
      <c r="N164" s="66"/>
      <c r="O164" s="66"/>
      <c r="P164" s="65"/>
    </row>
    <row r="165" spans="1:16" x14ac:dyDescent="0.25">
      <c r="A165" s="64" t="str">
        <f>TRIM('Account Creation'!D164)</f>
        <v/>
      </c>
      <c r="B165" s="64" t="str">
        <f>TRIM('Account Creation'!C164)</f>
        <v/>
      </c>
      <c r="C165" s="64" t="str">
        <f>TRIM('Account Creation'!B164)</f>
        <v/>
      </c>
      <c r="D165" s="64" t="str">
        <f>TRIM('Help Desk'!D164)</f>
        <v/>
      </c>
      <c r="E165" s="65"/>
      <c r="F165" s="66"/>
      <c r="G165" s="66"/>
      <c r="H165" s="66"/>
      <c r="I165" s="66"/>
      <c r="J165" s="66"/>
      <c r="K165" s="66"/>
      <c r="L165" s="66"/>
      <c r="M165" s="66"/>
      <c r="N165" s="66"/>
      <c r="O165" s="66"/>
      <c r="P165" s="65"/>
    </row>
    <row r="166" spans="1:16" x14ac:dyDescent="0.25">
      <c r="A166" s="64" t="str">
        <f>TRIM('Account Creation'!D165)</f>
        <v/>
      </c>
      <c r="B166" s="64" t="str">
        <f>TRIM('Account Creation'!C165)</f>
        <v/>
      </c>
      <c r="C166" s="64" t="str">
        <f>TRIM('Account Creation'!B165)</f>
        <v/>
      </c>
      <c r="D166" s="64" t="str">
        <f>TRIM('Help Desk'!D165)</f>
        <v/>
      </c>
      <c r="E166" s="65"/>
      <c r="F166" s="66"/>
      <c r="G166" s="66"/>
      <c r="H166" s="66"/>
      <c r="I166" s="66"/>
      <c r="J166" s="66"/>
      <c r="K166" s="66"/>
      <c r="L166" s="66"/>
      <c r="M166" s="66"/>
      <c r="N166" s="66"/>
      <c r="O166" s="66"/>
      <c r="P166" s="65"/>
    </row>
    <row r="167" spans="1:16" x14ac:dyDescent="0.25">
      <c r="A167" s="64" t="str">
        <f>TRIM('Account Creation'!D166)</f>
        <v/>
      </c>
      <c r="B167" s="64" t="str">
        <f>TRIM('Account Creation'!C166)</f>
        <v/>
      </c>
      <c r="C167" s="64" t="str">
        <f>TRIM('Account Creation'!B166)</f>
        <v/>
      </c>
      <c r="D167" s="64" t="str">
        <f>TRIM('Help Desk'!D166)</f>
        <v/>
      </c>
      <c r="E167" s="65"/>
      <c r="F167" s="66"/>
      <c r="G167" s="66"/>
      <c r="H167" s="66"/>
      <c r="I167" s="66"/>
      <c r="J167" s="66"/>
      <c r="K167" s="66"/>
      <c r="L167" s="66"/>
      <c r="M167" s="66"/>
      <c r="N167" s="66"/>
      <c r="O167" s="66"/>
      <c r="P167" s="65"/>
    </row>
    <row r="168" spans="1:16" x14ac:dyDescent="0.25">
      <c r="A168" s="64" t="str">
        <f>TRIM('Account Creation'!D167)</f>
        <v/>
      </c>
      <c r="B168" s="64" t="str">
        <f>TRIM('Account Creation'!C167)</f>
        <v/>
      </c>
      <c r="C168" s="64" t="str">
        <f>TRIM('Account Creation'!B167)</f>
        <v/>
      </c>
      <c r="D168" s="64" t="str">
        <f>TRIM('Help Desk'!D167)</f>
        <v/>
      </c>
      <c r="E168" s="65"/>
      <c r="F168" s="66"/>
      <c r="G168" s="66"/>
      <c r="H168" s="66"/>
      <c r="I168" s="66"/>
      <c r="J168" s="66"/>
      <c r="K168" s="66"/>
      <c r="L168" s="66"/>
      <c r="M168" s="66"/>
      <c r="N168" s="66"/>
      <c r="O168" s="66"/>
      <c r="P168" s="65"/>
    </row>
    <row r="169" spans="1:16" x14ac:dyDescent="0.25">
      <c r="A169" s="64" t="str">
        <f>TRIM('Account Creation'!D168)</f>
        <v/>
      </c>
      <c r="B169" s="64" t="str">
        <f>TRIM('Account Creation'!C168)</f>
        <v/>
      </c>
      <c r="C169" s="64" t="str">
        <f>TRIM('Account Creation'!B168)</f>
        <v/>
      </c>
      <c r="D169" s="64" t="str">
        <f>TRIM('Help Desk'!D168)</f>
        <v/>
      </c>
      <c r="E169" s="65"/>
      <c r="F169" s="66"/>
      <c r="G169" s="66"/>
      <c r="H169" s="66"/>
      <c r="I169" s="66"/>
      <c r="J169" s="66"/>
      <c r="K169" s="66"/>
      <c r="L169" s="66"/>
      <c r="M169" s="66"/>
      <c r="N169" s="66"/>
      <c r="O169" s="66"/>
      <c r="P169" s="65"/>
    </row>
    <row r="170" spans="1:16" x14ac:dyDescent="0.25">
      <c r="A170" s="64" t="str">
        <f>TRIM('Account Creation'!D169)</f>
        <v/>
      </c>
      <c r="B170" s="64" t="str">
        <f>TRIM('Account Creation'!C169)</f>
        <v/>
      </c>
      <c r="C170" s="64" t="str">
        <f>TRIM('Account Creation'!B169)</f>
        <v/>
      </c>
      <c r="D170" s="64" t="str">
        <f>TRIM('Help Desk'!D169)</f>
        <v/>
      </c>
      <c r="E170" s="65"/>
      <c r="F170" s="66"/>
      <c r="G170" s="66"/>
      <c r="H170" s="66"/>
      <c r="I170" s="66"/>
      <c r="J170" s="66"/>
      <c r="K170" s="66"/>
      <c r="L170" s="66"/>
      <c r="M170" s="66"/>
      <c r="N170" s="66"/>
      <c r="O170" s="66"/>
      <c r="P170" s="65"/>
    </row>
    <row r="171" spans="1:16" x14ac:dyDescent="0.25">
      <c r="A171" s="64" t="str">
        <f>TRIM('Account Creation'!D170)</f>
        <v/>
      </c>
      <c r="B171" s="64" t="str">
        <f>TRIM('Account Creation'!C170)</f>
        <v/>
      </c>
      <c r="C171" s="64" t="str">
        <f>TRIM('Account Creation'!B170)</f>
        <v/>
      </c>
      <c r="D171" s="64" t="str">
        <f>TRIM('Help Desk'!D170)</f>
        <v/>
      </c>
      <c r="E171" s="65"/>
      <c r="F171" s="66"/>
      <c r="G171" s="66"/>
      <c r="H171" s="66"/>
      <c r="I171" s="66"/>
      <c r="J171" s="66"/>
      <c r="K171" s="66"/>
      <c r="L171" s="66"/>
      <c r="M171" s="66"/>
      <c r="N171" s="66"/>
      <c r="O171" s="66"/>
      <c r="P171" s="65"/>
    </row>
    <row r="172" spans="1:16" x14ac:dyDescent="0.25">
      <c r="A172" s="64" t="str">
        <f>TRIM('Account Creation'!D171)</f>
        <v/>
      </c>
      <c r="B172" s="64" t="str">
        <f>TRIM('Account Creation'!C171)</f>
        <v/>
      </c>
      <c r="C172" s="64" t="str">
        <f>TRIM('Account Creation'!B171)</f>
        <v/>
      </c>
      <c r="D172" s="64" t="str">
        <f>TRIM('Help Desk'!D171)</f>
        <v/>
      </c>
      <c r="E172" s="65"/>
      <c r="F172" s="66"/>
      <c r="G172" s="66"/>
      <c r="H172" s="66"/>
      <c r="I172" s="66"/>
      <c r="J172" s="66"/>
      <c r="K172" s="66"/>
      <c r="L172" s="66"/>
      <c r="M172" s="66"/>
      <c r="N172" s="66"/>
      <c r="O172" s="66"/>
      <c r="P172" s="65"/>
    </row>
    <row r="173" spans="1:16" x14ac:dyDescent="0.25">
      <c r="A173" s="64" t="str">
        <f>TRIM('Account Creation'!D172)</f>
        <v/>
      </c>
      <c r="B173" s="64" t="str">
        <f>TRIM('Account Creation'!C172)</f>
        <v/>
      </c>
      <c r="C173" s="64" t="str">
        <f>TRIM('Account Creation'!B172)</f>
        <v/>
      </c>
      <c r="D173" s="64" t="str">
        <f>TRIM('Help Desk'!D172)</f>
        <v/>
      </c>
      <c r="E173" s="65"/>
      <c r="F173" s="66"/>
      <c r="G173" s="66"/>
      <c r="H173" s="66"/>
      <c r="I173" s="66"/>
      <c r="J173" s="66"/>
      <c r="K173" s="66"/>
      <c r="L173" s="66"/>
      <c r="M173" s="66"/>
      <c r="N173" s="66"/>
      <c r="O173" s="66"/>
      <c r="P173" s="65"/>
    </row>
    <row r="174" spans="1:16" x14ac:dyDescent="0.25">
      <c r="A174" s="64" t="str">
        <f>TRIM('Account Creation'!D173)</f>
        <v/>
      </c>
      <c r="B174" s="64" t="str">
        <f>TRIM('Account Creation'!C173)</f>
        <v/>
      </c>
      <c r="C174" s="64" t="str">
        <f>TRIM('Account Creation'!B173)</f>
        <v/>
      </c>
      <c r="D174" s="64" t="str">
        <f>TRIM('Help Desk'!D173)</f>
        <v/>
      </c>
      <c r="E174" s="65"/>
      <c r="F174" s="66"/>
      <c r="G174" s="66"/>
      <c r="H174" s="66"/>
      <c r="I174" s="66"/>
      <c r="J174" s="66"/>
      <c r="K174" s="66"/>
      <c r="L174" s="66"/>
      <c r="M174" s="66"/>
      <c r="N174" s="66"/>
      <c r="O174" s="66"/>
      <c r="P174" s="65"/>
    </row>
    <row r="175" spans="1:16" x14ac:dyDescent="0.25">
      <c r="A175" s="64" t="str">
        <f>TRIM('Account Creation'!D174)</f>
        <v/>
      </c>
      <c r="B175" s="64" t="str">
        <f>TRIM('Account Creation'!C174)</f>
        <v/>
      </c>
      <c r="C175" s="64" t="str">
        <f>TRIM('Account Creation'!B174)</f>
        <v/>
      </c>
      <c r="D175" s="64" t="str">
        <f>TRIM('Help Desk'!D174)</f>
        <v/>
      </c>
      <c r="E175" s="65"/>
      <c r="F175" s="66"/>
      <c r="G175" s="66"/>
      <c r="H175" s="66"/>
      <c r="I175" s="66"/>
      <c r="J175" s="66"/>
      <c r="K175" s="66"/>
      <c r="L175" s="66"/>
      <c r="M175" s="66"/>
      <c r="N175" s="66"/>
      <c r="O175" s="66"/>
      <c r="P175" s="65"/>
    </row>
    <row r="176" spans="1:16" x14ac:dyDescent="0.25">
      <c r="A176" s="64" t="str">
        <f>TRIM('Account Creation'!D175)</f>
        <v/>
      </c>
      <c r="B176" s="64" t="str">
        <f>TRIM('Account Creation'!C175)</f>
        <v/>
      </c>
      <c r="C176" s="64" t="str">
        <f>TRIM('Account Creation'!B175)</f>
        <v/>
      </c>
      <c r="D176" s="64" t="str">
        <f>TRIM('Help Desk'!D175)</f>
        <v/>
      </c>
      <c r="E176" s="65"/>
      <c r="F176" s="66"/>
      <c r="G176" s="66"/>
      <c r="H176" s="66"/>
      <c r="I176" s="66"/>
      <c r="J176" s="66"/>
      <c r="K176" s="66"/>
      <c r="L176" s="66"/>
      <c r="M176" s="66"/>
      <c r="N176" s="66"/>
      <c r="O176" s="66"/>
      <c r="P176" s="65"/>
    </row>
    <row r="177" spans="1:16" x14ac:dyDescent="0.25">
      <c r="A177" s="64" t="str">
        <f>TRIM('Account Creation'!D176)</f>
        <v/>
      </c>
      <c r="B177" s="64" t="str">
        <f>TRIM('Account Creation'!C176)</f>
        <v/>
      </c>
      <c r="C177" s="64" t="str">
        <f>TRIM('Account Creation'!B176)</f>
        <v/>
      </c>
      <c r="D177" s="64" t="str">
        <f>TRIM('Help Desk'!D176)</f>
        <v/>
      </c>
      <c r="E177" s="65"/>
      <c r="F177" s="66"/>
      <c r="G177" s="66"/>
      <c r="H177" s="66"/>
      <c r="I177" s="66"/>
      <c r="J177" s="66"/>
      <c r="K177" s="66"/>
      <c r="L177" s="66"/>
      <c r="M177" s="66"/>
      <c r="N177" s="66"/>
      <c r="O177" s="66"/>
      <c r="P177" s="65"/>
    </row>
    <row r="178" spans="1:16" x14ac:dyDescent="0.25">
      <c r="A178" s="64" t="str">
        <f>TRIM('Account Creation'!D177)</f>
        <v/>
      </c>
      <c r="B178" s="64" t="str">
        <f>TRIM('Account Creation'!C177)</f>
        <v/>
      </c>
      <c r="C178" s="64" t="str">
        <f>TRIM('Account Creation'!B177)</f>
        <v/>
      </c>
      <c r="D178" s="64" t="str">
        <f>TRIM('Help Desk'!D177)</f>
        <v/>
      </c>
      <c r="E178" s="65"/>
      <c r="F178" s="66"/>
      <c r="G178" s="66"/>
      <c r="H178" s="66"/>
      <c r="I178" s="66"/>
      <c r="J178" s="66"/>
      <c r="K178" s="66"/>
      <c r="L178" s="66"/>
      <c r="M178" s="66"/>
      <c r="N178" s="66"/>
      <c r="O178" s="66"/>
      <c r="P178" s="65"/>
    </row>
    <row r="179" spans="1:16" x14ac:dyDescent="0.25">
      <c r="A179" s="64" t="str">
        <f>TRIM('Account Creation'!D178)</f>
        <v/>
      </c>
      <c r="B179" s="64" t="str">
        <f>TRIM('Account Creation'!C178)</f>
        <v/>
      </c>
      <c r="C179" s="64" t="str">
        <f>TRIM('Account Creation'!B178)</f>
        <v/>
      </c>
      <c r="D179" s="64" t="str">
        <f>TRIM('Help Desk'!D178)</f>
        <v/>
      </c>
      <c r="E179" s="65"/>
      <c r="F179" s="66"/>
      <c r="G179" s="66"/>
      <c r="H179" s="66"/>
      <c r="I179" s="66"/>
      <c r="J179" s="66"/>
      <c r="K179" s="66"/>
      <c r="L179" s="66"/>
      <c r="M179" s="66"/>
      <c r="N179" s="66"/>
      <c r="O179" s="66"/>
      <c r="P179" s="65"/>
    </row>
    <row r="180" spans="1:16" x14ac:dyDescent="0.25">
      <c r="A180" s="64" t="str">
        <f>TRIM('Account Creation'!D179)</f>
        <v/>
      </c>
      <c r="B180" s="64" t="str">
        <f>TRIM('Account Creation'!C179)</f>
        <v/>
      </c>
      <c r="C180" s="64" t="str">
        <f>TRIM('Account Creation'!B179)</f>
        <v/>
      </c>
      <c r="D180" s="64" t="str">
        <f>TRIM('Help Desk'!D179)</f>
        <v/>
      </c>
      <c r="E180" s="65"/>
      <c r="F180" s="66"/>
      <c r="G180" s="66"/>
      <c r="H180" s="66"/>
      <c r="I180" s="66"/>
      <c r="J180" s="66"/>
      <c r="K180" s="66"/>
      <c r="L180" s="66"/>
      <c r="M180" s="66"/>
      <c r="N180" s="66"/>
      <c r="O180" s="66"/>
      <c r="P180" s="65"/>
    </row>
    <row r="181" spans="1:16" x14ac:dyDescent="0.25">
      <c r="A181" s="64" t="str">
        <f>TRIM('Account Creation'!D180)</f>
        <v/>
      </c>
      <c r="B181" s="64" t="str">
        <f>TRIM('Account Creation'!C180)</f>
        <v/>
      </c>
      <c r="C181" s="64" t="str">
        <f>TRIM('Account Creation'!B180)</f>
        <v/>
      </c>
      <c r="D181" s="64" t="str">
        <f>TRIM('Help Desk'!D180)</f>
        <v/>
      </c>
      <c r="E181" s="65"/>
      <c r="F181" s="66"/>
      <c r="G181" s="66"/>
      <c r="H181" s="66"/>
      <c r="I181" s="66"/>
      <c r="J181" s="66"/>
      <c r="K181" s="66"/>
      <c r="L181" s="66"/>
      <c r="M181" s="66"/>
      <c r="N181" s="66"/>
      <c r="O181" s="66"/>
      <c r="P181" s="65"/>
    </row>
    <row r="182" spans="1:16" x14ac:dyDescent="0.25">
      <c r="A182" s="64" t="str">
        <f>TRIM('Account Creation'!D181)</f>
        <v/>
      </c>
      <c r="B182" s="64" t="str">
        <f>TRIM('Account Creation'!C181)</f>
        <v/>
      </c>
      <c r="C182" s="64" t="str">
        <f>TRIM('Account Creation'!B181)</f>
        <v/>
      </c>
      <c r="D182" s="64" t="str">
        <f>TRIM('Help Desk'!D181)</f>
        <v/>
      </c>
      <c r="E182" s="65"/>
      <c r="F182" s="66"/>
      <c r="G182" s="66"/>
      <c r="H182" s="66"/>
      <c r="I182" s="66"/>
      <c r="J182" s="66"/>
      <c r="K182" s="66"/>
      <c r="L182" s="66"/>
      <c r="M182" s="66"/>
      <c r="N182" s="66"/>
      <c r="O182" s="66"/>
      <c r="P182" s="65"/>
    </row>
    <row r="183" spans="1:16" x14ac:dyDescent="0.25">
      <c r="A183" s="64" t="str">
        <f>TRIM('Account Creation'!D182)</f>
        <v/>
      </c>
      <c r="B183" s="64" t="str">
        <f>TRIM('Account Creation'!C182)</f>
        <v/>
      </c>
      <c r="C183" s="64" t="str">
        <f>TRIM('Account Creation'!B182)</f>
        <v/>
      </c>
      <c r="D183" s="64" t="str">
        <f>TRIM('Help Desk'!D182)</f>
        <v/>
      </c>
      <c r="E183" s="65"/>
      <c r="F183" s="66"/>
      <c r="G183" s="66"/>
      <c r="H183" s="66"/>
      <c r="I183" s="66"/>
      <c r="J183" s="66"/>
      <c r="K183" s="66"/>
      <c r="L183" s="66"/>
      <c r="M183" s="66"/>
      <c r="N183" s="66"/>
      <c r="O183" s="66"/>
      <c r="P183" s="65"/>
    </row>
    <row r="184" spans="1:16" x14ac:dyDescent="0.25">
      <c r="A184" s="64" t="str">
        <f>TRIM('Account Creation'!D183)</f>
        <v/>
      </c>
      <c r="B184" s="64" t="str">
        <f>TRIM('Account Creation'!C183)</f>
        <v/>
      </c>
      <c r="C184" s="64" t="str">
        <f>TRIM('Account Creation'!B183)</f>
        <v/>
      </c>
      <c r="D184" s="64" t="str">
        <f>TRIM('Help Desk'!D183)</f>
        <v/>
      </c>
      <c r="E184" s="65"/>
      <c r="F184" s="66"/>
      <c r="G184" s="66"/>
      <c r="H184" s="66"/>
      <c r="I184" s="66"/>
      <c r="J184" s="66"/>
      <c r="K184" s="66"/>
      <c r="L184" s="66"/>
      <c r="M184" s="66"/>
      <c r="N184" s="66"/>
      <c r="O184" s="66"/>
      <c r="P184" s="65"/>
    </row>
    <row r="185" spans="1:16" x14ac:dyDescent="0.25">
      <c r="A185" s="64" t="str">
        <f>TRIM('Account Creation'!D184)</f>
        <v/>
      </c>
      <c r="B185" s="64" t="str">
        <f>TRIM('Account Creation'!C184)</f>
        <v/>
      </c>
      <c r="C185" s="64" t="str">
        <f>TRIM('Account Creation'!B184)</f>
        <v/>
      </c>
      <c r="D185" s="64" t="str">
        <f>TRIM('Help Desk'!D184)</f>
        <v/>
      </c>
      <c r="E185" s="65"/>
      <c r="F185" s="66"/>
      <c r="G185" s="66"/>
      <c r="H185" s="66"/>
      <c r="I185" s="66"/>
      <c r="J185" s="66"/>
      <c r="K185" s="66"/>
      <c r="L185" s="66"/>
      <c r="M185" s="66"/>
      <c r="N185" s="66"/>
      <c r="O185" s="66"/>
      <c r="P185" s="65"/>
    </row>
    <row r="186" spans="1:16" x14ac:dyDescent="0.25">
      <c r="A186" s="64" t="str">
        <f>TRIM('Account Creation'!D185)</f>
        <v/>
      </c>
      <c r="B186" s="64" t="str">
        <f>TRIM('Account Creation'!C185)</f>
        <v/>
      </c>
      <c r="C186" s="64" t="str">
        <f>TRIM('Account Creation'!B185)</f>
        <v/>
      </c>
      <c r="D186" s="64" t="str">
        <f>TRIM('Help Desk'!D185)</f>
        <v/>
      </c>
      <c r="E186" s="65"/>
      <c r="F186" s="66"/>
      <c r="G186" s="66"/>
      <c r="H186" s="66"/>
      <c r="I186" s="66"/>
      <c r="J186" s="66"/>
      <c r="K186" s="66"/>
      <c r="L186" s="66"/>
      <c r="M186" s="66"/>
      <c r="N186" s="66"/>
      <c r="O186" s="66"/>
      <c r="P186" s="65"/>
    </row>
    <row r="187" spans="1:16" x14ac:dyDescent="0.25">
      <c r="A187" s="64" t="str">
        <f>TRIM('Account Creation'!D186)</f>
        <v/>
      </c>
      <c r="B187" s="64" t="str">
        <f>TRIM('Account Creation'!C186)</f>
        <v/>
      </c>
      <c r="C187" s="64" t="str">
        <f>TRIM('Account Creation'!B186)</f>
        <v/>
      </c>
      <c r="D187" s="64" t="str">
        <f>TRIM('Help Desk'!D186)</f>
        <v/>
      </c>
      <c r="E187" s="65"/>
      <c r="F187" s="66"/>
      <c r="G187" s="66"/>
      <c r="H187" s="66"/>
      <c r="I187" s="66"/>
      <c r="J187" s="66"/>
      <c r="K187" s="66"/>
      <c r="L187" s="66"/>
      <c r="M187" s="66"/>
      <c r="N187" s="66"/>
      <c r="O187" s="66"/>
      <c r="P187" s="65"/>
    </row>
    <row r="188" spans="1:16" x14ac:dyDescent="0.25">
      <c r="A188" s="64" t="str">
        <f>TRIM('Account Creation'!D187)</f>
        <v/>
      </c>
      <c r="B188" s="64" t="str">
        <f>TRIM('Account Creation'!C187)</f>
        <v/>
      </c>
      <c r="C188" s="64" t="str">
        <f>TRIM('Account Creation'!B187)</f>
        <v/>
      </c>
      <c r="D188" s="64" t="str">
        <f>TRIM('Help Desk'!D187)</f>
        <v/>
      </c>
      <c r="E188" s="65"/>
      <c r="F188" s="66"/>
      <c r="G188" s="66"/>
      <c r="H188" s="66"/>
      <c r="I188" s="66"/>
      <c r="J188" s="66"/>
      <c r="K188" s="66"/>
      <c r="L188" s="66"/>
      <c r="M188" s="66"/>
      <c r="N188" s="66"/>
      <c r="O188" s="66"/>
      <c r="P188" s="65"/>
    </row>
    <row r="189" spans="1:16" x14ac:dyDescent="0.25">
      <c r="A189" s="64" t="str">
        <f>TRIM('Account Creation'!D188)</f>
        <v/>
      </c>
      <c r="B189" s="64" t="str">
        <f>TRIM('Account Creation'!C188)</f>
        <v/>
      </c>
      <c r="C189" s="64" t="str">
        <f>TRIM('Account Creation'!B188)</f>
        <v/>
      </c>
      <c r="D189" s="64" t="str">
        <f>TRIM('Help Desk'!D188)</f>
        <v/>
      </c>
      <c r="E189" s="65"/>
      <c r="F189" s="66"/>
      <c r="G189" s="66"/>
      <c r="H189" s="66"/>
      <c r="I189" s="66"/>
      <c r="J189" s="66"/>
      <c r="K189" s="66"/>
      <c r="L189" s="66"/>
      <c r="M189" s="66"/>
      <c r="N189" s="66"/>
      <c r="O189" s="66"/>
      <c r="P189" s="65"/>
    </row>
    <row r="190" spans="1:16" x14ac:dyDescent="0.25">
      <c r="A190" s="64" t="str">
        <f>TRIM('Account Creation'!D189)</f>
        <v/>
      </c>
      <c r="B190" s="64" t="str">
        <f>TRIM('Account Creation'!C189)</f>
        <v/>
      </c>
      <c r="C190" s="64" t="str">
        <f>TRIM('Account Creation'!B189)</f>
        <v/>
      </c>
      <c r="D190" s="64" t="str">
        <f>TRIM('Help Desk'!D189)</f>
        <v/>
      </c>
      <c r="E190" s="65"/>
      <c r="F190" s="66"/>
      <c r="G190" s="66"/>
      <c r="H190" s="66"/>
      <c r="I190" s="66"/>
      <c r="J190" s="66"/>
      <c r="K190" s="66"/>
      <c r="L190" s="66"/>
      <c r="M190" s="66"/>
      <c r="N190" s="66"/>
      <c r="O190" s="66"/>
      <c r="P190" s="65"/>
    </row>
    <row r="191" spans="1:16" x14ac:dyDescent="0.25">
      <c r="A191" s="64" t="str">
        <f>TRIM('Account Creation'!D190)</f>
        <v/>
      </c>
      <c r="B191" s="64" t="str">
        <f>TRIM('Account Creation'!C190)</f>
        <v/>
      </c>
      <c r="C191" s="64" t="str">
        <f>TRIM('Account Creation'!B190)</f>
        <v/>
      </c>
      <c r="D191" s="64" t="str">
        <f>TRIM('Help Desk'!D190)</f>
        <v/>
      </c>
      <c r="E191" s="65"/>
      <c r="F191" s="66"/>
      <c r="G191" s="66"/>
      <c r="H191" s="66"/>
      <c r="I191" s="66"/>
      <c r="J191" s="66"/>
      <c r="K191" s="66"/>
      <c r="L191" s="66"/>
      <c r="M191" s="66"/>
      <c r="N191" s="66"/>
      <c r="O191" s="66"/>
      <c r="P191" s="65"/>
    </row>
    <row r="192" spans="1:16" x14ac:dyDescent="0.25">
      <c r="A192" s="64" t="str">
        <f>TRIM('Account Creation'!D191)</f>
        <v/>
      </c>
      <c r="B192" s="64" t="str">
        <f>TRIM('Account Creation'!C191)</f>
        <v/>
      </c>
      <c r="C192" s="64" t="str">
        <f>TRIM('Account Creation'!B191)</f>
        <v/>
      </c>
      <c r="D192" s="64" t="str">
        <f>TRIM('Help Desk'!D191)</f>
        <v/>
      </c>
      <c r="E192" s="65"/>
      <c r="F192" s="66"/>
      <c r="G192" s="66"/>
      <c r="H192" s="66"/>
      <c r="I192" s="66"/>
      <c r="J192" s="66"/>
      <c r="K192" s="66"/>
      <c r="L192" s="66"/>
      <c r="M192" s="66"/>
      <c r="N192" s="66"/>
      <c r="O192" s="66"/>
      <c r="P192" s="65"/>
    </row>
    <row r="193" spans="1:16" x14ac:dyDescent="0.25">
      <c r="A193" s="64" t="str">
        <f>TRIM('Account Creation'!D192)</f>
        <v/>
      </c>
      <c r="B193" s="64" t="str">
        <f>TRIM('Account Creation'!C192)</f>
        <v/>
      </c>
      <c r="C193" s="64" t="str">
        <f>TRIM('Account Creation'!B192)</f>
        <v/>
      </c>
      <c r="D193" s="64" t="str">
        <f>TRIM('Help Desk'!D192)</f>
        <v/>
      </c>
      <c r="E193" s="65"/>
      <c r="F193" s="66"/>
      <c r="G193" s="66"/>
      <c r="H193" s="66"/>
      <c r="I193" s="66"/>
      <c r="J193" s="66"/>
      <c r="K193" s="66"/>
      <c r="L193" s="66"/>
      <c r="M193" s="66"/>
      <c r="N193" s="66"/>
      <c r="O193" s="66"/>
      <c r="P193" s="65"/>
    </row>
    <row r="194" spans="1:16" x14ac:dyDescent="0.25">
      <c r="A194" s="64" t="str">
        <f>TRIM('Account Creation'!D193)</f>
        <v/>
      </c>
      <c r="B194" s="64" t="str">
        <f>TRIM('Account Creation'!C193)</f>
        <v/>
      </c>
      <c r="C194" s="64" t="str">
        <f>TRIM('Account Creation'!B193)</f>
        <v/>
      </c>
      <c r="D194" s="64" t="str">
        <f>TRIM('Help Desk'!D193)</f>
        <v/>
      </c>
      <c r="E194" s="65"/>
      <c r="F194" s="66"/>
      <c r="G194" s="66"/>
      <c r="H194" s="66"/>
      <c r="I194" s="66"/>
      <c r="J194" s="66"/>
      <c r="K194" s="66"/>
      <c r="L194" s="66"/>
      <c r="M194" s="66"/>
      <c r="N194" s="66"/>
      <c r="O194" s="66"/>
      <c r="P194" s="65"/>
    </row>
    <row r="195" spans="1:16" x14ac:dyDescent="0.25">
      <c r="A195" s="64" t="str">
        <f>TRIM('Account Creation'!D194)</f>
        <v/>
      </c>
      <c r="B195" s="64" t="str">
        <f>TRIM('Account Creation'!C194)</f>
        <v/>
      </c>
      <c r="C195" s="64" t="str">
        <f>TRIM('Account Creation'!B194)</f>
        <v/>
      </c>
      <c r="D195" s="64" t="str">
        <f>TRIM('Help Desk'!D194)</f>
        <v/>
      </c>
      <c r="E195" s="65"/>
      <c r="F195" s="66"/>
      <c r="G195" s="66"/>
      <c r="H195" s="66"/>
      <c r="I195" s="66"/>
      <c r="J195" s="66"/>
      <c r="K195" s="66"/>
      <c r="L195" s="66"/>
      <c r="M195" s="66"/>
      <c r="N195" s="66"/>
      <c r="O195" s="66"/>
      <c r="P195" s="65"/>
    </row>
    <row r="196" spans="1:16" x14ac:dyDescent="0.25">
      <c r="A196" s="64" t="str">
        <f>TRIM('Account Creation'!D195)</f>
        <v/>
      </c>
      <c r="B196" s="64" t="str">
        <f>TRIM('Account Creation'!C195)</f>
        <v/>
      </c>
      <c r="C196" s="64" t="str">
        <f>TRIM('Account Creation'!B195)</f>
        <v/>
      </c>
      <c r="D196" s="64" t="str">
        <f>TRIM('Help Desk'!D195)</f>
        <v/>
      </c>
      <c r="E196" s="65"/>
      <c r="F196" s="66"/>
      <c r="G196" s="66"/>
      <c r="H196" s="66"/>
      <c r="I196" s="66"/>
      <c r="J196" s="66"/>
      <c r="K196" s="66"/>
      <c r="L196" s="66"/>
      <c r="M196" s="66"/>
      <c r="N196" s="66"/>
      <c r="O196" s="66"/>
      <c r="P196" s="65"/>
    </row>
    <row r="197" spans="1:16" x14ac:dyDescent="0.25">
      <c r="A197" s="64" t="str">
        <f>TRIM('Account Creation'!D196)</f>
        <v/>
      </c>
      <c r="B197" s="64" t="str">
        <f>TRIM('Account Creation'!C196)</f>
        <v/>
      </c>
      <c r="C197" s="64" t="str">
        <f>TRIM('Account Creation'!B196)</f>
        <v/>
      </c>
      <c r="D197" s="64" t="str">
        <f>TRIM('Help Desk'!D196)</f>
        <v/>
      </c>
      <c r="E197" s="65"/>
      <c r="F197" s="66"/>
      <c r="G197" s="66"/>
      <c r="H197" s="66"/>
      <c r="I197" s="66"/>
      <c r="J197" s="66"/>
      <c r="K197" s="66"/>
      <c r="L197" s="66"/>
      <c r="M197" s="66"/>
      <c r="N197" s="66"/>
      <c r="O197" s="66"/>
      <c r="P197" s="65"/>
    </row>
    <row r="198" spans="1:16" x14ac:dyDescent="0.25">
      <c r="A198" s="64" t="str">
        <f>TRIM('Account Creation'!D197)</f>
        <v/>
      </c>
      <c r="B198" s="64" t="str">
        <f>TRIM('Account Creation'!C197)</f>
        <v/>
      </c>
      <c r="C198" s="64" t="str">
        <f>TRIM('Account Creation'!B197)</f>
        <v/>
      </c>
      <c r="D198" s="64" t="str">
        <f>TRIM('Help Desk'!D197)</f>
        <v/>
      </c>
      <c r="E198" s="65"/>
      <c r="F198" s="66"/>
      <c r="G198" s="66"/>
      <c r="H198" s="66"/>
      <c r="I198" s="66"/>
      <c r="J198" s="66"/>
      <c r="K198" s="66"/>
      <c r="L198" s="66"/>
      <c r="M198" s="66"/>
      <c r="N198" s="66"/>
      <c r="O198" s="66"/>
      <c r="P198" s="65"/>
    </row>
    <row r="199" spans="1:16" x14ac:dyDescent="0.25">
      <c r="A199" s="64" t="str">
        <f>TRIM('Account Creation'!D198)</f>
        <v/>
      </c>
      <c r="B199" s="64" t="str">
        <f>TRIM('Account Creation'!C198)</f>
        <v/>
      </c>
      <c r="C199" s="64" t="str">
        <f>TRIM('Account Creation'!B198)</f>
        <v/>
      </c>
      <c r="D199" s="64" t="str">
        <f>TRIM('Help Desk'!D198)</f>
        <v/>
      </c>
      <c r="E199" s="65"/>
      <c r="F199" s="66"/>
      <c r="G199" s="66"/>
      <c r="H199" s="66"/>
      <c r="I199" s="66"/>
      <c r="J199" s="66"/>
      <c r="K199" s="66"/>
      <c r="L199" s="66"/>
      <c r="M199" s="66"/>
      <c r="N199" s="66"/>
      <c r="O199" s="66"/>
      <c r="P199" s="65"/>
    </row>
    <row r="200" spans="1:16" x14ac:dyDescent="0.25">
      <c r="A200" s="64" t="str">
        <f>TRIM('Account Creation'!D199)</f>
        <v/>
      </c>
      <c r="B200" s="64" t="str">
        <f>TRIM('Account Creation'!C199)</f>
        <v/>
      </c>
      <c r="C200" s="64" t="str">
        <f>TRIM('Account Creation'!B199)</f>
        <v/>
      </c>
      <c r="D200" s="64" t="str">
        <f>TRIM('Help Desk'!D199)</f>
        <v/>
      </c>
      <c r="E200" s="65"/>
      <c r="F200" s="66"/>
      <c r="G200" s="66"/>
      <c r="H200" s="66"/>
      <c r="I200" s="66"/>
      <c r="J200" s="66"/>
      <c r="K200" s="66"/>
      <c r="L200" s="66"/>
      <c r="M200" s="66"/>
      <c r="N200" s="66"/>
      <c r="O200" s="66"/>
      <c r="P200" s="65"/>
    </row>
    <row r="201" spans="1:16" x14ac:dyDescent="0.25">
      <c r="A201" s="64" t="str">
        <f>TRIM('Account Creation'!D200)</f>
        <v/>
      </c>
      <c r="B201" s="64" t="str">
        <f>TRIM('Account Creation'!C200)</f>
        <v/>
      </c>
      <c r="C201" s="64" t="str">
        <f>TRIM('Account Creation'!B200)</f>
        <v/>
      </c>
      <c r="D201" s="64" t="str">
        <f>TRIM('Help Desk'!D200)</f>
        <v/>
      </c>
      <c r="E201" s="65"/>
      <c r="F201" s="66"/>
      <c r="G201" s="66"/>
      <c r="H201" s="66"/>
      <c r="I201" s="66"/>
      <c r="J201" s="66"/>
      <c r="K201" s="66"/>
      <c r="L201" s="66"/>
      <c r="M201" s="66"/>
      <c r="N201" s="66"/>
      <c r="O201" s="66"/>
      <c r="P201" s="65"/>
    </row>
    <row r="202" spans="1:16" x14ac:dyDescent="0.25">
      <c r="A202" s="64" t="str">
        <f>TRIM('Account Creation'!D201)</f>
        <v/>
      </c>
      <c r="B202" s="64" t="str">
        <f>TRIM('Account Creation'!C201)</f>
        <v/>
      </c>
      <c r="C202" s="64" t="str">
        <f>TRIM('Account Creation'!B201)</f>
        <v/>
      </c>
      <c r="D202" s="64" t="str">
        <f>TRIM('Help Desk'!D201)</f>
        <v/>
      </c>
      <c r="E202" s="65"/>
      <c r="F202" s="66"/>
      <c r="G202" s="66"/>
      <c r="H202" s="66"/>
      <c r="I202" s="66"/>
      <c r="J202" s="66"/>
      <c r="K202" s="66"/>
      <c r="L202" s="66"/>
      <c r="M202" s="66"/>
      <c r="N202" s="66"/>
      <c r="O202" s="66"/>
      <c r="P202" s="65"/>
    </row>
    <row r="203" spans="1:16" x14ac:dyDescent="0.25">
      <c r="A203" s="64" t="str">
        <f>TRIM('Account Creation'!D202)</f>
        <v/>
      </c>
      <c r="B203" s="64" t="str">
        <f>TRIM('Account Creation'!C202)</f>
        <v/>
      </c>
      <c r="C203" s="64" t="str">
        <f>TRIM('Account Creation'!B202)</f>
        <v/>
      </c>
      <c r="D203" s="64" t="str">
        <f>TRIM('Help Desk'!D202)</f>
        <v/>
      </c>
      <c r="E203" s="65"/>
      <c r="F203" s="66"/>
      <c r="G203" s="66"/>
      <c r="H203" s="66"/>
      <c r="I203" s="66"/>
      <c r="J203" s="66"/>
      <c r="K203" s="66"/>
      <c r="L203" s="66"/>
      <c r="M203" s="66"/>
      <c r="N203" s="66"/>
      <c r="O203" s="66"/>
      <c r="P203" s="65"/>
    </row>
    <row r="204" spans="1:16" x14ac:dyDescent="0.25">
      <c r="A204" s="64" t="str">
        <f>TRIM('Account Creation'!D203)</f>
        <v/>
      </c>
      <c r="B204" s="64" t="str">
        <f>TRIM('Account Creation'!C203)</f>
        <v/>
      </c>
      <c r="C204" s="64" t="str">
        <f>TRIM('Account Creation'!B203)</f>
        <v/>
      </c>
      <c r="D204" s="64" t="str">
        <f>TRIM('Help Desk'!D203)</f>
        <v/>
      </c>
      <c r="E204" s="65"/>
      <c r="F204" s="66"/>
      <c r="G204" s="66"/>
      <c r="H204" s="66"/>
      <c r="I204" s="66"/>
      <c r="J204" s="66"/>
      <c r="K204" s="66"/>
      <c r="L204" s="66"/>
      <c r="M204" s="66"/>
      <c r="N204" s="66"/>
      <c r="O204" s="66"/>
      <c r="P204" s="65"/>
    </row>
    <row r="205" spans="1:16" x14ac:dyDescent="0.25">
      <c r="A205" s="64" t="str">
        <f>TRIM('Account Creation'!D204)</f>
        <v/>
      </c>
      <c r="B205" s="64" t="str">
        <f>TRIM('Account Creation'!C204)</f>
        <v/>
      </c>
      <c r="C205" s="64" t="str">
        <f>TRIM('Account Creation'!B204)</f>
        <v/>
      </c>
      <c r="D205" s="64" t="str">
        <f>TRIM('Help Desk'!D204)</f>
        <v/>
      </c>
      <c r="E205" s="65"/>
      <c r="F205" s="66"/>
      <c r="G205" s="66"/>
      <c r="H205" s="66"/>
      <c r="I205" s="66"/>
      <c r="J205" s="66"/>
      <c r="K205" s="66"/>
      <c r="L205" s="66"/>
      <c r="M205" s="66"/>
      <c r="N205" s="66"/>
      <c r="O205" s="66"/>
      <c r="P205" s="65"/>
    </row>
    <row r="206" spans="1:16" x14ac:dyDescent="0.25">
      <c r="A206" s="64" t="str">
        <f>TRIM('Account Creation'!D205)</f>
        <v/>
      </c>
      <c r="B206" s="64" t="str">
        <f>TRIM('Account Creation'!C205)</f>
        <v/>
      </c>
      <c r="C206" s="64" t="str">
        <f>TRIM('Account Creation'!B205)</f>
        <v/>
      </c>
      <c r="D206" s="64" t="str">
        <f>TRIM('Help Desk'!D205)</f>
        <v/>
      </c>
      <c r="E206" s="65"/>
      <c r="F206" s="66"/>
      <c r="G206" s="66"/>
      <c r="H206" s="66"/>
      <c r="I206" s="66"/>
      <c r="J206" s="66"/>
      <c r="K206" s="66"/>
      <c r="L206" s="66"/>
      <c r="M206" s="66"/>
      <c r="N206" s="66"/>
      <c r="O206" s="66"/>
      <c r="P206" s="65"/>
    </row>
    <row r="207" spans="1:16" x14ac:dyDescent="0.25">
      <c r="A207" s="64" t="str">
        <f>TRIM('Account Creation'!D206)</f>
        <v/>
      </c>
      <c r="B207" s="64" t="str">
        <f>TRIM('Account Creation'!C206)</f>
        <v/>
      </c>
      <c r="C207" s="64" t="str">
        <f>TRIM('Account Creation'!B206)</f>
        <v/>
      </c>
      <c r="D207" s="64" t="str">
        <f>TRIM('Help Desk'!D206)</f>
        <v/>
      </c>
      <c r="E207" s="65"/>
      <c r="F207" s="66"/>
      <c r="G207" s="66"/>
      <c r="H207" s="66"/>
      <c r="I207" s="66"/>
      <c r="J207" s="66"/>
      <c r="K207" s="66"/>
      <c r="L207" s="66"/>
      <c r="M207" s="66"/>
      <c r="N207" s="66"/>
      <c r="O207" s="66"/>
      <c r="P207" s="65"/>
    </row>
    <row r="208" spans="1:16" x14ac:dyDescent="0.25">
      <c r="A208" s="64" t="str">
        <f>TRIM('Account Creation'!D207)</f>
        <v/>
      </c>
      <c r="B208" s="64" t="str">
        <f>TRIM('Account Creation'!C207)</f>
        <v/>
      </c>
      <c r="C208" s="64" t="str">
        <f>TRIM('Account Creation'!B207)</f>
        <v/>
      </c>
      <c r="D208" s="64" t="str">
        <f>TRIM('Help Desk'!D207)</f>
        <v/>
      </c>
      <c r="E208" s="65"/>
      <c r="F208" s="66"/>
      <c r="G208" s="66"/>
      <c r="H208" s="66"/>
      <c r="I208" s="66"/>
      <c r="J208" s="66"/>
      <c r="K208" s="66"/>
      <c r="L208" s="66"/>
      <c r="M208" s="66"/>
      <c r="N208" s="66"/>
      <c r="O208" s="66"/>
      <c r="P208" s="65"/>
    </row>
    <row r="209" spans="1:16" x14ac:dyDescent="0.25">
      <c r="A209" s="64" t="str">
        <f>TRIM('Account Creation'!D208)</f>
        <v/>
      </c>
      <c r="B209" s="64" t="str">
        <f>TRIM('Account Creation'!C208)</f>
        <v/>
      </c>
      <c r="C209" s="64" t="str">
        <f>TRIM('Account Creation'!B208)</f>
        <v/>
      </c>
      <c r="D209" s="64" t="str">
        <f>TRIM('Help Desk'!D208)</f>
        <v/>
      </c>
      <c r="E209" s="65"/>
      <c r="F209" s="66"/>
      <c r="G209" s="66"/>
      <c r="H209" s="66"/>
      <c r="I209" s="66"/>
      <c r="J209" s="66"/>
      <c r="K209" s="66"/>
      <c r="L209" s="66"/>
      <c r="M209" s="66"/>
      <c r="N209" s="66"/>
      <c r="O209" s="66"/>
      <c r="P209" s="65"/>
    </row>
    <row r="210" spans="1:16" x14ac:dyDescent="0.25">
      <c r="A210" s="64" t="str">
        <f>TRIM('Account Creation'!D209)</f>
        <v/>
      </c>
      <c r="B210" s="64" t="str">
        <f>TRIM('Account Creation'!C209)</f>
        <v/>
      </c>
      <c r="C210" s="64" t="str">
        <f>TRIM('Account Creation'!B209)</f>
        <v/>
      </c>
      <c r="D210" s="64" t="str">
        <f>TRIM('Help Desk'!D209)</f>
        <v/>
      </c>
      <c r="E210" s="65"/>
      <c r="F210" s="66"/>
      <c r="G210" s="66"/>
      <c r="H210" s="66"/>
      <c r="I210" s="66"/>
      <c r="J210" s="66"/>
      <c r="K210" s="66"/>
      <c r="L210" s="66"/>
      <c r="M210" s="66"/>
      <c r="N210" s="66"/>
      <c r="O210" s="66"/>
      <c r="P210" s="65"/>
    </row>
    <row r="211" spans="1:16" x14ac:dyDescent="0.25">
      <c r="A211" s="64" t="str">
        <f>TRIM('Account Creation'!D210)</f>
        <v/>
      </c>
      <c r="B211" s="64" t="str">
        <f>TRIM('Account Creation'!C210)</f>
        <v/>
      </c>
      <c r="C211" s="64" t="str">
        <f>TRIM('Account Creation'!B210)</f>
        <v/>
      </c>
      <c r="D211" s="64" t="str">
        <f>TRIM('Help Desk'!D210)</f>
        <v/>
      </c>
      <c r="E211" s="65"/>
      <c r="F211" s="66"/>
      <c r="G211" s="66"/>
      <c r="H211" s="66"/>
      <c r="I211" s="66"/>
      <c r="J211" s="66"/>
      <c r="K211" s="66"/>
      <c r="L211" s="66"/>
      <c r="M211" s="66"/>
      <c r="N211" s="66"/>
      <c r="O211" s="66"/>
      <c r="P211" s="65"/>
    </row>
    <row r="212" spans="1:16" x14ac:dyDescent="0.25">
      <c r="A212" s="64" t="str">
        <f>TRIM('Account Creation'!D211)</f>
        <v/>
      </c>
      <c r="B212" s="64" t="str">
        <f>TRIM('Account Creation'!C211)</f>
        <v/>
      </c>
      <c r="C212" s="64" t="str">
        <f>TRIM('Account Creation'!B211)</f>
        <v/>
      </c>
      <c r="D212" s="64" t="str">
        <f>TRIM('Help Desk'!D211)</f>
        <v/>
      </c>
      <c r="E212" s="65"/>
      <c r="F212" s="66"/>
      <c r="G212" s="66"/>
      <c r="H212" s="66"/>
      <c r="I212" s="66"/>
      <c r="J212" s="66"/>
      <c r="K212" s="66"/>
      <c r="L212" s="66"/>
      <c r="M212" s="66"/>
      <c r="N212" s="66"/>
      <c r="O212" s="66"/>
      <c r="P212" s="65"/>
    </row>
    <row r="213" spans="1:16" x14ac:dyDescent="0.25">
      <c r="A213" s="64" t="str">
        <f>TRIM('Account Creation'!D212)</f>
        <v/>
      </c>
      <c r="B213" s="64" t="str">
        <f>TRIM('Account Creation'!C212)</f>
        <v/>
      </c>
      <c r="C213" s="64" t="str">
        <f>TRIM('Account Creation'!B212)</f>
        <v/>
      </c>
      <c r="D213" s="64" t="str">
        <f>TRIM('Help Desk'!D212)</f>
        <v/>
      </c>
      <c r="E213" s="65"/>
      <c r="F213" s="66"/>
      <c r="G213" s="66"/>
      <c r="H213" s="66"/>
      <c r="I213" s="66"/>
      <c r="J213" s="66"/>
      <c r="K213" s="66"/>
      <c r="L213" s="66"/>
      <c r="M213" s="66"/>
      <c r="N213" s="66"/>
      <c r="O213" s="66"/>
      <c r="P213" s="65"/>
    </row>
    <row r="214" spans="1:16" x14ac:dyDescent="0.25">
      <c r="A214" s="64" t="str">
        <f>TRIM('Account Creation'!D213)</f>
        <v/>
      </c>
      <c r="B214" s="64" t="str">
        <f>TRIM('Account Creation'!C213)</f>
        <v/>
      </c>
      <c r="C214" s="64" t="str">
        <f>TRIM('Account Creation'!B213)</f>
        <v/>
      </c>
      <c r="D214" s="64" t="str">
        <f>TRIM('Help Desk'!D213)</f>
        <v/>
      </c>
      <c r="E214" s="65"/>
      <c r="F214" s="66"/>
      <c r="G214" s="66"/>
      <c r="H214" s="66"/>
      <c r="I214" s="66"/>
      <c r="J214" s="66"/>
      <c r="K214" s="66"/>
      <c r="L214" s="66"/>
      <c r="M214" s="66"/>
      <c r="N214" s="66"/>
      <c r="O214" s="66"/>
      <c r="P214" s="65"/>
    </row>
    <row r="215" spans="1:16" x14ac:dyDescent="0.25">
      <c r="A215" s="64" t="str">
        <f>TRIM('Account Creation'!D214)</f>
        <v/>
      </c>
      <c r="B215" s="64" t="str">
        <f>TRIM('Account Creation'!C214)</f>
        <v/>
      </c>
      <c r="C215" s="64" t="str">
        <f>TRIM('Account Creation'!B214)</f>
        <v/>
      </c>
      <c r="D215" s="64" t="str">
        <f>TRIM('Help Desk'!D214)</f>
        <v/>
      </c>
      <c r="E215" s="65"/>
      <c r="F215" s="66"/>
      <c r="G215" s="66"/>
      <c r="H215" s="66"/>
      <c r="I215" s="66"/>
      <c r="J215" s="66"/>
      <c r="K215" s="66"/>
      <c r="L215" s="66"/>
      <c r="M215" s="66"/>
      <c r="N215" s="66"/>
      <c r="O215" s="66"/>
      <c r="P215" s="65"/>
    </row>
    <row r="216" spans="1:16" x14ac:dyDescent="0.25">
      <c r="A216" s="64" t="str">
        <f>TRIM('Account Creation'!D215)</f>
        <v/>
      </c>
      <c r="B216" s="64" t="str">
        <f>TRIM('Account Creation'!C215)</f>
        <v/>
      </c>
      <c r="C216" s="64" t="str">
        <f>TRIM('Account Creation'!B215)</f>
        <v/>
      </c>
      <c r="D216" s="64" t="str">
        <f>TRIM('Help Desk'!D215)</f>
        <v/>
      </c>
      <c r="E216" s="65"/>
      <c r="F216" s="66"/>
      <c r="G216" s="66"/>
      <c r="H216" s="66"/>
      <c r="I216" s="66"/>
      <c r="J216" s="66"/>
      <c r="K216" s="66"/>
      <c r="L216" s="66"/>
      <c r="M216" s="66"/>
      <c r="N216" s="66"/>
      <c r="O216" s="66"/>
      <c r="P216" s="65"/>
    </row>
    <row r="217" spans="1:16" x14ac:dyDescent="0.25">
      <c r="A217" s="64" t="str">
        <f>TRIM('Account Creation'!D216)</f>
        <v/>
      </c>
      <c r="B217" s="64" t="str">
        <f>TRIM('Account Creation'!C216)</f>
        <v/>
      </c>
      <c r="C217" s="64" t="str">
        <f>TRIM('Account Creation'!B216)</f>
        <v/>
      </c>
      <c r="D217" s="64" t="str">
        <f>TRIM('Help Desk'!D216)</f>
        <v/>
      </c>
      <c r="E217" s="65"/>
      <c r="F217" s="66"/>
      <c r="G217" s="66"/>
      <c r="H217" s="66"/>
      <c r="I217" s="66"/>
      <c r="J217" s="66"/>
      <c r="K217" s="66"/>
      <c r="L217" s="66"/>
      <c r="M217" s="66"/>
      <c r="N217" s="66"/>
      <c r="O217" s="66"/>
      <c r="P217" s="65"/>
    </row>
    <row r="218" spans="1:16" x14ac:dyDescent="0.25">
      <c r="A218" s="64" t="str">
        <f>TRIM('Account Creation'!D217)</f>
        <v/>
      </c>
      <c r="B218" s="64" t="str">
        <f>TRIM('Account Creation'!C217)</f>
        <v/>
      </c>
      <c r="C218" s="64" t="str">
        <f>TRIM('Account Creation'!B217)</f>
        <v/>
      </c>
      <c r="D218" s="64" t="str">
        <f>TRIM('Help Desk'!D217)</f>
        <v/>
      </c>
      <c r="E218" s="65"/>
      <c r="F218" s="66"/>
      <c r="G218" s="66"/>
      <c r="H218" s="66"/>
      <c r="I218" s="66"/>
      <c r="J218" s="66"/>
      <c r="K218" s="66"/>
      <c r="L218" s="66"/>
      <c r="M218" s="66"/>
      <c r="N218" s="66"/>
      <c r="O218" s="66"/>
      <c r="P218" s="65"/>
    </row>
    <row r="219" spans="1:16" x14ac:dyDescent="0.25">
      <c r="A219" s="64" t="str">
        <f>TRIM('Account Creation'!D218)</f>
        <v/>
      </c>
      <c r="B219" s="64" t="str">
        <f>TRIM('Account Creation'!C218)</f>
        <v/>
      </c>
      <c r="C219" s="64" t="str">
        <f>TRIM('Account Creation'!B218)</f>
        <v/>
      </c>
      <c r="D219" s="64" t="str">
        <f>TRIM('Help Desk'!D218)</f>
        <v/>
      </c>
      <c r="E219" s="65"/>
      <c r="F219" s="66"/>
      <c r="G219" s="66"/>
      <c r="H219" s="66"/>
      <c r="I219" s="66"/>
      <c r="J219" s="66"/>
      <c r="K219" s="66"/>
      <c r="L219" s="66"/>
      <c r="M219" s="66"/>
      <c r="N219" s="66"/>
      <c r="O219" s="66"/>
      <c r="P219" s="65"/>
    </row>
    <row r="220" spans="1:16" x14ac:dyDescent="0.25">
      <c r="A220" s="64" t="str">
        <f>TRIM('Account Creation'!D219)</f>
        <v/>
      </c>
      <c r="B220" s="64" t="str">
        <f>TRIM('Account Creation'!C219)</f>
        <v/>
      </c>
      <c r="C220" s="64" t="str">
        <f>TRIM('Account Creation'!B219)</f>
        <v/>
      </c>
      <c r="D220" s="64" t="str">
        <f>TRIM('Help Desk'!D219)</f>
        <v/>
      </c>
      <c r="E220" s="65"/>
      <c r="F220" s="66"/>
      <c r="G220" s="66"/>
      <c r="H220" s="66"/>
      <c r="I220" s="66"/>
      <c r="J220" s="66"/>
      <c r="K220" s="66"/>
      <c r="L220" s="66"/>
      <c r="M220" s="66"/>
      <c r="N220" s="66"/>
      <c r="O220" s="66"/>
      <c r="P220" s="65"/>
    </row>
    <row r="221" spans="1:16" x14ac:dyDescent="0.25">
      <c r="A221" s="64" t="str">
        <f>TRIM('Account Creation'!D220)</f>
        <v/>
      </c>
      <c r="B221" s="64" t="str">
        <f>TRIM('Account Creation'!C220)</f>
        <v/>
      </c>
      <c r="C221" s="64" t="str">
        <f>TRIM('Account Creation'!B220)</f>
        <v/>
      </c>
      <c r="D221" s="64" t="str">
        <f>TRIM('Help Desk'!D220)</f>
        <v/>
      </c>
      <c r="E221" s="65"/>
      <c r="F221" s="66"/>
      <c r="G221" s="66"/>
      <c r="H221" s="66"/>
      <c r="I221" s="66"/>
      <c r="J221" s="66"/>
      <c r="K221" s="66"/>
      <c r="L221" s="66"/>
      <c r="M221" s="66"/>
      <c r="N221" s="66"/>
      <c r="O221" s="66"/>
      <c r="P221" s="65"/>
    </row>
    <row r="222" spans="1:16" x14ac:dyDescent="0.25">
      <c r="A222" s="64" t="str">
        <f>TRIM('Account Creation'!D221)</f>
        <v/>
      </c>
      <c r="B222" s="64" t="str">
        <f>TRIM('Account Creation'!C221)</f>
        <v/>
      </c>
      <c r="C222" s="64" t="str">
        <f>TRIM('Account Creation'!B221)</f>
        <v/>
      </c>
      <c r="D222" s="64" t="str">
        <f>TRIM('Help Desk'!D221)</f>
        <v/>
      </c>
      <c r="E222" s="65"/>
      <c r="F222" s="66"/>
      <c r="G222" s="66"/>
      <c r="H222" s="66"/>
      <c r="I222" s="66"/>
      <c r="J222" s="66"/>
      <c r="K222" s="66"/>
      <c r="L222" s="66"/>
      <c r="M222" s="66"/>
      <c r="N222" s="66"/>
      <c r="O222" s="66"/>
      <c r="P222" s="65"/>
    </row>
    <row r="223" spans="1:16" x14ac:dyDescent="0.25">
      <c r="A223" s="64" t="str">
        <f>TRIM('Account Creation'!D222)</f>
        <v/>
      </c>
      <c r="B223" s="64" t="str">
        <f>TRIM('Account Creation'!C222)</f>
        <v/>
      </c>
      <c r="C223" s="64" t="str">
        <f>TRIM('Account Creation'!B222)</f>
        <v/>
      </c>
      <c r="D223" s="64" t="str">
        <f>TRIM('Help Desk'!D222)</f>
        <v/>
      </c>
      <c r="E223" s="65"/>
      <c r="F223" s="66"/>
      <c r="G223" s="66"/>
      <c r="H223" s="66"/>
      <c r="I223" s="66"/>
      <c r="J223" s="66"/>
      <c r="K223" s="66"/>
      <c r="L223" s="66"/>
      <c r="M223" s="66"/>
      <c r="N223" s="66"/>
      <c r="O223" s="66"/>
      <c r="P223" s="65"/>
    </row>
    <row r="224" spans="1:16" x14ac:dyDescent="0.25">
      <c r="A224" s="64" t="str">
        <f>TRIM('Account Creation'!D223)</f>
        <v/>
      </c>
      <c r="B224" s="64" t="str">
        <f>TRIM('Account Creation'!C223)</f>
        <v/>
      </c>
      <c r="C224" s="64" t="str">
        <f>TRIM('Account Creation'!B223)</f>
        <v/>
      </c>
      <c r="D224" s="64" t="str">
        <f>TRIM('Help Desk'!D223)</f>
        <v/>
      </c>
      <c r="E224" s="65"/>
      <c r="F224" s="66"/>
      <c r="G224" s="66"/>
      <c r="H224" s="66"/>
      <c r="I224" s="66"/>
      <c r="J224" s="66"/>
      <c r="K224" s="66"/>
      <c r="L224" s="66"/>
      <c r="M224" s="66"/>
      <c r="N224" s="66"/>
      <c r="O224" s="66"/>
      <c r="P224" s="65"/>
    </row>
    <row r="225" spans="1:16" x14ac:dyDescent="0.25">
      <c r="A225" s="64" t="str">
        <f>TRIM('Account Creation'!D224)</f>
        <v/>
      </c>
      <c r="B225" s="64" t="str">
        <f>TRIM('Account Creation'!C224)</f>
        <v/>
      </c>
      <c r="C225" s="64" t="str">
        <f>TRIM('Account Creation'!B224)</f>
        <v/>
      </c>
      <c r="D225" s="64" t="str">
        <f>TRIM('Help Desk'!D224)</f>
        <v/>
      </c>
      <c r="E225" s="65"/>
      <c r="F225" s="66"/>
      <c r="G225" s="66"/>
      <c r="H225" s="66"/>
      <c r="I225" s="66"/>
      <c r="J225" s="66"/>
      <c r="K225" s="66"/>
      <c r="L225" s="66"/>
      <c r="M225" s="66"/>
      <c r="N225" s="66"/>
      <c r="O225" s="66"/>
      <c r="P225" s="65"/>
    </row>
    <row r="226" spans="1:16" x14ac:dyDescent="0.25">
      <c r="A226" s="64" t="str">
        <f>TRIM('Account Creation'!D225)</f>
        <v/>
      </c>
      <c r="B226" s="64" t="str">
        <f>TRIM('Account Creation'!C225)</f>
        <v/>
      </c>
      <c r="C226" s="64" t="str">
        <f>TRIM('Account Creation'!B225)</f>
        <v/>
      </c>
      <c r="D226" s="64" t="str">
        <f>TRIM('Help Desk'!D225)</f>
        <v/>
      </c>
      <c r="E226" s="65"/>
      <c r="F226" s="66"/>
      <c r="G226" s="66"/>
      <c r="H226" s="66"/>
      <c r="I226" s="66"/>
      <c r="J226" s="66"/>
      <c r="K226" s="66"/>
      <c r="L226" s="66"/>
      <c r="M226" s="66"/>
      <c r="N226" s="66"/>
      <c r="O226" s="66"/>
      <c r="P226" s="65"/>
    </row>
    <row r="227" spans="1:16" x14ac:dyDescent="0.25">
      <c r="A227" s="64" t="str">
        <f>TRIM('Account Creation'!D226)</f>
        <v/>
      </c>
      <c r="B227" s="64" t="str">
        <f>TRIM('Account Creation'!C226)</f>
        <v/>
      </c>
      <c r="C227" s="64" t="str">
        <f>TRIM('Account Creation'!B226)</f>
        <v/>
      </c>
      <c r="D227" s="64" t="str">
        <f>TRIM('Help Desk'!D226)</f>
        <v/>
      </c>
      <c r="E227" s="65"/>
      <c r="F227" s="66"/>
      <c r="G227" s="66"/>
      <c r="H227" s="66"/>
      <c r="I227" s="66"/>
      <c r="J227" s="66"/>
      <c r="K227" s="66"/>
      <c r="L227" s="66"/>
      <c r="M227" s="66"/>
      <c r="N227" s="66"/>
      <c r="O227" s="66"/>
      <c r="P227" s="65"/>
    </row>
    <row r="228" spans="1:16" x14ac:dyDescent="0.25">
      <c r="A228" s="64" t="str">
        <f>TRIM('Account Creation'!D227)</f>
        <v/>
      </c>
      <c r="B228" s="64" t="str">
        <f>TRIM('Account Creation'!C227)</f>
        <v/>
      </c>
      <c r="C228" s="64" t="str">
        <f>TRIM('Account Creation'!B227)</f>
        <v/>
      </c>
      <c r="D228" s="64" t="str">
        <f>TRIM('Help Desk'!D227)</f>
        <v/>
      </c>
      <c r="E228" s="65"/>
      <c r="F228" s="66"/>
      <c r="G228" s="66"/>
      <c r="H228" s="66"/>
      <c r="I228" s="66"/>
      <c r="J228" s="66"/>
      <c r="K228" s="66"/>
      <c r="L228" s="66"/>
      <c r="M228" s="66"/>
      <c r="N228" s="66"/>
      <c r="O228" s="66"/>
      <c r="P228" s="65"/>
    </row>
    <row r="229" spans="1:16" x14ac:dyDescent="0.25">
      <c r="A229" s="64" t="str">
        <f>TRIM('Account Creation'!D228)</f>
        <v/>
      </c>
      <c r="B229" s="64" t="str">
        <f>TRIM('Account Creation'!C228)</f>
        <v/>
      </c>
      <c r="C229" s="64" t="str">
        <f>TRIM('Account Creation'!B228)</f>
        <v/>
      </c>
      <c r="D229" s="64" t="str">
        <f>TRIM('Help Desk'!D228)</f>
        <v/>
      </c>
      <c r="E229" s="65"/>
      <c r="F229" s="66"/>
      <c r="G229" s="66"/>
      <c r="H229" s="66"/>
      <c r="I229" s="66"/>
      <c r="J229" s="66"/>
      <c r="K229" s="66"/>
      <c r="L229" s="66"/>
      <c r="M229" s="66"/>
      <c r="N229" s="66"/>
      <c r="O229" s="66"/>
      <c r="P229" s="65"/>
    </row>
    <row r="230" spans="1:16" x14ac:dyDescent="0.25">
      <c r="A230" s="64" t="str">
        <f>TRIM('Account Creation'!D229)</f>
        <v/>
      </c>
      <c r="B230" s="64" t="str">
        <f>TRIM('Account Creation'!C229)</f>
        <v/>
      </c>
      <c r="C230" s="64" t="str">
        <f>TRIM('Account Creation'!B229)</f>
        <v/>
      </c>
      <c r="D230" s="64" t="str">
        <f>TRIM('Help Desk'!D229)</f>
        <v/>
      </c>
      <c r="E230" s="65"/>
      <c r="F230" s="66"/>
      <c r="G230" s="66"/>
      <c r="H230" s="66"/>
      <c r="I230" s="66"/>
      <c r="J230" s="66"/>
      <c r="K230" s="66"/>
      <c r="L230" s="66"/>
      <c r="M230" s="66"/>
      <c r="N230" s="66"/>
      <c r="O230" s="66"/>
      <c r="P230" s="65"/>
    </row>
    <row r="231" spans="1:16" x14ac:dyDescent="0.25">
      <c r="A231" s="64" t="str">
        <f>TRIM('Account Creation'!D230)</f>
        <v/>
      </c>
      <c r="B231" s="64" t="str">
        <f>TRIM('Account Creation'!C230)</f>
        <v/>
      </c>
      <c r="C231" s="64" t="str">
        <f>TRIM('Account Creation'!B230)</f>
        <v/>
      </c>
      <c r="D231" s="64" t="str">
        <f>TRIM('Help Desk'!D230)</f>
        <v/>
      </c>
      <c r="E231" s="65"/>
      <c r="F231" s="66"/>
      <c r="G231" s="66"/>
      <c r="H231" s="66"/>
      <c r="I231" s="66"/>
      <c r="J231" s="66"/>
      <c r="K231" s="66"/>
      <c r="L231" s="66"/>
      <c r="M231" s="66"/>
      <c r="N231" s="66"/>
      <c r="O231" s="66"/>
      <c r="P231" s="65"/>
    </row>
    <row r="232" spans="1:16" x14ac:dyDescent="0.25">
      <c r="A232" s="64" t="str">
        <f>TRIM('Account Creation'!D231)</f>
        <v/>
      </c>
      <c r="B232" s="64" t="str">
        <f>TRIM('Account Creation'!C231)</f>
        <v/>
      </c>
      <c r="C232" s="64" t="str">
        <f>TRIM('Account Creation'!B231)</f>
        <v/>
      </c>
      <c r="D232" s="64" t="str">
        <f>TRIM('Help Desk'!D231)</f>
        <v/>
      </c>
      <c r="E232" s="65"/>
      <c r="F232" s="66"/>
      <c r="G232" s="66"/>
      <c r="H232" s="66"/>
      <c r="I232" s="66"/>
      <c r="J232" s="66"/>
      <c r="K232" s="66"/>
      <c r="L232" s="66"/>
      <c r="M232" s="66"/>
      <c r="N232" s="66"/>
      <c r="O232" s="66"/>
      <c r="P232" s="65"/>
    </row>
    <row r="233" spans="1:16" x14ac:dyDescent="0.25">
      <c r="A233" s="64" t="str">
        <f>TRIM('Account Creation'!D232)</f>
        <v/>
      </c>
      <c r="B233" s="64" t="str">
        <f>TRIM('Account Creation'!C232)</f>
        <v/>
      </c>
      <c r="C233" s="64" t="str">
        <f>TRIM('Account Creation'!B232)</f>
        <v/>
      </c>
      <c r="D233" s="64" t="str">
        <f>TRIM('Help Desk'!D232)</f>
        <v/>
      </c>
      <c r="E233" s="65"/>
      <c r="F233" s="66"/>
      <c r="G233" s="66"/>
      <c r="H233" s="66"/>
      <c r="I233" s="66"/>
      <c r="J233" s="66"/>
      <c r="K233" s="66"/>
      <c r="L233" s="66"/>
      <c r="M233" s="66"/>
      <c r="N233" s="66"/>
      <c r="O233" s="66"/>
      <c r="P233" s="65"/>
    </row>
    <row r="234" spans="1:16" x14ac:dyDescent="0.25">
      <c r="A234" s="64" t="str">
        <f>TRIM('Account Creation'!D233)</f>
        <v/>
      </c>
      <c r="B234" s="64" t="str">
        <f>TRIM('Account Creation'!C233)</f>
        <v/>
      </c>
      <c r="C234" s="64" t="str">
        <f>TRIM('Account Creation'!B233)</f>
        <v/>
      </c>
      <c r="D234" s="64" t="str">
        <f>TRIM('Help Desk'!D233)</f>
        <v/>
      </c>
      <c r="E234" s="65"/>
      <c r="F234" s="66"/>
      <c r="G234" s="66"/>
      <c r="H234" s="66"/>
      <c r="I234" s="66"/>
      <c r="J234" s="66"/>
      <c r="K234" s="66"/>
      <c r="L234" s="66"/>
      <c r="M234" s="66"/>
      <c r="N234" s="66"/>
      <c r="O234" s="66"/>
      <c r="P234" s="65"/>
    </row>
    <row r="235" spans="1:16" x14ac:dyDescent="0.25">
      <c r="A235" s="64" t="str">
        <f>TRIM('Account Creation'!D234)</f>
        <v/>
      </c>
      <c r="B235" s="64" t="str">
        <f>TRIM('Account Creation'!C234)</f>
        <v/>
      </c>
      <c r="C235" s="64" t="str">
        <f>TRIM('Account Creation'!B234)</f>
        <v/>
      </c>
      <c r="D235" s="64" t="str">
        <f>TRIM('Help Desk'!D234)</f>
        <v/>
      </c>
      <c r="E235" s="65"/>
      <c r="F235" s="66"/>
      <c r="G235" s="66"/>
      <c r="H235" s="66"/>
      <c r="I235" s="66"/>
      <c r="J235" s="66"/>
      <c r="K235" s="66"/>
      <c r="L235" s="66"/>
      <c r="M235" s="66"/>
      <c r="N235" s="66"/>
      <c r="O235" s="66"/>
      <c r="P235" s="65"/>
    </row>
    <row r="236" spans="1:16" x14ac:dyDescent="0.25">
      <c r="A236" s="64" t="str">
        <f>TRIM('Account Creation'!D235)</f>
        <v/>
      </c>
      <c r="B236" s="64" t="str">
        <f>TRIM('Account Creation'!C235)</f>
        <v/>
      </c>
      <c r="C236" s="64" t="str">
        <f>TRIM('Account Creation'!B235)</f>
        <v/>
      </c>
      <c r="D236" s="64" t="str">
        <f>TRIM('Help Desk'!D235)</f>
        <v/>
      </c>
      <c r="E236" s="65"/>
      <c r="F236" s="66"/>
      <c r="G236" s="66"/>
      <c r="H236" s="66"/>
      <c r="I236" s="66"/>
      <c r="J236" s="66"/>
      <c r="K236" s="66"/>
      <c r="L236" s="66"/>
      <c r="M236" s="66"/>
      <c r="N236" s="66"/>
      <c r="O236" s="66"/>
      <c r="P236" s="65"/>
    </row>
    <row r="237" spans="1:16" x14ac:dyDescent="0.25">
      <c r="A237" s="64" t="str">
        <f>TRIM('Account Creation'!D236)</f>
        <v/>
      </c>
      <c r="B237" s="64" t="str">
        <f>TRIM('Account Creation'!C236)</f>
        <v/>
      </c>
      <c r="C237" s="64" t="str">
        <f>TRIM('Account Creation'!B236)</f>
        <v/>
      </c>
      <c r="D237" s="64" t="str">
        <f>TRIM('Help Desk'!D236)</f>
        <v/>
      </c>
      <c r="E237" s="65"/>
      <c r="F237" s="66"/>
      <c r="G237" s="66"/>
      <c r="H237" s="66"/>
      <c r="I237" s="66"/>
      <c r="J237" s="66"/>
      <c r="K237" s="66"/>
      <c r="L237" s="66"/>
      <c r="M237" s="66"/>
      <c r="N237" s="66"/>
      <c r="O237" s="66"/>
      <c r="P237" s="65"/>
    </row>
    <row r="238" spans="1:16" x14ac:dyDescent="0.25">
      <c r="A238" s="64" t="str">
        <f>TRIM('Account Creation'!D237)</f>
        <v/>
      </c>
      <c r="B238" s="64" t="str">
        <f>TRIM('Account Creation'!C237)</f>
        <v/>
      </c>
      <c r="C238" s="64" t="str">
        <f>TRIM('Account Creation'!B237)</f>
        <v/>
      </c>
      <c r="D238" s="64" t="str">
        <f>TRIM('Help Desk'!D237)</f>
        <v/>
      </c>
      <c r="E238" s="65"/>
      <c r="F238" s="66"/>
      <c r="G238" s="66"/>
      <c r="H238" s="66"/>
      <c r="I238" s="66"/>
      <c r="J238" s="66"/>
      <c r="K238" s="66"/>
      <c r="L238" s="66"/>
      <c r="M238" s="66"/>
      <c r="N238" s="66"/>
      <c r="O238" s="66"/>
      <c r="P238" s="65"/>
    </row>
    <row r="239" spans="1:16" x14ac:dyDescent="0.25">
      <c r="A239" s="64" t="str">
        <f>TRIM('Account Creation'!D238)</f>
        <v/>
      </c>
      <c r="B239" s="64" t="str">
        <f>TRIM('Account Creation'!C238)</f>
        <v/>
      </c>
      <c r="C239" s="64" t="str">
        <f>TRIM('Account Creation'!B238)</f>
        <v/>
      </c>
      <c r="D239" s="64" t="str">
        <f>TRIM('Help Desk'!D238)</f>
        <v/>
      </c>
      <c r="E239" s="65"/>
      <c r="F239" s="66"/>
      <c r="G239" s="66"/>
      <c r="H239" s="66"/>
      <c r="I239" s="66"/>
      <c r="J239" s="66"/>
      <c r="K239" s="66"/>
      <c r="L239" s="66"/>
      <c r="M239" s="66"/>
      <c r="N239" s="66"/>
      <c r="O239" s="66"/>
      <c r="P239" s="65"/>
    </row>
    <row r="240" spans="1:16" x14ac:dyDescent="0.25">
      <c r="A240" s="64" t="str">
        <f>TRIM('Account Creation'!D239)</f>
        <v/>
      </c>
      <c r="B240" s="64" t="str">
        <f>TRIM('Account Creation'!C239)</f>
        <v/>
      </c>
      <c r="C240" s="64" t="str">
        <f>TRIM('Account Creation'!B239)</f>
        <v/>
      </c>
      <c r="D240" s="64" t="str">
        <f>TRIM('Help Desk'!D239)</f>
        <v/>
      </c>
      <c r="E240" s="65"/>
      <c r="F240" s="66"/>
      <c r="G240" s="66"/>
      <c r="H240" s="66"/>
      <c r="I240" s="66"/>
      <c r="J240" s="66"/>
      <c r="K240" s="66"/>
      <c r="L240" s="66"/>
      <c r="M240" s="66"/>
      <c r="N240" s="66"/>
      <c r="O240" s="66"/>
      <c r="P240" s="65"/>
    </row>
    <row r="241" spans="1:16" x14ac:dyDescent="0.25">
      <c r="A241" s="64" t="str">
        <f>TRIM('Account Creation'!D240)</f>
        <v/>
      </c>
      <c r="B241" s="64" t="str">
        <f>TRIM('Account Creation'!C240)</f>
        <v/>
      </c>
      <c r="C241" s="64" t="str">
        <f>TRIM('Account Creation'!B240)</f>
        <v/>
      </c>
      <c r="D241" s="64" t="str">
        <f>TRIM('Help Desk'!D240)</f>
        <v/>
      </c>
      <c r="E241" s="65"/>
      <c r="F241" s="66"/>
      <c r="G241" s="66"/>
      <c r="H241" s="66"/>
      <c r="I241" s="66"/>
      <c r="J241" s="66"/>
      <c r="K241" s="66"/>
      <c r="L241" s="66"/>
      <c r="M241" s="66"/>
      <c r="N241" s="66"/>
      <c r="O241" s="66"/>
      <c r="P241" s="65"/>
    </row>
    <row r="242" spans="1:16" x14ac:dyDescent="0.25">
      <c r="A242" s="64" t="str">
        <f>TRIM('Account Creation'!D241)</f>
        <v/>
      </c>
      <c r="B242" s="64" t="str">
        <f>TRIM('Account Creation'!C241)</f>
        <v/>
      </c>
      <c r="C242" s="64" t="str">
        <f>TRIM('Account Creation'!B241)</f>
        <v/>
      </c>
      <c r="D242" s="64" t="str">
        <f>TRIM('Help Desk'!D241)</f>
        <v/>
      </c>
      <c r="E242" s="65"/>
      <c r="F242" s="66"/>
      <c r="G242" s="66"/>
      <c r="H242" s="66"/>
      <c r="I242" s="66"/>
      <c r="J242" s="66"/>
      <c r="K242" s="66"/>
      <c r="L242" s="66"/>
      <c r="M242" s="66"/>
      <c r="N242" s="66"/>
      <c r="O242" s="66"/>
      <c r="P242" s="65"/>
    </row>
    <row r="243" spans="1:16" x14ac:dyDescent="0.25">
      <c r="A243" s="64" t="str">
        <f>TRIM('Account Creation'!D242)</f>
        <v/>
      </c>
      <c r="B243" s="64" t="str">
        <f>TRIM('Account Creation'!C242)</f>
        <v/>
      </c>
      <c r="C243" s="64" t="str">
        <f>TRIM('Account Creation'!B242)</f>
        <v/>
      </c>
      <c r="D243" s="64" t="str">
        <f>TRIM('Help Desk'!D242)</f>
        <v/>
      </c>
      <c r="E243" s="65"/>
      <c r="F243" s="66"/>
      <c r="G243" s="66"/>
      <c r="H243" s="66"/>
      <c r="I243" s="66"/>
      <c r="J243" s="66"/>
      <c r="K243" s="66"/>
      <c r="L243" s="66"/>
      <c r="M243" s="66"/>
      <c r="N243" s="66"/>
      <c r="O243" s="66"/>
      <c r="P243" s="65"/>
    </row>
    <row r="244" spans="1:16" x14ac:dyDescent="0.25">
      <c r="A244" s="64" t="str">
        <f>TRIM('Account Creation'!D243)</f>
        <v/>
      </c>
      <c r="B244" s="64" t="str">
        <f>TRIM('Account Creation'!C243)</f>
        <v/>
      </c>
      <c r="C244" s="64" t="str">
        <f>TRIM('Account Creation'!B243)</f>
        <v/>
      </c>
      <c r="D244" s="64" t="str">
        <f>TRIM('Help Desk'!D243)</f>
        <v/>
      </c>
      <c r="E244" s="65"/>
      <c r="F244" s="66"/>
      <c r="G244" s="66"/>
      <c r="H244" s="66"/>
      <c r="I244" s="66"/>
      <c r="J244" s="66"/>
      <c r="K244" s="66"/>
      <c r="L244" s="66"/>
      <c r="M244" s="66"/>
      <c r="N244" s="66"/>
      <c r="O244" s="66"/>
      <c r="P244" s="65"/>
    </row>
    <row r="245" spans="1:16" x14ac:dyDescent="0.25">
      <c r="A245" s="64" t="str">
        <f>TRIM('Account Creation'!D244)</f>
        <v/>
      </c>
      <c r="B245" s="64" t="str">
        <f>TRIM('Account Creation'!C244)</f>
        <v/>
      </c>
      <c r="C245" s="64" t="str">
        <f>TRIM('Account Creation'!B244)</f>
        <v/>
      </c>
      <c r="D245" s="64" t="str">
        <f>TRIM('Help Desk'!D244)</f>
        <v/>
      </c>
      <c r="E245" s="65"/>
      <c r="F245" s="66"/>
      <c r="G245" s="66"/>
      <c r="H245" s="66"/>
      <c r="I245" s="66"/>
      <c r="J245" s="66"/>
      <c r="K245" s="66"/>
      <c r="L245" s="66"/>
      <c r="M245" s="66"/>
      <c r="N245" s="66"/>
      <c r="O245" s="66"/>
      <c r="P245" s="65"/>
    </row>
    <row r="246" spans="1:16" x14ac:dyDescent="0.25">
      <c r="A246" s="64" t="str">
        <f>TRIM('Account Creation'!D245)</f>
        <v/>
      </c>
      <c r="B246" s="64" t="str">
        <f>TRIM('Account Creation'!C245)</f>
        <v/>
      </c>
      <c r="C246" s="64" t="str">
        <f>TRIM('Account Creation'!B245)</f>
        <v/>
      </c>
      <c r="D246" s="64" t="str">
        <f>TRIM('Help Desk'!D245)</f>
        <v/>
      </c>
      <c r="E246" s="65"/>
      <c r="F246" s="66"/>
      <c r="G246" s="66"/>
      <c r="H246" s="66"/>
      <c r="I246" s="66"/>
      <c r="J246" s="66"/>
      <c r="K246" s="66"/>
      <c r="L246" s="66"/>
      <c r="M246" s="66"/>
      <c r="N246" s="66"/>
      <c r="O246" s="66"/>
      <c r="P246" s="65"/>
    </row>
    <row r="247" spans="1:16" x14ac:dyDescent="0.25">
      <c r="A247" s="64" t="str">
        <f>TRIM('Account Creation'!D246)</f>
        <v/>
      </c>
      <c r="B247" s="64" t="str">
        <f>TRIM('Account Creation'!C246)</f>
        <v/>
      </c>
      <c r="C247" s="64" t="str">
        <f>TRIM('Account Creation'!B246)</f>
        <v/>
      </c>
      <c r="D247" s="64" t="str">
        <f>TRIM('Help Desk'!D246)</f>
        <v/>
      </c>
      <c r="E247" s="65"/>
      <c r="F247" s="66"/>
      <c r="G247" s="66"/>
      <c r="H247" s="66"/>
      <c r="I247" s="66"/>
      <c r="J247" s="66"/>
      <c r="K247" s="66"/>
      <c r="L247" s="66"/>
      <c r="M247" s="66"/>
      <c r="N247" s="66"/>
      <c r="O247" s="66"/>
      <c r="P247" s="65"/>
    </row>
    <row r="248" spans="1:16" x14ac:dyDescent="0.25">
      <c r="A248" s="64" t="str">
        <f>TRIM('Account Creation'!D247)</f>
        <v/>
      </c>
      <c r="B248" s="64" t="str">
        <f>TRIM('Account Creation'!C247)</f>
        <v/>
      </c>
      <c r="C248" s="64" t="str">
        <f>TRIM('Account Creation'!B247)</f>
        <v/>
      </c>
      <c r="D248" s="64" t="str">
        <f>TRIM('Help Desk'!D247)</f>
        <v/>
      </c>
      <c r="E248" s="65"/>
      <c r="F248" s="66"/>
      <c r="G248" s="66"/>
      <c r="H248" s="66"/>
      <c r="I248" s="66"/>
      <c r="J248" s="66"/>
      <c r="K248" s="66"/>
      <c r="L248" s="66"/>
      <c r="M248" s="66"/>
      <c r="N248" s="66"/>
      <c r="O248" s="66"/>
      <c r="P248" s="65"/>
    </row>
    <row r="249" spans="1:16" x14ac:dyDescent="0.25">
      <c r="A249" s="64" t="str">
        <f>TRIM('Account Creation'!D248)</f>
        <v/>
      </c>
      <c r="B249" s="64" t="str">
        <f>TRIM('Account Creation'!C248)</f>
        <v/>
      </c>
      <c r="C249" s="64" t="str">
        <f>TRIM('Account Creation'!B248)</f>
        <v/>
      </c>
      <c r="D249" s="64" t="str">
        <f>TRIM('Help Desk'!D248)</f>
        <v/>
      </c>
      <c r="E249" s="65"/>
      <c r="F249" s="66"/>
      <c r="G249" s="66"/>
      <c r="H249" s="66"/>
      <c r="I249" s="66"/>
      <c r="J249" s="66"/>
      <c r="K249" s="66"/>
      <c r="L249" s="66"/>
      <c r="M249" s="66"/>
      <c r="N249" s="66"/>
      <c r="O249" s="66"/>
      <c r="P249" s="65"/>
    </row>
    <row r="250" spans="1:16" x14ac:dyDescent="0.25">
      <c r="A250" s="64" t="str">
        <f>TRIM('Account Creation'!D249)</f>
        <v/>
      </c>
      <c r="B250" s="64" t="str">
        <f>TRIM('Account Creation'!C249)</f>
        <v/>
      </c>
      <c r="C250" s="64" t="str">
        <f>TRIM('Account Creation'!B249)</f>
        <v/>
      </c>
      <c r="D250" s="64" t="str">
        <f>TRIM('Help Desk'!D249)</f>
        <v/>
      </c>
      <c r="E250" s="65"/>
      <c r="F250" s="66"/>
      <c r="G250" s="66"/>
      <c r="H250" s="66"/>
      <c r="I250" s="66"/>
      <c r="J250" s="66"/>
      <c r="K250" s="66"/>
      <c r="L250" s="66"/>
      <c r="M250" s="66"/>
      <c r="N250" s="66"/>
      <c r="O250" s="66"/>
      <c r="P250" s="65"/>
    </row>
    <row r="251" spans="1:16" x14ac:dyDescent="0.25">
      <c r="A251" s="64" t="str">
        <f>TRIM('Account Creation'!D250)</f>
        <v/>
      </c>
      <c r="B251" s="64" t="str">
        <f>TRIM('Account Creation'!C250)</f>
        <v/>
      </c>
      <c r="C251" s="64" t="str">
        <f>TRIM('Account Creation'!B250)</f>
        <v/>
      </c>
      <c r="D251" s="64" t="str">
        <f>TRIM('Help Desk'!D250)</f>
        <v/>
      </c>
      <c r="E251" s="65"/>
      <c r="F251" s="66"/>
      <c r="G251" s="66"/>
      <c r="H251" s="66"/>
      <c r="I251" s="66"/>
      <c r="J251" s="66"/>
      <c r="K251" s="66"/>
      <c r="L251" s="66"/>
      <c r="M251" s="66"/>
      <c r="N251" s="66"/>
      <c r="O251" s="66"/>
      <c r="P251" s="65"/>
    </row>
    <row r="252" spans="1:16" x14ac:dyDescent="0.25">
      <c r="A252" s="64" t="str">
        <f>TRIM('Account Creation'!D251)</f>
        <v/>
      </c>
      <c r="B252" s="64" t="str">
        <f>TRIM('Account Creation'!C251)</f>
        <v/>
      </c>
      <c r="C252" s="64" t="str">
        <f>TRIM('Account Creation'!B251)</f>
        <v/>
      </c>
      <c r="D252" s="64" t="str">
        <f>TRIM('Help Desk'!D251)</f>
        <v/>
      </c>
      <c r="E252" s="65"/>
      <c r="F252" s="66"/>
      <c r="G252" s="66"/>
      <c r="H252" s="66"/>
      <c r="I252" s="66"/>
      <c r="J252" s="66"/>
      <c r="K252" s="66"/>
      <c r="L252" s="66"/>
      <c r="M252" s="66"/>
      <c r="N252" s="66"/>
      <c r="O252" s="66"/>
      <c r="P252" s="65"/>
    </row>
  </sheetData>
  <mergeCells count="3">
    <mergeCell ref="Q5:AA7"/>
    <mergeCell ref="F1:O1"/>
    <mergeCell ref="Q8:W8"/>
  </mergeCells>
  <conditionalFormatting sqref="F2:N2 A2:E252">
    <cfRule type="cellIs" dxfId="5" priority="8" operator="equal">
      <formula>0</formula>
    </cfRule>
  </conditionalFormatting>
  <conditionalFormatting sqref="O2">
    <cfRule type="cellIs" dxfId="4" priority="5" operator="equal">
      <formula>0</formula>
    </cfRule>
  </conditionalFormatting>
  <conditionalFormatting sqref="Q2">
    <cfRule type="cellIs" dxfId="3" priority="6" operator="equal">
      <formula>0</formula>
    </cfRule>
  </conditionalFormatting>
  <conditionalFormatting sqref="AA2">
    <cfRule type="cellIs" dxfId="2" priority="2" operator="equal">
      <formula>0</formula>
    </cfRule>
  </conditionalFormatting>
  <conditionalFormatting sqref="R2:Z2">
    <cfRule type="cellIs" dxfId="1" priority="3" operator="equal">
      <formula>0</formula>
    </cfRule>
  </conditionalFormatting>
  <conditionalFormatting sqref="P2:P252">
    <cfRule type="cellIs" dxfId="0" priority="1" operator="equal">
      <formula>0</formula>
    </cfRule>
  </conditionalFormatting>
  <hyperlinks>
    <hyperlink ref="Q8" r:id="rId1" xr:uid="{538648CC-A471-4BD8-A438-B57E51B40B1B}"/>
  </hyperlink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BA115-651E-4B58-BD68-D44460D398D7}">
  <dimension ref="A2:B3"/>
  <sheetViews>
    <sheetView workbookViewId="0">
      <selection sqref="A1:A11"/>
    </sheetView>
  </sheetViews>
  <sheetFormatPr defaultRowHeight="15" x14ac:dyDescent="0.25"/>
  <cols>
    <col min="1" max="1" width="9.7109375" bestFit="1" customWidth="1"/>
  </cols>
  <sheetData>
    <row r="2" spans="1:2" x14ac:dyDescent="0.25">
      <c r="A2" t="s">
        <v>690</v>
      </c>
    </row>
    <row r="3" spans="1:2" x14ac:dyDescent="0.25">
      <c r="A3" s="1">
        <v>44405</v>
      </c>
      <c r="B3" t="s">
        <v>691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18545F39643764BA2F689774DD25774" ma:contentTypeVersion="4" ma:contentTypeDescription="Create a new document." ma:contentTypeScope="" ma:versionID="70bb73b1b575d204490557907f596c07">
  <xsd:schema xmlns:xsd="http://www.w3.org/2001/XMLSchema" xmlns:xs="http://www.w3.org/2001/XMLSchema" xmlns:p="http://schemas.microsoft.com/office/2006/metadata/properties" xmlns:ns2="ebe55d23-fa99-4fd7-a27f-6ca82fc328da" xmlns:ns3="440b61f3-6bd8-4a91-8ffb-627f680f2108" targetNamespace="http://schemas.microsoft.com/office/2006/metadata/properties" ma:root="true" ma:fieldsID="0a0a8a4b9819b15d4af950af5b721865" ns2:_="" ns3:_="">
    <xsd:import namespace="ebe55d23-fa99-4fd7-a27f-6ca82fc328da"/>
    <xsd:import namespace="440b61f3-6bd8-4a91-8ffb-627f680f210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e55d23-fa99-4fd7-a27f-6ca82fc328d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40b61f3-6bd8-4a91-8ffb-627f680f210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823BD1B-77E7-4B2C-93D7-DEA37B898E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e55d23-fa99-4fd7-a27f-6ca82fc328da"/>
    <ds:schemaRef ds:uri="440b61f3-6bd8-4a91-8ffb-627f680f21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6268AA-4035-4A0B-9105-37F457DF713D}">
  <ds:schemaRefs>
    <ds:schemaRef ds:uri="http://schemas.microsoft.com/office/2006/documentManagement/types"/>
    <ds:schemaRef ds:uri="072bb332-f207-4bec-9536-02f184a7f0b0"/>
    <ds:schemaRef ds:uri="http://schemas.openxmlformats.org/package/2006/metadata/core-properties"/>
    <ds:schemaRef ds:uri="http://www.w3.org/XML/1998/namespace"/>
    <ds:schemaRef ds:uri="http://purl.org/dc/terms/"/>
    <ds:schemaRef ds:uri="http://purl.org/dc/elements/1.1/"/>
    <ds:schemaRef ds:uri="a598d765-124e-4f75-9b10-3e3cd9af7d07"/>
    <ds:schemaRef ds:uri="http://schemas.microsoft.com/office/infopath/2007/PartnerControl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CDE84FDA-4040-4714-A903-1D7046204D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vt:i4>
      </vt:variant>
    </vt:vector>
  </HeadingPairs>
  <TitlesOfParts>
    <vt:vector size="31" baseType="lpstr">
      <vt:lpstr>Account Creation</vt:lpstr>
      <vt:lpstr>Help Desk</vt:lpstr>
      <vt:lpstr>VCC_Ecomm Step1</vt:lpstr>
      <vt:lpstr>VCC_Ecomm Step2</vt:lpstr>
      <vt:lpstr>RNT_Ecomm</vt:lpstr>
      <vt:lpstr>VCC_Vaccine ONLY</vt:lpstr>
      <vt:lpstr>RNT_Vaccine ONLY</vt:lpstr>
      <vt:lpstr>VCC_Stores ONLY</vt:lpstr>
      <vt:lpstr>RNT_Store Spark</vt:lpstr>
      <vt:lpstr>RNT_Store CRPV_2</vt:lpstr>
      <vt:lpstr>Stella_Stores</vt:lpstr>
      <vt:lpstr>RNT_Store CRPV</vt:lpstr>
      <vt:lpstr>LITMOS</vt:lpstr>
      <vt:lpstr>LOB Change</vt:lpstr>
      <vt:lpstr>Dispatcher</vt:lpstr>
      <vt:lpstr>Roster_Ecomm</vt:lpstr>
      <vt:lpstr>Roster_Vaccine</vt:lpstr>
      <vt:lpstr>Roster_Store Spark</vt:lpstr>
      <vt:lpstr>Roster_Store CRPV</vt:lpstr>
      <vt:lpstr>QA Checks</vt:lpstr>
      <vt:lpstr>Sheet1</vt:lpstr>
      <vt:lpstr>'Account Creation'!_Hlk91708003</vt:lpstr>
      <vt:lpstr>Access</vt:lpstr>
      <vt:lpstr>Action</vt:lpstr>
      <vt:lpstr>Channel</vt:lpstr>
      <vt:lpstr>Choose_One</vt:lpstr>
      <vt:lpstr>Company</vt:lpstr>
      <vt:lpstr>Location</vt:lpstr>
      <vt:lpstr>Location_Site</vt:lpstr>
      <vt:lpstr>Partner</vt:lpstr>
      <vt:lpstr>Program</vt:lpstr>
    </vt:vector>
  </TitlesOfParts>
  <Manager/>
  <Company>Walmart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Gillett</dc:creator>
  <cp:keywords/>
  <dc:description/>
  <cp:lastModifiedBy>Kimberly Butterfield</cp:lastModifiedBy>
  <cp:revision/>
  <dcterms:created xsi:type="dcterms:W3CDTF">2016-09-23T20:35:15Z</dcterms:created>
  <dcterms:modified xsi:type="dcterms:W3CDTF">2022-10-12T18:17:58Z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24820e8-223f-4ed2-bd95-81c83f641284_Enabled">
    <vt:lpwstr>True</vt:lpwstr>
  </property>
  <property fmtid="{D5CDD505-2E9C-101B-9397-08002B2CF9AE}" pid="3" name="MSIP_Label_b24820e8-223f-4ed2-bd95-81c83f641284_SiteId">
    <vt:lpwstr>3cbcc3d3-094d-4006-9849-0d11d61f484d</vt:lpwstr>
  </property>
  <property fmtid="{D5CDD505-2E9C-101B-9397-08002B2CF9AE}" pid="4" name="MSIP_Label_b24820e8-223f-4ed2-bd95-81c83f641284_Owner">
    <vt:lpwstr>civey@homeoffice.wal-mart.com</vt:lpwstr>
  </property>
  <property fmtid="{D5CDD505-2E9C-101B-9397-08002B2CF9AE}" pid="5" name="MSIP_Label_b24820e8-223f-4ed2-bd95-81c83f641284_SetDate">
    <vt:lpwstr>2018-10-12T19:21:39.9231375Z</vt:lpwstr>
  </property>
  <property fmtid="{D5CDD505-2E9C-101B-9397-08002B2CF9AE}" pid="6" name="MSIP_Label_b24820e8-223f-4ed2-bd95-81c83f641284_Name">
    <vt:lpwstr>Sensitive</vt:lpwstr>
  </property>
  <property fmtid="{D5CDD505-2E9C-101B-9397-08002B2CF9AE}" pid="7" name="MSIP_Label_b24820e8-223f-4ed2-bd95-81c83f641284_Application">
    <vt:lpwstr>Microsoft Azure Information Protection</vt:lpwstr>
  </property>
  <property fmtid="{D5CDD505-2E9C-101B-9397-08002B2CF9AE}" pid="8" name="MSIP_Label_b24820e8-223f-4ed2-bd95-81c83f641284_Extended_MSFT_Method">
    <vt:lpwstr>Automatic</vt:lpwstr>
  </property>
  <property fmtid="{D5CDD505-2E9C-101B-9397-08002B2CF9AE}" pid="9" name="Sensitivity">
    <vt:lpwstr>Sensitive</vt:lpwstr>
  </property>
  <property fmtid="{D5CDD505-2E9C-101B-9397-08002B2CF9AE}" pid="10" name="ContentTypeId">
    <vt:lpwstr>0x010100118545F39643764BA2F689774DD25774</vt:lpwstr>
  </property>
</Properties>
</file>